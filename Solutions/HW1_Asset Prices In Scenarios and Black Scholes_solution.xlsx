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sAndOutputs" sheetId="1" r:id="rId4"/>
    <sheet state="visible" name="BachelierEquation" sheetId="2" r:id="rId5"/>
    <sheet state="visible" name="Black (Futures) Eqn" sheetId="3" r:id="rId6"/>
    <sheet state="visible" name="Black Scholes Eqn" sheetId="4" r:id="rId7"/>
    <sheet state="visible" name="TreeUnderlying" sheetId="5" r:id="rId8"/>
    <sheet state="visible" name="TreeOption" sheetId="6" r:id="rId9"/>
  </sheets>
  <definedNames>
    <definedName name="TreePrice">TreeOption!$A$8</definedName>
    <definedName name="FwdValBS">'Black (Futures) Eqn'!$B$6</definedName>
    <definedName localSheetId="3" name="FwdValBS">'Black Scholes Eqn'!$B$6</definedName>
    <definedName name="BSVal">'Black Scholes Eqn'!$B$7</definedName>
    <definedName name="time">InputsAndOutputs!$B$7</definedName>
    <definedName name="RiskFreeRate">InputsAndOutputs!$B$5</definedName>
    <definedName name="MultipleUp">InputsAndOutputs!$B$9</definedName>
    <definedName name="DivYield">InputsAndOutputs!$B$6</definedName>
    <definedName name="BlackVal">'Black (Futures) Eqn'!$B$7</definedName>
    <definedName name="MidProb">InputsAndOutputs!$B$14</definedName>
    <definedName name="CallPut">InputsAndOutputs!$B$3</definedName>
    <definedName name="FwdValBlack">'Black (Futures) Eqn'!$B$6</definedName>
    <definedName localSheetId="3" name="BSVal">'Black Scholes Eqn'!$B$7</definedName>
    <definedName name="Strike">InputsAndOutputs!$B$2</definedName>
    <definedName name="UpProb">InputsAndOutputs!$B$13</definedName>
    <definedName name="FwdValBach">BachelierEquation!$B$8</definedName>
    <definedName name="Underlying">InputsAndOutputs!$B$1</definedName>
    <definedName name="DownProb">InputsAndOutputs!$B$15</definedName>
    <definedName name="Vola">InputsAndOutputs!$B$4</definedName>
    <definedName name="MultipleMid">InputsAndOutputs!$B$10</definedName>
    <definedName name="MultipleDown">InputsAndOutputs!$B$11</definedName>
    <definedName name="BachVal">BachelierEquation!$B$9</definedName>
    <definedName name="BachVola">InputsAndOutputs!$B$17</definedName>
  </definedNames>
  <calcPr/>
</workbook>
</file>

<file path=xl/sharedStrings.xml><?xml version="1.0" encoding="utf-8"?>
<sst xmlns="http://schemas.openxmlformats.org/spreadsheetml/2006/main" count="40" uniqueCount="34">
  <si>
    <t>Underlying Price S</t>
  </si>
  <si>
    <t>Strike K</t>
  </si>
  <si>
    <t>CallPut D</t>
  </si>
  <si>
    <t>Volatility σ</t>
  </si>
  <si>
    <t>Risk free rate r</t>
  </si>
  <si>
    <t>Dividend yield q</t>
  </si>
  <si>
    <t>Time t</t>
  </si>
  <si>
    <t>Up Multiple</t>
  </si>
  <si>
    <t>Mid Multiple (ignore for now)</t>
  </si>
  <si>
    <t>Down Multiple</t>
  </si>
  <si>
    <t>GRADE POINTS</t>
  </si>
  <si>
    <t>Up Probability</t>
  </si>
  <si>
    <t>Mid Probability (ignore for now)</t>
  </si>
  <si>
    <t>Down Probability</t>
  </si>
  <si>
    <t>Equivalent Bachelier Volatility</t>
  </si>
  <si>
    <t>Bachelier Price</t>
  </si>
  <si>
    <t>Black Scholes Price</t>
  </si>
  <si>
    <t>Black (Futures Option) Price</t>
  </si>
  <si>
    <t>Tree Price</t>
  </si>
  <si>
    <t>Bachelier Relative Error</t>
  </si>
  <si>
    <t>Tree Relative Error</t>
  </si>
  <si>
    <t>TOTAL</t>
  </si>
  <si>
    <t>Variability</t>
  </si>
  <si>
    <t>Gaussian Arg x</t>
  </si>
  <si>
    <t>Φ(x)</t>
  </si>
  <si>
    <t>φ(x)</t>
  </si>
  <si>
    <t>Fwd Val</t>
  </si>
  <si>
    <t>Bachelier Value</t>
  </si>
  <si>
    <t>d1</t>
  </si>
  <si>
    <t>d2</t>
  </si>
  <si>
    <t>Φ(d1)</t>
  </si>
  <si>
    <t>Φ(d2)</t>
  </si>
  <si>
    <t>FwdVal</t>
  </si>
  <si>
    <t>B-S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</si>
</sst>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0" fontId="1" numFmtId="0" xfId="0" applyAlignment="1" applyFont="1">
      <alignment horizontal="right" readingOrder="0"/>
    </xf>
    <xf borderId="0" fillId="3" fontId="1" numFmtId="0" xfId="0" applyFill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75"/>
    <col customWidth="1" min="3" max="3" width="16.38"/>
  </cols>
  <sheetData>
    <row r="1" ht="15.75" customHeight="1">
      <c r="A1" s="1" t="s">
        <v>0</v>
      </c>
      <c r="B1" s="2">
        <v>250.0</v>
      </c>
    </row>
    <row r="2" ht="15.75" customHeight="1">
      <c r="A2" s="1" t="s">
        <v>1</v>
      </c>
      <c r="B2" s="2">
        <v>245.0</v>
      </c>
    </row>
    <row r="3" ht="15.75" customHeight="1">
      <c r="A3" s="1" t="s">
        <v>2</v>
      </c>
      <c r="B3" s="2">
        <v>-1.0</v>
      </c>
    </row>
    <row r="4" ht="15.75" customHeight="1">
      <c r="A4" s="1" t="s">
        <v>3</v>
      </c>
      <c r="B4" s="2">
        <v>0.15</v>
      </c>
    </row>
    <row r="5" ht="15.75" customHeight="1">
      <c r="A5" s="1" t="s">
        <v>4</v>
      </c>
      <c r="B5" s="2">
        <v>0.05</v>
      </c>
    </row>
    <row r="6" ht="15.75" customHeight="1">
      <c r="A6" s="1" t="s">
        <v>5</v>
      </c>
      <c r="B6" s="2">
        <v>0.005</v>
      </c>
    </row>
    <row r="7" ht="15.75" customHeight="1">
      <c r="A7" s="1" t="s">
        <v>6</v>
      </c>
      <c r="B7" s="2">
        <v>0.1</v>
      </c>
    </row>
    <row r="8" ht="15.75" customHeight="1"/>
    <row r="9" ht="15.75" customHeight="1">
      <c r="A9" s="1" t="s">
        <v>7</v>
      </c>
      <c r="B9" s="1">
        <f>exp(Vola*sqrt(time))</f>
        <v>1.048577166</v>
      </c>
    </row>
    <row r="10" ht="15.75" customHeight="1">
      <c r="A10" s="1" t="s">
        <v>8</v>
      </c>
    </row>
    <row r="11" ht="15.75" customHeight="1">
      <c r="A11" s="1" t="s">
        <v>9</v>
      </c>
      <c r="B11" s="1">
        <f>1/B9</f>
        <v>0.9536732562</v>
      </c>
    </row>
    <row r="12" ht="15.75" customHeight="1">
      <c r="C12" s="3" t="s">
        <v>10</v>
      </c>
    </row>
    <row r="13" ht="15.75" customHeight="1">
      <c r="A13" s="1" t="s">
        <v>11</v>
      </c>
      <c r="B13" s="4">
        <f>(EXP((RiskFreeRate-DivYield)*time)-MultipleDown)/(MultipleUp-MultipleDown)</f>
        <v>0.5356669106</v>
      </c>
      <c r="C13" s="1">
        <v>1.0</v>
      </c>
      <c r="E13" s="1"/>
    </row>
    <row r="14" ht="15.75" customHeight="1">
      <c r="A14" s="1" t="s">
        <v>12</v>
      </c>
    </row>
    <row r="15" ht="15.75" customHeight="1">
      <c r="A15" s="1" t="s">
        <v>13</v>
      </c>
      <c r="B15" s="4">
        <f>(MultipleUp-EXP((RiskFreeRate-DivYield)*time))/(MultipleUp-MultipleDown)</f>
        <v>0.4643330894</v>
      </c>
      <c r="C15" s="1">
        <v>1.0</v>
      </c>
      <c r="E15" s="1"/>
    </row>
    <row r="16" ht="15.75" customHeight="1"/>
    <row r="17" ht="15.75" customHeight="1">
      <c r="A17" s="1" t="s">
        <v>14</v>
      </c>
      <c r="B17" s="4">
        <f>Vola*Underlying*EXP((RiskFreeRate-DivYield)*time)</f>
        <v>37.66913026</v>
      </c>
      <c r="C17" s="1">
        <v>1.0</v>
      </c>
    </row>
    <row r="18" ht="15.75" customHeight="1"/>
    <row r="19" ht="15.75" customHeight="1">
      <c r="A19" s="1" t="s">
        <v>15</v>
      </c>
      <c r="B19" s="1">
        <f>BachVal</f>
        <v>2.292180468</v>
      </c>
      <c r="C19" s="1">
        <v>4.0</v>
      </c>
    </row>
    <row r="20" ht="15.75" customHeight="1">
      <c r="A20" s="1" t="s">
        <v>16</v>
      </c>
      <c r="B20" s="1">
        <f>BSVal</f>
        <v>2.241134218</v>
      </c>
      <c r="C20" s="1">
        <v>3.0</v>
      </c>
    </row>
    <row r="21" ht="15.75" customHeight="1">
      <c r="A21" s="1" t="s">
        <v>17</v>
      </c>
      <c r="B21" s="1">
        <f>BlackVal</f>
        <v>2.222214769</v>
      </c>
      <c r="C21" s="1">
        <v>5.0</v>
      </c>
    </row>
    <row r="22" ht="15.75" customHeight="1"/>
    <row r="23" ht="15.75" customHeight="1">
      <c r="A23" s="1" t="s">
        <v>18</v>
      </c>
      <c r="B23" s="1">
        <f>TreePrice</f>
        <v>3.040852231</v>
      </c>
      <c r="C23" s="1">
        <v>8.0</v>
      </c>
    </row>
    <row r="24" ht="15.75" customHeight="1"/>
    <row r="25" ht="15.75" customHeight="1"/>
    <row r="26" ht="15.75" customHeight="1">
      <c r="A26" s="1" t="s">
        <v>19</v>
      </c>
      <c r="B26" s="4">
        <f>(BachVal-BSVal)/BSVal</f>
        <v>0.0227769714</v>
      </c>
      <c r="C26" s="1">
        <v>1.0</v>
      </c>
      <c r="E26" s="1"/>
    </row>
    <row r="27" ht="15.75" customHeight="1">
      <c r="A27" s="1" t="s">
        <v>20</v>
      </c>
      <c r="B27" s="4">
        <f>(TreePrice-BSVal)/BSVal</f>
        <v>0.3568362868</v>
      </c>
      <c r="C27" s="1">
        <v>1.0</v>
      </c>
      <c r="E27" s="1"/>
    </row>
    <row r="28" ht="15.75" customHeight="1"/>
    <row r="29" ht="15.75" customHeight="1"/>
    <row r="30" ht="15.75" customHeight="1">
      <c r="B30" s="1"/>
      <c r="C30" s="1">
        <f>sum(C13:C27)</f>
        <v>25</v>
      </c>
      <c r="D30" s="5" t="s">
        <v>21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/>
    <row r="2" ht="15.75" customHeight="1"/>
    <row r="3" ht="15.75" customHeight="1"/>
    <row r="4" ht="15.75" customHeight="1">
      <c r="A4" s="1" t="s">
        <v>22</v>
      </c>
      <c r="B4" s="1">
        <f>BachVola*sqrt(time)</f>
        <v>11.91202491</v>
      </c>
      <c r="E4" s="1"/>
    </row>
    <row r="5" ht="15.75" customHeight="1">
      <c r="A5" s="1" t="s">
        <v>23</v>
      </c>
      <c r="B5" s="4">
        <f>(Underlying*EXP((RiskFreeRate-DivYield)*time)-Strike)/B4</f>
        <v>0.5143991133</v>
      </c>
      <c r="C5" s="1"/>
      <c r="E5" s="1"/>
    </row>
    <row r="6" ht="15.75" customHeight="1">
      <c r="A6" s="1" t="s">
        <v>24</v>
      </c>
      <c r="B6" s="4">
        <f>_xlfn.NORM.DIST(CallPut*B5, 0, 1, TRUE)</f>
        <v>0.3034864895</v>
      </c>
    </row>
    <row r="7" ht="15.75" customHeight="1">
      <c r="A7" s="1" t="s">
        <v>25</v>
      </c>
      <c r="B7" s="4">
        <f>_xlfn.NORM.DIST(B5, 0, 1, FALSE)</f>
        <v>0.3495034811</v>
      </c>
    </row>
    <row r="8" ht="15.75" customHeight="1">
      <c r="A8" s="1" t="s">
        <v>26</v>
      </c>
      <c r="B8" s="4">
        <f>CallPut*(Underlying*EXP((RiskFreeRate-DivYield)*time)-Strike)*B6+B4*B7</f>
        <v>2.303670071</v>
      </c>
      <c r="C8" s="1"/>
    </row>
    <row r="9" ht="15.75" customHeight="1">
      <c r="A9" s="1" t="s">
        <v>27</v>
      </c>
      <c r="B9" s="1">
        <f>exp(-time*RiskFreeRate) * FwdValBach</f>
        <v>2.292180468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C1" s="1"/>
      <c r="D1" s="1"/>
      <c r="E1" s="1"/>
      <c r="F1" s="1"/>
    </row>
    <row r="2" ht="15.75" customHeight="1">
      <c r="A2" s="1" t="s">
        <v>28</v>
      </c>
      <c r="B2" s="4">
        <f>(ln(Underlying/Strike)+Vola^2*time/2)/(Vola*time^0.5)</f>
        <v>0.4496275493</v>
      </c>
      <c r="C2" s="1"/>
      <c r="D2" s="1"/>
      <c r="E2" s="1"/>
      <c r="F2" s="1"/>
    </row>
    <row r="3" ht="15.75" customHeight="1">
      <c r="A3" s="1" t="s">
        <v>29</v>
      </c>
      <c r="B3" s="4">
        <f>(ln(Underlying/Strike)-Vola^2*time/2)/(Vola*time^0.5)</f>
        <v>0.4021933844</v>
      </c>
    </row>
    <row r="4" ht="15.75" customHeight="1">
      <c r="A4" s="1" t="s">
        <v>30</v>
      </c>
      <c r="B4" s="4">
        <f>_xlfn.NORM.DIST(CallPut*B2, 0, 1, TRUE)</f>
        <v>0.3264895101</v>
      </c>
    </row>
    <row r="5" ht="15.75" customHeight="1">
      <c r="A5" s="1" t="s">
        <v>31</v>
      </c>
      <c r="B5" s="4">
        <f>_xlfn.NORM.DIST(CallPut*B3, 0, 1, TRUE)</f>
        <v>0.3437708553</v>
      </c>
    </row>
    <row r="6" ht="15.75" customHeight="1">
      <c r="A6" s="1" t="s">
        <v>32</v>
      </c>
      <c r="B6" s="4">
        <f>CallPut*(Underlying*EXP((RiskFreeRate-DivYield)*time)*B4-Strike*B5)</f>
        <v>2.233353667</v>
      </c>
      <c r="C6" s="1"/>
    </row>
    <row r="7" ht="15.75" customHeight="1">
      <c r="A7" s="1" t="s">
        <v>33</v>
      </c>
      <c r="B7" s="1">
        <f>exp(-time*RiskFreeRate) * FwdValBlack</f>
        <v>2.222214769</v>
      </c>
      <c r="C7" s="1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E1" s="1"/>
      <c r="G1" s="1"/>
      <c r="J1" s="1"/>
    </row>
    <row r="2" ht="15.75" customHeight="1">
      <c r="A2" s="1" t="s">
        <v>28</v>
      </c>
      <c r="B2" s="4">
        <f>(ln(Underlying/Strike)+(RiskFreeRate - DivYield + Vola^2/2)*time)/(Vola*time^0.5)</f>
        <v>0.5444958791</v>
      </c>
      <c r="E2" s="1"/>
      <c r="G2" s="1"/>
      <c r="J2" s="1"/>
    </row>
    <row r="3" ht="15.75" customHeight="1">
      <c r="A3" s="1" t="s">
        <v>29</v>
      </c>
      <c r="B3" s="4">
        <f>(ln(Underlying/Strike)+(RiskFreeRate - DivYield - Vola^2/2)*time)/(Vola*time^0.5)</f>
        <v>0.4970617142</v>
      </c>
    </row>
    <row r="4" ht="15.75" customHeight="1">
      <c r="A4" s="1" t="s">
        <v>30</v>
      </c>
      <c r="B4" s="4">
        <f>_xlfn.NORM.DIST(CallPut*B2, 0, 1, TRUE)</f>
        <v>0.2930501417</v>
      </c>
      <c r="C4" s="1"/>
    </row>
    <row r="5" ht="15.75" customHeight="1">
      <c r="A5" s="1" t="s">
        <v>31</v>
      </c>
      <c r="B5" s="4">
        <f>_xlfn.NORM.DIST(CallPut*B3, 0, 1, TRUE)</f>
        <v>0.3095727661</v>
      </c>
      <c r="C5" s="1"/>
    </row>
    <row r="6" ht="15.75" customHeight="1">
      <c r="A6" s="1" t="s">
        <v>32</v>
      </c>
      <c r="B6" s="4">
        <f>Underlying*EXP((RiskFreeRate-DivYield)*time)*B4*CallPut-Strike*B5*CallPut</f>
        <v>2.25236795</v>
      </c>
      <c r="D6" s="1"/>
    </row>
    <row r="7" ht="15.75" customHeight="1">
      <c r="A7" s="1" t="s">
        <v>33</v>
      </c>
      <c r="B7" s="1">
        <f>exp(-time*RiskFreeRate) * 'Black Scholes Eqn'!FwdValBS</f>
        <v>2.241134218</v>
      </c>
      <c r="D7" s="1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>
      <c r="B7" s="1">
        <f>A8*MultipleUp</f>
        <v>262.1442914</v>
      </c>
      <c r="C7" s="1"/>
    </row>
    <row r="8" ht="15.75" customHeight="1">
      <c r="A8" s="1">
        <f>InputsAndOutputs!B1</f>
        <v>250</v>
      </c>
    </row>
    <row r="9" ht="15.75" customHeight="1">
      <c r="B9" s="1">
        <f>A8*MultipleDown</f>
        <v>238.4183141</v>
      </c>
      <c r="C9" s="1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>
      <c r="B7" s="4">
        <f>MAX(CallPut*(Underlying*MultipleUp-Strike),0)</f>
        <v>0</v>
      </c>
      <c r="C7" s="1"/>
    </row>
    <row r="8" ht="15.75" customHeight="1">
      <c r="A8" s="1">
        <f>exp(-RiskFreeRate*time) * (InputsAndOutputs!B13*B7+InputsAndOutputs!B15*B9)</f>
        <v>3.040852231</v>
      </c>
    </row>
    <row r="9" ht="15.75" customHeight="1">
      <c r="B9" s="4">
        <f>MAX(CallPut*(Underlying*MultipleDown-Strike),0)</f>
        <v>6.581685941</v>
      </c>
      <c r="C9" s="1"/>
    </row>
    <row r="10" ht="15.75" customHeight="1"/>
    <row r="11" ht="15.75" customHeight="1"/>
    <row r="12" ht="15.75" customHeight="1">
      <c r="A12" s="1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