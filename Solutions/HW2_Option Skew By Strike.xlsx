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 Stats" sheetId="1" r:id="rId4"/>
    <sheet state="visible" name="Option Mkt Data" sheetId="2" r:id="rId5"/>
    <sheet state="visible" name="Option Param Details" sheetId="3" r:id="rId6"/>
    <sheet state="visible" name="Call Vola Solver" sheetId="4" r:id="rId7"/>
    <sheet state="visible" name="Put Vola Solver" sheetId="5" r:id="rId8"/>
  </sheets>
  <definedNames>
    <definedName name="MinSolverVola">'Option Param Details'!$B$12</definedName>
    <definedName name="MaxSolverVola">'Option Param Details'!$B$11</definedName>
    <definedName name="DividendYield">'Option Param Details'!$B$4</definedName>
    <definedName name="Underlying">'Option Param Details'!$B$2</definedName>
    <definedName name="TimeToExpiration">'Option Param Details'!$B$9</definedName>
    <definedName name="RiskFreeRate">'Option Param Details'!$B$3</definedName>
  </definedNames>
  <calcPr/>
</workbook>
</file>

<file path=xl/sharedStrings.xml><?xml version="1.0" encoding="utf-8"?>
<sst xmlns="http://schemas.openxmlformats.org/spreadsheetml/2006/main" count="320" uniqueCount="68">
  <si>
    <t>Absolute Price Err</t>
  </si>
  <si>
    <t>Overall</t>
  </si>
  <si>
    <t>Calls Only</t>
  </si>
  <si>
    <t>Puts Only</t>
  </si>
  <si>
    <t>Min</t>
  </si>
  <si>
    <t>Median</t>
  </si>
  <si>
    <t>Mean</t>
  </si>
  <si>
    <t>Max</t>
  </si>
  <si>
    <t>Relative Price Err</t>
  </si>
  <si>
    <t>Price Err Divided By Spread</t>
  </si>
  <si>
    <t>GRADING SCHEME</t>
  </si>
  <si>
    <t>Option market data</t>
  </si>
  <si>
    <t>- mid prices</t>
  </si>
  <si>
    <t>- spreads</t>
  </si>
  <si>
    <t>Option param details</t>
  </si>
  <si>
    <t>- days to expiration</t>
  </si>
  <si>
    <t>- years to expiration</t>
  </si>
  <si>
    <t>- min/max volatility</t>
  </si>
  <si>
    <t>Call Vola solver</t>
  </si>
  <si>
    <t>- Fix bug</t>
  </si>
  <si>
    <t>- iteration 0 formulae</t>
  </si>
  <si>
    <t>- iteration 1 to N formulae</t>
  </si>
  <si>
    <t>- final values</t>
  </si>
  <si>
    <t>Put Vola solver</t>
  </si>
  <si>
    <t>- Fix bug 1</t>
  </si>
  <si>
    <t>- Fix bug 2</t>
  </si>
  <si>
    <t>- copying correct put data</t>
  </si>
  <si>
    <t>Output stats</t>
  </si>
  <si>
    <t>- absolute error</t>
  </si>
  <si>
    <t>- relative error</t>
  </si>
  <si>
    <t>- error/spread</t>
  </si>
  <si>
    <t>Total</t>
  </si>
  <si>
    <t>Strike</t>
  </si>
  <si>
    <t>Call Bid</t>
  </si>
  <si>
    <t>Call Ask</t>
  </si>
  <si>
    <t>Call Intrinsic Value (lower bound)</t>
  </si>
  <si>
    <t>Call upper bound</t>
  </si>
  <si>
    <t>Put Bid</t>
  </si>
  <si>
    <t>Put Ask</t>
  </si>
  <si>
    <t>Put Intrinsic Value (lower bound)</t>
  </si>
  <si>
    <t>Put upper bound</t>
  </si>
  <si>
    <t>Call Mid</t>
  </si>
  <si>
    <t>Put Mid</t>
  </si>
  <si>
    <t>Call Price Spread</t>
  </si>
  <si>
    <t>Put Price Spread</t>
  </si>
  <si>
    <t>Underlying</t>
  </si>
  <si>
    <t>Interest rate</t>
  </si>
  <si>
    <t>Div yield</t>
  </si>
  <si>
    <t>As Of</t>
  </si>
  <si>
    <t>Expiration</t>
  </si>
  <si>
    <t>Days To Expiration</t>
  </si>
  <si>
    <t>Day Count Convention</t>
  </si>
  <si>
    <t>Years To Expiration</t>
  </si>
  <si>
    <t>Max Vola In Solvers</t>
  </si>
  <si>
    <t>Min Vola In Solvers</t>
  </si>
  <si>
    <t>Iteration</t>
  </si>
  <si>
    <t>CallPut ξ</t>
  </si>
  <si>
    <t>Final Vola</t>
  </si>
  <si>
    <t>Final Price</t>
  </si>
  <si>
    <t>Abs Price Err</t>
  </si>
  <si>
    <t>Price Err/Spread</t>
  </si>
  <si>
    <t>Target Price</t>
  </si>
  <si>
    <t>Vola Low</t>
  </si>
  <si>
    <t>Vola High</t>
  </si>
  <si>
    <t>Price Low</t>
  </si>
  <si>
    <t>Price High</t>
  </si>
  <si>
    <t>Test Vola</t>
  </si>
  <si>
    <t>New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</si>
</sst>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%"/>
    <numFmt numFmtId="165" formatCode="m/d/yyyy h:mm"/>
    <numFmt numFmtId="166" formatCode="0.0000%"/>
    <numFmt numFmtId="167" formatCode="0.0000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sz val="11.0"/>
      <color rgb="FF000000"/>
      <name val="Calibri"/>
    </font>
    <font>
      <sz val="11.0"/>
      <color rgb="FF0000FF"/>
      <name val="Calibri"/>
    </font>
    <font>
      <color rgb="FF0000FF"/>
      <name val="Arial"/>
      <scheme val="minor"/>
    </font>
    <font>
      <sz val="11.0"/>
      <color rgb="FFFF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6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2" fontId="1" numFmtId="0" xfId="0" applyFill="1" applyFont="1"/>
    <xf borderId="1" fillId="2" fontId="1" numFmtId="0" xfId="0" applyBorder="1" applyFont="1"/>
    <xf borderId="0" fillId="2" fontId="1" numFmtId="164" xfId="0" applyFont="1" applyNumberFormat="1"/>
    <xf borderId="1" fillId="2" fontId="1" numFmtId="164" xfId="0" applyBorder="1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Font="1"/>
    <xf borderId="0" fillId="0" fontId="7" numFmtId="0" xfId="0" applyAlignment="1" applyFont="1">
      <alignment horizontal="right"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6" numFmtId="0" xfId="0" applyBorder="1" applyFont="1"/>
    <xf borderId="4" fillId="2" fontId="1" numFmtId="0" xfId="0" applyBorder="1" applyFont="1"/>
    <xf borderId="0" fillId="0" fontId="8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166" xfId="0" applyAlignment="1" applyFont="1" applyNumberFormat="1">
      <alignment readingOrder="0"/>
    </xf>
    <xf borderId="1" fillId="2" fontId="1" numFmtId="0" xfId="0" applyAlignment="1" applyBorder="1" applyFont="1">
      <alignment readingOrder="0"/>
    </xf>
    <xf borderId="0" fillId="0" fontId="1" numFmtId="10" xfId="0" applyFont="1" applyNumberFormat="1"/>
    <xf borderId="0" fillId="3" fontId="1" numFmtId="10" xfId="0" applyFill="1" applyFont="1" applyNumberFormat="1"/>
    <xf borderId="0" fillId="2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Font="1" applyNumberFormat="1"/>
    <xf borderId="0" fillId="2" fontId="1" numFmtId="167" xfId="0" applyFont="1" applyNumberFormat="1"/>
    <xf borderId="0" fillId="2" fontId="1" numFmtId="10" xfId="0" applyFont="1" applyNumberFormat="1"/>
    <xf borderId="0" fillId="2" fontId="1" numFmtId="166" xfId="0" applyFont="1" applyNumberFormat="1"/>
    <xf borderId="0" fillId="3" fontId="10" numFmtId="10" xfId="0" applyFont="1" applyNumberFormat="1"/>
    <xf borderId="4" fillId="3" fontId="1" numFmtId="10" xfId="0" applyBorder="1" applyFont="1" applyNumberFormat="1"/>
    <xf borderId="4" fillId="2" fontId="1" numFmtId="164" xfId="0" applyBorder="1" applyFont="1" applyNumberFormat="1"/>
    <xf borderId="4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4" fillId="0" fontId="1" numFmtId="166" xfId="0" applyAlignment="1" applyBorder="1" applyFont="1" applyNumberFormat="1">
      <alignment readingOrder="0"/>
    </xf>
    <xf borderId="4" fillId="0" fontId="1" numFmtId="9" xfId="0" applyBorder="1" applyFont="1" applyNumberFormat="1"/>
    <xf borderId="4" fillId="2" fontId="1" numFmtId="167" xfId="0" applyBorder="1" applyFont="1" applyNumberFormat="1"/>
    <xf borderId="4" fillId="2" fontId="1" numFmtId="10" xfId="0" applyBorder="1" applyFont="1" applyNumberFormat="1"/>
    <xf borderId="5" fillId="2" fontId="1" numFmtId="0" xfId="0" applyBorder="1" applyFont="1"/>
    <xf borderId="4" fillId="2" fontId="1" numFmtId="166" xfId="0" applyBorder="1" applyFont="1" applyNumberFormat="1"/>
  </cellXfs>
  <cellStyles count="1">
    <cellStyle xfId="0" name="Normal" builtinId="0"/>
  </cellStyles>
  <dxfs count="2">
    <dxf>
      <font>
        <color rgb="FFFF0000"/>
      </font>
      <fill>
        <patternFill patternType="solid">
          <fgColor rgb="FFD9EAD3"/>
          <bgColor rgb="FFD9EAD3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4.38"/>
    <col customWidth="1" min="3" max="3" width="12.63"/>
    <col customWidth="1" min="4" max="4" width="11.63"/>
    <col customWidth="1" min="5" max="5" width="17.25"/>
    <col customWidth="1" min="6" max="6" width="14.38"/>
    <col customWidth="1" min="7" max="7" width="13.5"/>
    <col customWidth="1" min="8" max="8" width="12.63"/>
    <col customWidth="1" min="9" max="9" width="16.25"/>
    <col customWidth="1" min="10" max="10" width="14.38"/>
    <col customWidth="1" min="11" max="11" width="12.63"/>
    <col customWidth="1" min="12" max="12" width="11.63"/>
  </cols>
  <sheetData>
    <row r="1">
      <c r="D1" s="1"/>
      <c r="H1" s="1"/>
    </row>
    <row r="2">
      <c r="D2" s="1"/>
      <c r="H2" s="1"/>
    </row>
    <row r="3">
      <c r="A3" s="2" t="s">
        <v>0</v>
      </c>
      <c r="B3" s="3"/>
      <c r="C3" s="3"/>
      <c r="D3" s="4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</v>
      </c>
      <c r="D4" s="1"/>
      <c r="E4" s="5" t="s">
        <v>2</v>
      </c>
      <c r="H4" s="1"/>
      <c r="I4" s="5" t="s">
        <v>3</v>
      </c>
    </row>
    <row r="5">
      <c r="A5" s="5" t="s">
        <v>4</v>
      </c>
      <c r="B5" s="5" t="s">
        <v>5</v>
      </c>
      <c r="C5" s="5" t="s">
        <v>6</v>
      </c>
      <c r="D5" s="6" t="s">
        <v>7</v>
      </c>
      <c r="E5" s="5" t="s">
        <v>4</v>
      </c>
      <c r="F5" s="5" t="s">
        <v>5</v>
      </c>
      <c r="G5" s="5" t="s">
        <v>6</v>
      </c>
      <c r="H5" s="6" t="s">
        <v>7</v>
      </c>
      <c r="I5" s="5" t="s">
        <v>4</v>
      </c>
      <c r="J5" s="5" t="s">
        <v>5</v>
      </c>
      <c r="K5" s="5" t="s">
        <v>6</v>
      </c>
      <c r="L5" s="5" t="s">
        <v>7</v>
      </c>
    </row>
    <row r="6">
      <c r="A6" s="7">
        <f>MIN(E6,I6)</f>
        <v>0.000004646379349</v>
      </c>
      <c r="B6" s="7">
        <f>MEDIAN('Call Vola Solver'!D$5:D$39, 'Put Vola Solver'!D$5:D$39)</f>
        <v>0.0001021115371</v>
      </c>
      <c r="C6" s="7">
        <f>AVERAGE('Call Vola Solver'!D$5:D$39, 'Put Vola Solver'!D$5:D$39)</f>
        <v>0.01687597681</v>
      </c>
      <c r="D6" s="8">
        <f>MAX(H6,L6)</f>
        <v>0.7752025014</v>
      </c>
      <c r="E6" s="7">
        <f>MIN('Call Vola Solver'!D$5:D$39)</f>
        <v>0.000004646379349</v>
      </c>
      <c r="F6" s="7">
        <f>MEDIAN('Call Vola Solver'!D$5:D$39)</f>
        <v>0.0001149592594</v>
      </c>
      <c r="G6" s="7">
        <f>AVERAGE('Call Vola Solver'!D$5:D$39)</f>
        <v>0.01149448093</v>
      </c>
      <c r="H6" s="8">
        <f>MAX('Call Vola Solver'!D$5:D$39)</f>
        <v>0.2093977561</v>
      </c>
      <c r="I6" s="7">
        <f>MIN('Put Vola Solver'!D$5:D$39)</f>
        <v>0.000006980707823</v>
      </c>
      <c r="J6" s="7">
        <f>MEDIAN('Put Vola Solver'!D$5:D$39)</f>
        <v>0.00008716993662</v>
      </c>
      <c r="K6" s="7">
        <f>AVERAGE('Put Vola Solver'!D$5:D$39)</f>
        <v>0.02225747269</v>
      </c>
      <c r="L6" s="7">
        <f>MAX('Put Vola Solver'!D$5:D$39)</f>
        <v>0.7752025014</v>
      </c>
    </row>
    <row r="7">
      <c r="D7" s="1"/>
      <c r="H7" s="1"/>
    </row>
    <row r="8">
      <c r="D8" s="1"/>
      <c r="H8" s="1"/>
    </row>
    <row r="9">
      <c r="A9" s="2" t="s">
        <v>8</v>
      </c>
      <c r="B9" s="3"/>
      <c r="C9" s="3"/>
      <c r="D9" s="4"/>
      <c r="E9" s="3"/>
      <c r="F9" s="3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</v>
      </c>
      <c r="D10" s="1"/>
      <c r="E10" s="5" t="s">
        <v>2</v>
      </c>
      <c r="H10" s="1"/>
      <c r="I10" s="5" t="s">
        <v>3</v>
      </c>
    </row>
    <row r="11">
      <c r="A11" s="5" t="s">
        <v>4</v>
      </c>
      <c r="B11" s="5" t="s">
        <v>5</v>
      </c>
      <c r="C11" s="5" t="s">
        <v>6</v>
      </c>
      <c r="D11" s="6" t="s">
        <v>7</v>
      </c>
      <c r="E11" s="5" t="s">
        <v>4</v>
      </c>
      <c r="F11" s="5" t="s">
        <v>5</v>
      </c>
      <c r="G11" s="5" t="s">
        <v>6</v>
      </c>
      <c r="H11" s="6" t="s">
        <v>7</v>
      </c>
      <c r="I11" s="5" t="s">
        <v>4</v>
      </c>
      <c r="J11" s="5" t="s">
        <v>5</v>
      </c>
      <c r="K11" s="5" t="s">
        <v>6</v>
      </c>
      <c r="L11" s="5" t="s">
        <v>7</v>
      </c>
    </row>
    <row r="12">
      <c r="A12" s="9">
        <f>MIN(E12,I12)</f>
        <v>0.0000001746370927</v>
      </c>
      <c r="B12" s="9">
        <f>MEDIAN('Call Vola Solver'!E$5:E$39, 'Put Vola Solver'!E$5:E$39)</f>
        <v>0.00003361580797</v>
      </c>
      <c r="C12" s="9">
        <f>AVERAGE('Call Vola Solver'!E$5:E$39, 'Put Vola Solver'!E$5:E$39)</f>
        <v>0.0005400675839</v>
      </c>
      <c r="D12" s="10">
        <f>MAX(H12,L12)</f>
        <v>0.02411205178</v>
      </c>
      <c r="E12" s="9">
        <f>MIN('Call Vola Solver'!E$5:E$39)</f>
        <v>0.0000001746370927</v>
      </c>
      <c r="F12" s="9">
        <f>MEDIAN('Call Vola Solver'!E$5:E$39)</f>
        <v>0.00003292222266</v>
      </c>
      <c r="G12" s="9">
        <f>AVERAGE('Call Vola Solver'!E$5:E$39)</f>
        <v>0.0003318783304</v>
      </c>
      <c r="H12" s="10">
        <f>MAX('Call Vola Solver'!E$5:E$39)</f>
        <v>0.005125753976</v>
      </c>
      <c r="I12" s="9">
        <f>MIN('Put Vola Solver'!E$5:E$39)</f>
        <v>0.000000313358078</v>
      </c>
      <c r="J12" s="9">
        <f>MEDIAN('Put Vola Solver'!E$5:E$39)</f>
        <v>0.00003430939327</v>
      </c>
      <c r="K12" s="9">
        <f>AVERAGE('Put Vola Solver'!E$5:E$39)</f>
        <v>0.0007482568373</v>
      </c>
      <c r="L12" s="9">
        <f>MAX('Put Vola Solver'!E$5:E$39)</f>
        <v>0.02411205178</v>
      </c>
    </row>
    <row r="13">
      <c r="D13" s="1"/>
      <c r="H13" s="1"/>
    </row>
    <row r="14">
      <c r="D14" s="1"/>
      <c r="H14" s="1"/>
    </row>
    <row r="15">
      <c r="A15" s="2" t="s">
        <v>9</v>
      </c>
      <c r="B15" s="3"/>
      <c r="C15" s="3"/>
      <c r="D15" s="4"/>
      <c r="E15" s="3"/>
      <c r="F15" s="3"/>
      <c r="G15" s="3"/>
      <c r="H15" s="4"/>
      <c r="I15" s="3"/>
      <c r="J15" s="3"/>
      <c r="K15" s="3"/>
      <c r="L15" s="3"/>
    </row>
    <row r="16">
      <c r="A16" s="5" t="s">
        <v>1</v>
      </c>
      <c r="D16" s="1"/>
      <c r="E16" s="5" t="s">
        <v>2</v>
      </c>
      <c r="H16" s="1"/>
      <c r="I16" s="5" t="s">
        <v>3</v>
      </c>
    </row>
    <row r="17">
      <c r="A17" s="5" t="s">
        <v>4</v>
      </c>
      <c r="B17" s="5" t="s">
        <v>5</v>
      </c>
      <c r="C17" s="5" t="s">
        <v>6</v>
      </c>
      <c r="D17" s="6" t="s">
        <v>7</v>
      </c>
      <c r="E17" s="5" t="s">
        <v>4</v>
      </c>
      <c r="F17" s="5" t="s">
        <v>5</v>
      </c>
      <c r="G17" s="5" t="s">
        <v>6</v>
      </c>
      <c r="H17" s="6" t="s">
        <v>7</v>
      </c>
      <c r="I17" s="5" t="s">
        <v>4</v>
      </c>
      <c r="J17" s="5" t="s">
        <v>5</v>
      </c>
      <c r="K17" s="5" t="s">
        <v>6</v>
      </c>
      <c r="L17" s="5" t="s">
        <v>7</v>
      </c>
    </row>
    <row r="18">
      <c r="A18" s="7">
        <f>MIN(E18,I18)</f>
        <v>0.000001669475112</v>
      </c>
      <c r="B18" s="7">
        <f>MEDIAN('Call Vola Solver'!F5:F39, 'Put Vola Solver'!F5:F39)</f>
        <v>0.001490707041</v>
      </c>
      <c r="C18" s="7">
        <f>AVERAGE('Call Vola Solver'!F5:F39, 'Put Vola Solver'!F5:F39)</f>
        <v>0.008239124491</v>
      </c>
      <c r="D18" s="8">
        <f>MAX(H18,L18)</f>
        <v>0.2500660611</v>
      </c>
      <c r="E18" s="7">
        <f>MIN('Call Vola Solver'!F5:F39)</f>
        <v>0.000001669475112</v>
      </c>
      <c r="F18" s="7">
        <f>MEDIAN('Call Vola Solver'!F5:F39)</f>
        <v>0.001364776023</v>
      </c>
      <c r="G18" s="7">
        <f>AVERAGE('Call Vola Solver'!F5:F39)</f>
        <v>0.006254796863</v>
      </c>
      <c r="H18" s="8">
        <f>MAX('Call Vola Solver'!F5:F39)</f>
        <v>0.07704332596</v>
      </c>
      <c r="I18" s="7">
        <f>MIN('Put Vola Solver'!F5:F39)</f>
        <v>0.0000142798247</v>
      </c>
      <c r="J18" s="7">
        <f>MEDIAN('Put Vola Solver'!F5:F39)</f>
        <v>0.001616638059</v>
      </c>
      <c r="K18" s="7">
        <f>AVERAGE('Put Vola Solver'!F5:F39)</f>
        <v>0.01022345212</v>
      </c>
      <c r="L18" s="7">
        <f>MAX('Put Vola Solver'!F5:F39)</f>
        <v>0.2500660611</v>
      </c>
    </row>
    <row r="19">
      <c r="D19" s="1"/>
      <c r="H19" s="1"/>
    </row>
    <row r="20">
      <c r="D20" s="1"/>
      <c r="H20" s="1"/>
    </row>
    <row r="21">
      <c r="D21" s="1"/>
      <c r="H21" s="1"/>
    </row>
    <row r="22">
      <c r="D22" s="1"/>
      <c r="H22" s="1"/>
    </row>
    <row r="23">
      <c r="D23" s="1"/>
      <c r="H23" s="1"/>
    </row>
    <row r="24">
      <c r="A24" s="11" t="s">
        <v>10</v>
      </c>
      <c r="D24" s="1"/>
      <c r="H24" s="1"/>
    </row>
    <row r="25">
      <c r="D25" s="1"/>
      <c r="H25" s="1"/>
    </row>
    <row r="26">
      <c r="A26" s="12" t="s">
        <v>11</v>
      </c>
      <c r="D26" s="1"/>
      <c r="H26" s="1"/>
    </row>
    <row r="27">
      <c r="A27" s="13" t="s">
        <v>12</v>
      </c>
      <c r="B27" s="5">
        <v>1.0</v>
      </c>
      <c r="D27" s="1"/>
      <c r="H27" s="1"/>
    </row>
    <row r="28">
      <c r="A28" s="13" t="s">
        <v>13</v>
      </c>
      <c r="B28" s="5">
        <v>1.0</v>
      </c>
      <c r="D28" s="1"/>
      <c r="H28" s="1"/>
    </row>
    <row r="29">
      <c r="A29" s="12" t="s">
        <v>14</v>
      </c>
      <c r="D29" s="1"/>
      <c r="H29" s="1"/>
    </row>
    <row r="30">
      <c r="A30" s="13" t="s">
        <v>15</v>
      </c>
      <c r="B30" s="5">
        <v>1.0</v>
      </c>
      <c r="D30" s="1"/>
      <c r="H30" s="1"/>
    </row>
    <row r="31">
      <c r="A31" s="13" t="s">
        <v>16</v>
      </c>
      <c r="B31" s="5">
        <v>1.0</v>
      </c>
      <c r="D31" s="1"/>
      <c r="H31" s="1"/>
    </row>
    <row r="32">
      <c r="A32" s="13" t="s">
        <v>17</v>
      </c>
      <c r="B32" s="5">
        <v>2.0</v>
      </c>
      <c r="D32" s="1"/>
      <c r="H32" s="1"/>
    </row>
    <row r="33">
      <c r="A33" s="12" t="s">
        <v>18</v>
      </c>
      <c r="D33" s="1"/>
      <c r="H33" s="1"/>
    </row>
    <row r="34">
      <c r="A34" s="5" t="s">
        <v>19</v>
      </c>
      <c r="B34" s="5">
        <v>1.0</v>
      </c>
      <c r="D34" s="1"/>
      <c r="H34" s="1"/>
    </row>
    <row r="35">
      <c r="A35" s="5" t="s">
        <v>20</v>
      </c>
      <c r="B35" s="5">
        <v>3.0</v>
      </c>
      <c r="D35" s="1"/>
      <c r="H35" s="1"/>
    </row>
    <row r="36">
      <c r="A36" s="5" t="s">
        <v>21</v>
      </c>
      <c r="B36" s="5">
        <v>3.0</v>
      </c>
      <c r="D36" s="1"/>
      <c r="H36" s="1"/>
    </row>
    <row r="37">
      <c r="A37" s="5" t="s">
        <v>22</v>
      </c>
      <c r="B37" s="5">
        <v>3.0</v>
      </c>
      <c r="D37" s="1"/>
      <c r="H37" s="1"/>
    </row>
    <row r="38">
      <c r="A38" s="12" t="s">
        <v>23</v>
      </c>
      <c r="D38" s="1"/>
      <c r="H38" s="1"/>
    </row>
    <row r="39">
      <c r="A39" s="5" t="s">
        <v>24</v>
      </c>
      <c r="B39" s="5">
        <v>1.0</v>
      </c>
      <c r="D39" s="1"/>
      <c r="H39" s="1"/>
    </row>
    <row r="40">
      <c r="A40" s="5" t="s">
        <v>25</v>
      </c>
      <c r="B40" s="5">
        <v>1.0</v>
      </c>
      <c r="D40" s="1"/>
      <c r="H40" s="1"/>
    </row>
    <row r="41">
      <c r="A41" s="5" t="s">
        <v>26</v>
      </c>
      <c r="B41" s="5">
        <v>1.0</v>
      </c>
      <c r="D41" s="1"/>
      <c r="H41" s="1"/>
    </row>
    <row r="42">
      <c r="A42" s="5" t="s">
        <v>20</v>
      </c>
      <c r="B42" s="5">
        <v>1.0</v>
      </c>
      <c r="D42" s="1"/>
      <c r="H42" s="1"/>
    </row>
    <row r="43">
      <c r="A43" s="5" t="s">
        <v>21</v>
      </c>
      <c r="B43" s="5">
        <v>1.0</v>
      </c>
      <c r="D43" s="1"/>
      <c r="H43" s="1"/>
    </row>
    <row r="44">
      <c r="A44" s="5" t="s">
        <v>22</v>
      </c>
      <c r="B44" s="5">
        <v>1.0</v>
      </c>
      <c r="D44" s="1"/>
      <c r="H44" s="1"/>
    </row>
    <row r="45">
      <c r="A45" s="12" t="s">
        <v>27</v>
      </c>
      <c r="D45" s="1"/>
      <c r="H45" s="1"/>
    </row>
    <row r="46">
      <c r="A46" s="5" t="s">
        <v>28</v>
      </c>
      <c r="B46" s="5">
        <v>1.0</v>
      </c>
      <c r="D46" s="1"/>
      <c r="H46" s="1"/>
    </row>
    <row r="47">
      <c r="A47" s="5" t="s">
        <v>29</v>
      </c>
      <c r="B47" s="5">
        <v>1.0</v>
      </c>
      <c r="D47" s="1"/>
      <c r="H47" s="1"/>
    </row>
    <row r="48">
      <c r="A48" s="5" t="s">
        <v>30</v>
      </c>
      <c r="B48" s="5">
        <v>1.0</v>
      </c>
      <c r="D48" s="1"/>
      <c r="H48" s="1"/>
    </row>
    <row r="49">
      <c r="A49" s="5"/>
      <c r="D49" s="1"/>
      <c r="H49" s="1"/>
    </row>
    <row r="50">
      <c r="A50" s="5" t="s">
        <v>31</v>
      </c>
      <c r="B50" s="14">
        <f>sum(B26:B49)</f>
        <v>25</v>
      </c>
      <c r="D50" s="1"/>
      <c r="H50" s="1"/>
    </row>
    <row r="51">
      <c r="D51" s="1"/>
      <c r="H51" s="1"/>
    </row>
    <row r="52">
      <c r="D52" s="1"/>
      <c r="H52" s="1"/>
    </row>
    <row r="53">
      <c r="D53" s="1"/>
      <c r="H53" s="1"/>
    </row>
    <row r="54">
      <c r="D54" s="1"/>
      <c r="H54" s="1"/>
    </row>
    <row r="55">
      <c r="D55" s="1"/>
      <c r="H55" s="1"/>
    </row>
    <row r="56">
      <c r="D56" s="1"/>
      <c r="H56" s="1"/>
    </row>
    <row r="57">
      <c r="D57" s="1"/>
      <c r="H57" s="1"/>
    </row>
    <row r="58">
      <c r="D58" s="1"/>
      <c r="H58" s="1"/>
    </row>
    <row r="59">
      <c r="D59" s="1"/>
      <c r="H59" s="1"/>
    </row>
    <row r="60">
      <c r="D60" s="1"/>
      <c r="H60" s="1"/>
    </row>
    <row r="61">
      <c r="D61" s="1"/>
      <c r="H61" s="1"/>
    </row>
    <row r="62">
      <c r="D62" s="1"/>
      <c r="H62" s="1"/>
    </row>
    <row r="63">
      <c r="D63" s="1"/>
      <c r="H63" s="1"/>
    </row>
    <row r="64">
      <c r="D64" s="1"/>
      <c r="H64" s="1"/>
    </row>
    <row r="65">
      <c r="D65" s="1"/>
      <c r="H65" s="1"/>
    </row>
    <row r="66">
      <c r="D66" s="1"/>
      <c r="H66" s="1"/>
    </row>
    <row r="67">
      <c r="D67" s="1"/>
      <c r="H67" s="1"/>
    </row>
    <row r="68">
      <c r="D68" s="1"/>
      <c r="H68" s="1"/>
    </row>
    <row r="69">
      <c r="D69" s="1"/>
      <c r="H69" s="1"/>
    </row>
    <row r="70">
      <c r="D70" s="1"/>
      <c r="H70" s="1"/>
    </row>
    <row r="71">
      <c r="D71" s="1"/>
      <c r="H71" s="1"/>
    </row>
    <row r="72">
      <c r="D72" s="1"/>
      <c r="H72" s="1"/>
    </row>
    <row r="73">
      <c r="D73" s="1"/>
      <c r="H73" s="1"/>
    </row>
    <row r="74">
      <c r="D74" s="1"/>
      <c r="H74" s="1"/>
    </row>
    <row r="75">
      <c r="D75" s="1"/>
      <c r="H75" s="1"/>
    </row>
    <row r="76">
      <c r="D76" s="1"/>
      <c r="H76" s="1"/>
    </row>
    <row r="77">
      <c r="D77" s="1"/>
      <c r="H77" s="1"/>
    </row>
    <row r="78">
      <c r="D78" s="1"/>
      <c r="H78" s="1"/>
    </row>
    <row r="79">
      <c r="D79" s="1"/>
      <c r="H79" s="1"/>
    </row>
    <row r="80">
      <c r="D80" s="1"/>
      <c r="H80" s="1"/>
    </row>
    <row r="81">
      <c r="D81" s="1"/>
      <c r="H81" s="1"/>
    </row>
    <row r="82">
      <c r="D82" s="1"/>
      <c r="H82" s="1"/>
    </row>
    <row r="83">
      <c r="D83" s="1"/>
      <c r="H83" s="1"/>
    </row>
    <row r="84">
      <c r="D84" s="1"/>
      <c r="H84" s="1"/>
    </row>
    <row r="85">
      <c r="D85" s="1"/>
      <c r="H85" s="1"/>
    </row>
    <row r="86">
      <c r="D86" s="1"/>
      <c r="H86" s="1"/>
    </row>
    <row r="87">
      <c r="D87" s="1"/>
      <c r="H87" s="1"/>
    </row>
    <row r="88">
      <c r="D88" s="1"/>
      <c r="H88" s="1"/>
    </row>
    <row r="89">
      <c r="D89" s="1"/>
      <c r="H89" s="1"/>
    </row>
    <row r="90">
      <c r="D90" s="1"/>
      <c r="H90" s="1"/>
    </row>
    <row r="91">
      <c r="D91" s="1"/>
      <c r="H91" s="1"/>
    </row>
    <row r="92">
      <c r="D92" s="1"/>
      <c r="H92" s="1"/>
    </row>
    <row r="93">
      <c r="D93" s="1"/>
      <c r="H93" s="1"/>
    </row>
    <row r="94">
      <c r="D94" s="1"/>
      <c r="H94" s="1"/>
    </row>
    <row r="95">
      <c r="D95" s="1"/>
      <c r="H95" s="1"/>
    </row>
    <row r="96">
      <c r="D96" s="1"/>
      <c r="H96" s="1"/>
    </row>
    <row r="97">
      <c r="D97" s="1"/>
      <c r="H97" s="1"/>
    </row>
    <row r="98">
      <c r="D98" s="1"/>
      <c r="H98" s="1"/>
    </row>
    <row r="99">
      <c r="D99" s="1"/>
      <c r="H99" s="1"/>
    </row>
    <row r="100">
      <c r="D100" s="1"/>
      <c r="H100" s="1"/>
    </row>
    <row r="101">
      <c r="D101" s="1"/>
      <c r="H101" s="1"/>
    </row>
    <row r="102">
      <c r="D102" s="1"/>
      <c r="H102" s="1"/>
    </row>
    <row r="103">
      <c r="D103" s="1"/>
      <c r="H103" s="1"/>
    </row>
    <row r="104">
      <c r="D104" s="1"/>
      <c r="H104" s="1"/>
    </row>
    <row r="105">
      <c r="D105" s="1"/>
      <c r="H105" s="1"/>
    </row>
    <row r="106">
      <c r="D106" s="1"/>
      <c r="H106" s="1"/>
    </row>
    <row r="107">
      <c r="D107" s="1"/>
      <c r="H107" s="1"/>
    </row>
    <row r="108">
      <c r="D108" s="1"/>
      <c r="H108" s="1"/>
    </row>
    <row r="109">
      <c r="D109" s="1"/>
      <c r="H109" s="1"/>
    </row>
    <row r="110">
      <c r="D110" s="1"/>
      <c r="H110" s="1"/>
    </row>
    <row r="111">
      <c r="D111" s="1"/>
      <c r="H111" s="1"/>
    </row>
    <row r="112">
      <c r="D112" s="1"/>
      <c r="H112" s="1"/>
    </row>
    <row r="113">
      <c r="D113" s="1"/>
      <c r="H113" s="1"/>
    </row>
    <row r="114">
      <c r="D114" s="1"/>
      <c r="H114" s="1"/>
    </row>
    <row r="115">
      <c r="D115" s="1"/>
      <c r="H115" s="1"/>
    </row>
    <row r="116">
      <c r="D116" s="1"/>
      <c r="H116" s="1"/>
    </row>
    <row r="117">
      <c r="D117" s="1"/>
      <c r="H117" s="1"/>
    </row>
    <row r="118">
      <c r="D118" s="1"/>
      <c r="H118" s="1"/>
    </row>
    <row r="119">
      <c r="D119" s="1"/>
      <c r="H119" s="1"/>
    </row>
    <row r="120">
      <c r="D120" s="1"/>
      <c r="H120" s="1"/>
    </row>
    <row r="121">
      <c r="D121" s="1"/>
      <c r="H121" s="1"/>
    </row>
    <row r="122">
      <c r="D122" s="1"/>
      <c r="H122" s="1"/>
    </row>
    <row r="123">
      <c r="D123" s="1"/>
      <c r="H123" s="1"/>
    </row>
    <row r="124">
      <c r="D124" s="1"/>
      <c r="H124" s="1"/>
    </row>
    <row r="125">
      <c r="D125" s="1"/>
      <c r="H125" s="1"/>
    </row>
    <row r="126">
      <c r="D126" s="1"/>
      <c r="H126" s="1"/>
    </row>
    <row r="127">
      <c r="D127" s="1"/>
      <c r="H127" s="1"/>
    </row>
    <row r="128">
      <c r="D128" s="1"/>
      <c r="H128" s="1"/>
    </row>
    <row r="129">
      <c r="D129" s="1"/>
      <c r="H129" s="1"/>
    </row>
    <row r="130">
      <c r="D130" s="1"/>
      <c r="H130" s="1"/>
    </row>
    <row r="131">
      <c r="D131" s="1"/>
      <c r="H131" s="1"/>
    </row>
    <row r="132">
      <c r="D132" s="1"/>
      <c r="H132" s="1"/>
    </row>
    <row r="133">
      <c r="D133" s="1"/>
      <c r="H133" s="1"/>
    </row>
    <row r="134">
      <c r="D134" s="1"/>
      <c r="H134" s="1"/>
    </row>
    <row r="135">
      <c r="D135" s="1"/>
      <c r="H135" s="1"/>
    </row>
    <row r="136">
      <c r="D136" s="1"/>
      <c r="H136" s="1"/>
    </row>
    <row r="137">
      <c r="D137" s="1"/>
      <c r="H137" s="1"/>
    </row>
    <row r="138">
      <c r="D138" s="1"/>
      <c r="H138" s="1"/>
    </row>
    <row r="139">
      <c r="D139" s="1"/>
      <c r="H139" s="1"/>
    </row>
    <row r="140">
      <c r="D140" s="1"/>
      <c r="H140" s="1"/>
    </row>
    <row r="141">
      <c r="D141" s="1"/>
      <c r="H141" s="1"/>
    </row>
    <row r="142">
      <c r="D142" s="1"/>
      <c r="H142" s="1"/>
    </row>
    <row r="143">
      <c r="D143" s="1"/>
      <c r="H143" s="1"/>
    </row>
    <row r="144">
      <c r="D144" s="1"/>
      <c r="H144" s="1"/>
    </row>
    <row r="145">
      <c r="D145" s="1"/>
      <c r="H145" s="1"/>
    </row>
    <row r="146">
      <c r="D146" s="1"/>
      <c r="H146" s="1"/>
    </row>
    <row r="147">
      <c r="D147" s="1"/>
      <c r="H147" s="1"/>
    </row>
    <row r="148">
      <c r="D148" s="1"/>
      <c r="H148" s="1"/>
    </row>
    <row r="149">
      <c r="D149" s="1"/>
      <c r="H149" s="1"/>
    </row>
    <row r="150">
      <c r="D150" s="1"/>
      <c r="H150" s="1"/>
    </row>
    <row r="151">
      <c r="D151" s="1"/>
      <c r="H151" s="1"/>
    </row>
    <row r="152">
      <c r="D152" s="1"/>
      <c r="H152" s="1"/>
    </row>
    <row r="153">
      <c r="D153" s="1"/>
      <c r="H153" s="1"/>
    </row>
    <row r="154">
      <c r="D154" s="1"/>
      <c r="H154" s="1"/>
    </row>
    <row r="155">
      <c r="D155" s="1"/>
      <c r="H155" s="1"/>
    </row>
    <row r="156">
      <c r="D156" s="1"/>
      <c r="H156" s="1"/>
    </row>
    <row r="157">
      <c r="D157" s="1"/>
      <c r="H157" s="1"/>
    </row>
    <row r="158">
      <c r="D158" s="1"/>
      <c r="H158" s="1"/>
    </row>
    <row r="159">
      <c r="D159" s="1"/>
      <c r="H159" s="1"/>
    </row>
    <row r="160">
      <c r="D160" s="1"/>
      <c r="H160" s="1"/>
    </row>
    <row r="161">
      <c r="D161" s="1"/>
      <c r="H161" s="1"/>
    </row>
    <row r="162">
      <c r="D162" s="1"/>
      <c r="H162" s="1"/>
    </row>
    <row r="163">
      <c r="D163" s="1"/>
      <c r="H163" s="1"/>
    </row>
    <row r="164">
      <c r="D164" s="1"/>
      <c r="H164" s="1"/>
    </row>
    <row r="165">
      <c r="D165" s="1"/>
      <c r="H165" s="1"/>
    </row>
    <row r="166">
      <c r="D166" s="1"/>
      <c r="H166" s="1"/>
    </row>
    <row r="167">
      <c r="D167" s="1"/>
      <c r="H167" s="1"/>
    </row>
    <row r="168">
      <c r="D168" s="1"/>
      <c r="H168" s="1"/>
    </row>
    <row r="169">
      <c r="D169" s="1"/>
      <c r="H169" s="1"/>
    </row>
    <row r="170">
      <c r="D170" s="1"/>
      <c r="H170" s="1"/>
    </row>
    <row r="171">
      <c r="D171" s="1"/>
      <c r="H171" s="1"/>
    </row>
    <row r="172">
      <c r="D172" s="1"/>
      <c r="H172" s="1"/>
    </row>
    <row r="173">
      <c r="D173" s="1"/>
      <c r="H173" s="1"/>
    </row>
    <row r="174">
      <c r="D174" s="1"/>
      <c r="H174" s="1"/>
    </row>
    <row r="175">
      <c r="D175" s="1"/>
      <c r="H175" s="1"/>
    </row>
    <row r="176">
      <c r="D176" s="1"/>
      <c r="H176" s="1"/>
    </row>
    <row r="177">
      <c r="D177" s="1"/>
      <c r="H177" s="1"/>
    </row>
    <row r="178">
      <c r="D178" s="1"/>
      <c r="H178" s="1"/>
    </row>
    <row r="179">
      <c r="D179" s="1"/>
      <c r="H179" s="1"/>
    </row>
    <row r="180">
      <c r="D180" s="1"/>
      <c r="H180" s="1"/>
    </row>
    <row r="181">
      <c r="D181" s="1"/>
      <c r="H181" s="1"/>
    </row>
    <row r="182">
      <c r="D182" s="1"/>
      <c r="H182" s="1"/>
    </row>
    <row r="183">
      <c r="D183" s="1"/>
      <c r="H183" s="1"/>
    </row>
    <row r="184">
      <c r="D184" s="1"/>
      <c r="H184" s="1"/>
    </row>
    <row r="185">
      <c r="D185" s="1"/>
      <c r="H185" s="1"/>
    </row>
    <row r="186">
      <c r="D186" s="1"/>
      <c r="H186" s="1"/>
    </row>
    <row r="187">
      <c r="D187" s="1"/>
      <c r="H187" s="1"/>
    </row>
    <row r="188">
      <c r="D188" s="1"/>
      <c r="H188" s="1"/>
    </row>
    <row r="189">
      <c r="D189" s="1"/>
      <c r="H189" s="1"/>
    </row>
    <row r="190">
      <c r="D190" s="1"/>
      <c r="H190" s="1"/>
    </row>
    <row r="191">
      <c r="D191" s="1"/>
      <c r="H191" s="1"/>
    </row>
    <row r="192">
      <c r="D192" s="1"/>
      <c r="H192" s="1"/>
    </row>
    <row r="193">
      <c r="D193" s="1"/>
      <c r="H193" s="1"/>
    </row>
    <row r="194">
      <c r="D194" s="1"/>
      <c r="H194" s="1"/>
    </row>
    <row r="195">
      <c r="D195" s="1"/>
      <c r="H195" s="1"/>
    </row>
    <row r="196">
      <c r="D196" s="1"/>
      <c r="H196" s="1"/>
    </row>
    <row r="197">
      <c r="D197" s="1"/>
      <c r="H197" s="1"/>
    </row>
    <row r="198">
      <c r="D198" s="1"/>
      <c r="H198" s="1"/>
    </row>
    <row r="199">
      <c r="D199" s="1"/>
      <c r="H199" s="1"/>
    </row>
    <row r="200">
      <c r="D200" s="1"/>
      <c r="H200" s="1"/>
    </row>
    <row r="201">
      <c r="D201" s="1"/>
      <c r="H201" s="1"/>
    </row>
    <row r="202">
      <c r="D202" s="1"/>
      <c r="H202" s="1"/>
    </row>
    <row r="203">
      <c r="D203" s="1"/>
      <c r="H203" s="1"/>
    </row>
    <row r="204">
      <c r="D204" s="1"/>
      <c r="H204" s="1"/>
    </row>
    <row r="205">
      <c r="D205" s="1"/>
      <c r="H205" s="1"/>
    </row>
    <row r="206">
      <c r="D206" s="1"/>
      <c r="H206" s="1"/>
    </row>
    <row r="207">
      <c r="D207" s="1"/>
      <c r="H207" s="1"/>
    </row>
    <row r="208">
      <c r="D208" s="1"/>
      <c r="H208" s="1"/>
    </row>
    <row r="209">
      <c r="D209" s="1"/>
      <c r="H209" s="1"/>
    </row>
    <row r="210">
      <c r="D210" s="1"/>
      <c r="H210" s="1"/>
    </row>
    <row r="211">
      <c r="D211" s="1"/>
      <c r="H211" s="1"/>
    </row>
    <row r="212">
      <c r="D212" s="1"/>
      <c r="H212" s="1"/>
    </row>
    <row r="213">
      <c r="D213" s="1"/>
      <c r="H213" s="1"/>
    </row>
    <row r="214">
      <c r="D214" s="1"/>
      <c r="H214" s="1"/>
    </row>
    <row r="215">
      <c r="D215" s="1"/>
      <c r="H215" s="1"/>
    </row>
    <row r="216">
      <c r="D216" s="1"/>
      <c r="H216" s="1"/>
    </row>
    <row r="217">
      <c r="D217" s="1"/>
      <c r="H217" s="1"/>
    </row>
    <row r="218">
      <c r="D218" s="1"/>
      <c r="H218" s="1"/>
    </row>
    <row r="219">
      <c r="D219" s="1"/>
      <c r="H219" s="1"/>
    </row>
    <row r="220">
      <c r="D220" s="1"/>
      <c r="H220" s="1"/>
    </row>
    <row r="221">
      <c r="D221" s="1"/>
      <c r="H221" s="1"/>
    </row>
    <row r="222">
      <c r="D222" s="1"/>
      <c r="H222" s="1"/>
    </row>
    <row r="223">
      <c r="D223" s="1"/>
      <c r="H223" s="1"/>
    </row>
    <row r="224">
      <c r="D224" s="1"/>
      <c r="H224" s="1"/>
    </row>
    <row r="225">
      <c r="D225" s="1"/>
      <c r="H225" s="1"/>
    </row>
    <row r="226">
      <c r="D226" s="1"/>
      <c r="H226" s="1"/>
    </row>
    <row r="227">
      <c r="D227" s="1"/>
      <c r="H227" s="1"/>
    </row>
    <row r="228">
      <c r="D228" s="1"/>
      <c r="H228" s="1"/>
    </row>
    <row r="229">
      <c r="D229" s="1"/>
      <c r="H229" s="1"/>
    </row>
    <row r="230">
      <c r="D230" s="1"/>
      <c r="H230" s="1"/>
    </row>
    <row r="231">
      <c r="D231" s="1"/>
      <c r="H231" s="1"/>
    </row>
    <row r="232">
      <c r="D232" s="1"/>
      <c r="H232" s="1"/>
    </row>
    <row r="233">
      <c r="D233" s="1"/>
      <c r="H233" s="1"/>
    </row>
    <row r="234">
      <c r="D234" s="1"/>
      <c r="H234" s="1"/>
    </row>
    <row r="235">
      <c r="D235" s="1"/>
      <c r="H235" s="1"/>
    </row>
    <row r="236">
      <c r="D236" s="1"/>
      <c r="H236" s="1"/>
    </row>
    <row r="237">
      <c r="D237" s="1"/>
      <c r="H237" s="1"/>
    </row>
    <row r="238">
      <c r="D238" s="1"/>
      <c r="H238" s="1"/>
    </row>
    <row r="239">
      <c r="D239" s="1"/>
      <c r="H239" s="1"/>
    </row>
    <row r="240">
      <c r="D240" s="1"/>
      <c r="H240" s="1"/>
    </row>
    <row r="241">
      <c r="D241" s="1"/>
      <c r="H241" s="1"/>
    </row>
    <row r="242">
      <c r="D242" s="1"/>
      <c r="H242" s="1"/>
    </row>
    <row r="243">
      <c r="D243" s="1"/>
      <c r="H243" s="1"/>
    </row>
    <row r="244">
      <c r="D244" s="1"/>
      <c r="H244" s="1"/>
    </row>
    <row r="245">
      <c r="D245" s="1"/>
      <c r="H245" s="1"/>
    </row>
    <row r="246">
      <c r="D246" s="1"/>
      <c r="H246" s="1"/>
    </row>
    <row r="247">
      <c r="D247" s="1"/>
      <c r="H247" s="1"/>
    </row>
    <row r="248">
      <c r="D248" s="1"/>
      <c r="H248" s="1"/>
    </row>
    <row r="249">
      <c r="D249" s="1"/>
      <c r="H249" s="1"/>
    </row>
    <row r="250">
      <c r="D250" s="1"/>
      <c r="H250" s="1"/>
    </row>
    <row r="251">
      <c r="D251" s="1"/>
      <c r="H251" s="1"/>
    </row>
    <row r="252">
      <c r="D252" s="1"/>
      <c r="H252" s="1"/>
    </row>
    <row r="253">
      <c r="D253" s="1"/>
      <c r="H253" s="1"/>
    </row>
    <row r="254">
      <c r="D254" s="1"/>
      <c r="H254" s="1"/>
    </row>
    <row r="255">
      <c r="D255" s="1"/>
      <c r="H255" s="1"/>
    </row>
    <row r="256">
      <c r="D256" s="1"/>
      <c r="H256" s="1"/>
    </row>
    <row r="257">
      <c r="D257" s="1"/>
      <c r="H257" s="1"/>
    </row>
    <row r="258">
      <c r="D258" s="1"/>
      <c r="H258" s="1"/>
    </row>
    <row r="259">
      <c r="D259" s="1"/>
      <c r="H259" s="1"/>
    </row>
    <row r="260">
      <c r="D260" s="1"/>
      <c r="H260" s="1"/>
    </row>
    <row r="261">
      <c r="D261" s="1"/>
      <c r="H261" s="1"/>
    </row>
    <row r="262">
      <c r="D262" s="1"/>
      <c r="H262" s="1"/>
    </row>
    <row r="263">
      <c r="D263" s="1"/>
      <c r="H263" s="1"/>
    </row>
    <row r="264">
      <c r="D264" s="1"/>
      <c r="H264" s="1"/>
    </row>
    <row r="265">
      <c r="D265" s="1"/>
      <c r="H265" s="1"/>
    </row>
    <row r="266">
      <c r="D266" s="1"/>
      <c r="H266" s="1"/>
    </row>
    <row r="267">
      <c r="D267" s="1"/>
      <c r="H267" s="1"/>
    </row>
    <row r="268">
      <c r="D268" s="1"/>
      <c r="H268" s="1"/>
    </row>
    <row r="269">
      <c r="D269" s="1"/>
      <c r="H269" s="1"/>
    </row>
    <row r="270">
      <c r="D270" s="1"/>
      <c r="H270" s="1"/>
    </row>
    <row r="271">
      <c r="D271" s="1"/>
      <c r="H271" s="1"/>
    </row>
    <row r="272">
      <c r="D272" s="1"/>
      <c r="H272" s="1"/>
    </row>
    <row r="273">
      <c r="D273" s="1"/>
      <c r="H273" s="1"/>
    </row>
    <row r="274">
      <c r="D274" s="1"/>
      <c r="H274" s="1"/>
    </row>
    <row r="275">
      <c r="D275" s="1"/>
      <c r="H275" s="1"/>
    </row>
    <row r="276">
      <c r="D276" s="1"/>
      <c r="H276" s="1"/>
    </row>
    <row r="277">
      <c r="D277" s="1"/>
      <c r="H277" s="1"/>
    </row>
    <row r="278">
      <c r="D278" s="1"/>
      <c r="H278" s="1"/>
    </row>
    <row r="279">
      <c r="D279" s="1"/>
      <c r="H279" s="1"/>
    </row>
    <row r="280">
      <c r="D280" s="1"/>
      <c r="H280" s="1"/>
    </row>
    <row r="281">
      <c r="D281" s="1"/>
      <c r="H281" s="1"/>
    </row>
    <row r="282">
      <c r="D282" s="1"/>
      <c r="H282" s="1"/>
    </row>
    <row r="283">
      <c r="D283" s="1"/>
      <c r="H283" s="1"/>
    </row>
    <row r="284">
      <c r="D284" s="1"/>
      <c r="H284" s="1"/>
    </row>
    <row r="285">
      <c r="D285" s="1"/>
      <c r="H285" s="1"/>
    </row>
    <row r="286">
      <c r="D286" s="1"/>
      <c r="H286" s="1"/>
    </row>
    <row r="287">
      <c r="D287" s="1"/>
      <c r="H287" s="1"/>
    </row>
    <row r="288">
      <c r="D288" s="1"/>
      <c r="H288" s="1"/>
    </row>
    <row r="289">
      <c r="D289" s="1"/>
      <c r="H289" s="1"/>
    </row>
    <row r="290">
      <c r="D290" s="1"/>
      <c r="H290" s="1"/>
    </row>
    <row r="291">
      <c r="D291" s="1"/>
      <c r="H291" s="1"/>
    </row>
    <row r="292">
      <c r="D292" s="1"/>
      <c r="H292" s="1"/>
    </row>
    <row r="293">
      <c r="D293" s="1"/>
      <c r="H293" s="1"/>
    </row>
    <row r="294">
      <c r="D294" s="1"/>
      <c r="H294" s="1"/>
    </row>
    <row r="295">
      <c r="D295" s="1"/>
      <c r="H295" s="1"/>
    </row>
    <row r="296">
      <c r="D296" s="1"/>
      <c r="H296" s="1"/>
    </row>
    <row r="297">
      <c r="D297" s="1"/>
      <c r="H297" s="1"/>
    </row>
    <row r="298">
      <c r="D298" s="1"/>
      <c r="H298" s="1"/>
    </row>
    <row r="299">
      <c r="D299" s="1"/>
      <c r="H299" s="1"/>
    </row>
    <row r="300">
      <c r="D300" s="1"/>
      <c r="H300" s="1"/>
    </row>
    <row r="301">
      <c r="D301" s="1"/>
      <c r="H301" s="1"/>
    </row>
    <row r="302">
      <c r="D302" s="1"/>
      <c r="H302" s="1"/>
    </row>
    <row r="303">
      <c r="D303" s="1"/>
      <c r="H303" s="1"/>
    </row>
    <row r="304">
      <c r="D304" s="1"/>
      <c r="H304" s="1"/>
    </row>
    <row r="305">
      <c r="D305" s="1"/>
      <c r="H305" s="1"/>
    </row>
    <row r="306">
      <c r="D306" s="1"/>
      <c r="H306" s="1"/>
    </row>
    <row r="307">
      <c r="D307" s="1"/>
      <c r="H307" s="1"/>
    </row>
    <row r="308">
      <c r="D308" s="1"/>
      <c r="H308" s="1"/>
    </row>
    <row r="309">
      <c r="D309" s="1"/>
      <c r="H309" s="1"/>
    </row>
    <row r="310">
      <c r="D310" s="1"/>
      <c r="H310" s="1"/>
    </row>
    <row r="311">
      <c r="D311" s="1"/>
      <c r="H311" s="1"/>
    </row>
    <row r="312">
      <c r="D312" s="1"/>
      <c r="H312" s="1"/>
    </row>
    <row r="313">
      <c r="D313" s="1"/>
      <c r="H313" s="1"/>
    </row>
    <row r="314">
      <c r="D314" s="1"/>
      <c r="H314" s="1"/>
    </row>
    <row r="315">
      <c r="D315" s="1"/>
      <c r="H315" s="1"/>
    </row>
    <row r="316">
      <c r="D316" s="1"/>
      <c r="H316" s="1"/>
    </row>
    <row r="317">
      <c r="D317" s="1"/>
      <c r="H317" s="1"/>
    </row>
    <row r="318">
      <c r="D318" s="1"/>
      <c r="H318" s="1"/>
    </row>
    <row r="319">
      <c r="D319" s="1"/>
      <c r="H319" s="1"/>
    </row>
    <row r="320">
      <c r="D320" s="1"/>
      <c r="H320" s="1"/>
    </row>
    <row r="321">
      <c r="D321" s="1"/>
      <c r="H321" s="1"/>
    </row>
    <row r="322">
      <c r="D322" s="1"/>
      <c r="H322" s="1"/>
    </row>
    <row r="323">
      <c r="D323" s="1"/>
      <c r="H323" s="1"/>
    </row>
    <row r="324">
      <c r="D324" s="1"/>
      <c r="H324" s="1"/>
    </row>
    <row r="325">
      <c r="D325" s="1"/>
      <c r="H325" s="1"/>
    </row>
    <row r="326">
      <c r="D326" s="1"/>
      <c r="H326" s="1"/>
    </row>
    <row r="327">
      <c r="D327" s="1"/>
      <c r="H327" s="1"/>
    </row>
    <row r="328">
      <c r="D328" s="1"/>
      <c r="H328" s="1"/>
    </row>
    <row r="329">
      <c r="D329" s="1"/>
      <c r="H329" s="1"/>
    </row>
    <row r="330">
      <c r="D330" s="1"/>
      <c r="H330" s="1"/>
    </row>
    <row r="331">
      <c r="D331" s="1"/>
      <c r="H331" s="1"/>
    </row>
    <row r="332">
      <c r="D332" s="1"/>
      <c r="H332" s="1"/>
    </row>
    <row r="333">
      <c r="D333" s="1"/>
      <c r="H333" s="1"/>
    </row>
    <row r="334">
      <c r="D334" s="1"/>
      <c r="H334" s="1"/>
    </row>
    <row r="335">
      <c r="D335" s="1"/>
      <c r="H335" s="1"/>
    </row>
    <row r="336">
      <c r="D336" s="1"/>
      <c r="H336" s="1"/>
    </row>
    <row r="337">
      <c r="D337" s="1"/>
      <c r="H337" s="1"/>
    </row>
    <row r="338">
      <c r="D338" s="1"/>
      <c r="H338" s="1"/>
    </row>
    <row r="339">
      <c r="D339" s="1"/>
      <c r="H339" s="1"/>
    </row>
    <row r="340">
      <c r="D340" s="1"/>
      <c r="H340" s="1"/>
    </row>
    <row r="341">
      <c r="D341" s="1"/>
      <c r="H341" s="1"/>
    </row>
    <row r="342">
      <c r="D342" s="1"/>
      <c r="H342" s="1"/>
    </row>
    <row r="343">
      <c r="D343" s="1"/>
      <c r="H343" s="1"/>
    </row>
    <row r="344">
      <c r="D344" s="1"/>
      <c r="H344" s="1"/>
    </row>
    <row r="345">
      <c r="D345" s="1"/>
      <c r="H345" s="1"/>
    </row>
    <row r="346">
      <c r="D346" s="1"/>
      <c r="H346" s="1"/>
    </row>
    <row r="347">
      <c r="D347" s="1"/>
      <c r="H347" s="1"/>
    </row>
    <row r="348">
      <c r="D348" s="1"/>
      <c r="H348" s="1"/>
    </row>
    <row r="349">
      <c r="D349" s="1"/>
      <c r="H349" s="1"/>
    </row>
    <row r="350">
      <c r="D350" s="1"/>
      <c r="H350" s="1"/>
    </row>
    <row r="351">
      <c r="D351" s="1"/>
      <c r="H351" s="1"/>
    </row>
    <row r="352">
      <c r="D352" s="1"/>
      <c r="H352" s="1"/>
    </row>
    <row r="353">
      <c r="D353" s="1"/>
      <c r="H353" s="1"/>
    </row>
    <row r="354">
      <c r="D354" s="1"/>
      <c r="H354" s="1"/>
    </row>
    <row r="355">
      <c r="D355" s="1"/>
      <c r="H355" s="1"/>
    </row>
    <row r="356">
      <c r="D356" s="1"/>
      <c r="H356" s="1"/>
    </row>
    <row r="357">
      <c r="D357" s="1"/>
      <c r="H357" s="1"/>
    </row>
    <row r="358">
      <c r="D358" s="1"/>
      <c r="H358" s="1"/>
    </row>
    <row r="359">
      <c r="D359" s="1"/>
      <c r="H359" s="1"/>
    </row>
    <row r="360">
      <c r="D360" s="1"/>
      <c r="H360" s="1"/>
    </row>
    <row r="361">
      <c r="D361" s="1"/>
      <c r="H361" s="1"/>
    </row>
    <row r="362">
      <c r="D362" s="1"/>
      <c r="H362" s="1"/>
    </row>
    <row r="363">
      <c r="D363" s="1"/>
      <c r="H363" s="1"/>
    </row>
    <row r="364">
      <c r="D364" s="1"/>
      <c r="H364" s="1"/>
    </row>
    <row r="365">
      <c r="D365" s="1"/>
      <c r="H365" s="1"/>
    </row>
    <row r="366">
      <c r="D366" s="1"/>
      <c r="H366" s="1"/>
    </row>
    <row r="367">
      <c r="D367" s="1"/>
      <c r="H367" s="1"/>
    </row>
    <row r="368">
      <c r="D368" s="1"/>
      <c r="H368" s="1"/>
    </row>
    <row r="369">
      <c r="D369" s="1"/>
      <c r="H369" s="1"/>
    </row>
    <row r="370">
      <c r="D370" s="1"/>
      <c r="H370" s="1"/>
    </row>
    <row r="371">
      <c r="D371" s="1"/>
      <c r="H371" s="1"/>
    </row>
    <row r="372">
      <c r="D372" s="1"/>
      <c r="H372" s="1"/>
    </row>
    <row r="373">
      <c r="D373" s="1"/>
      <c r="H373" s="1"/>
    </row>
    <row r="374">
      <c r="D374" s="1"/>
      <c r="H374" s="1"/>
    </row>
    <row r="375">
      <c r="D375" s="1"/>
      <c r="H375" s="1"/>
    </row>
    <row r="376">
      <c r="D376" s="1"/>
      <c r="H376" s="1"/>
    </row>
    <row r="377">
      <c r="D377" s="1"/>
      <c r="H377" s="1"/>
    </row>
    <row r="378">
      <c r="D378" s="1"/>
      <c r="H378" s="1"/>
    </row>
    <row r="379">
      <c r="D379" s="1"/>
      <c r="H379" s="1"/>
    </row>
    <row r="380">
      <c r="D380" s="1"/>
      <c r="H380" s="1"/>
    </row>
    <row r="381">
      <c r="D381" s="1"/>
      <c r="H381" s="1"/>
    </row>
    <row r="382">
      <c r="D382" s="1"/>
      <c r="H382" s="1"/>
    </row>
    <row r="383">
      <c r="D383" s="1"/>
      <c r="H383" s="1"/>
    </row>
    <row r="384">
      <c r="D384" s="1"/>
      <c r="H384" s="1"/>
    </row>
    <row r="385">
      <c r="D385" s="1"/>
      <c r="H385" s="1"/>
    </row>
    <row r="386">
      <c r="D386" s="1"/>
      <c r="H386" s="1"/>
    </row>
    <row r="387">
      <c r="D387" s="1"/>
      <c r="H387" s="1"/>
    </row>
    <row r="388">
      <c r="D388" s="1"/>
      <c r="H388" s="1"/>
    </row>
    <row r="389">
      <c r="D389" s="1"/>
      <c r="H389" s="1"/>
    </row>
    <row r="390">
      <c r="D390" s="1"/>
      <c r="H390" s="1"/>
    </row>
    <row r="391">
      <c r="D391" s="1"/>
      <c r="H391" s="1"/>
    </row>
    <row r="392">
      <c r="D392" s="1"/>
      <c r="H392" s="1"/>
    </row>
    <row r="393">
      <c r="D393" s="1"/>
      <c r="H393" s="1"/>
    </row>
    <row r="394">
      <c r="D394" s="1"/>
      <c r="H394" s="1"/>
    </row>
    <row r="395">
      <c r="D395" s="1"/>
      <c r="H395" s="1"/>
    </row>
    <row r="396">
      <c r="D396" s="1"/>
      <c r="H396" s="1"/>
    </row>
    <row r="397">
      <c r="D397" s="1"/>
      <c r="H397" s="1"/>
    </row>
    <row r="398">
      <c r="D398" s="1"/>
      <c r="H398" s="1"/>
    </row>
    <row r="399">
      <c r="D399" s="1"/>
      <c r="H399" s="1"/>
    </row>
    <row r="400">
      <c r="D400" s="1"/>
      <c r="H400" s="1"/>
    </row>
    <row r="401">
      <c r="D401" s="1"/>
      <c r="H401" s="1"/>
    </row>
    <row r="402">
      <c r="D402" s="1"/>
      <c r="H402" s="1"/>
    </row>
    <row r="403">
      <c r="D403" s="1"/>
      <c r="H403" s="1"/>
    </row>
    <row r="404">
      <c r="D404" s="1"/>
      <c r="H404" s="1"/>
    </row>
    <row r="405">
      <c r="D405" s="1"/>
      <c r="H405" s="1"/>
    </row>
    <row r="406">
      <c r="D406" s="1"/>
      <c r="H406" s="1"/>
    </row>
    <row r="407">
      <c r="D407" s="1"/>
      <c r="H407" s="1"/>
    </row>
    <row r="408">
      <c r="D408" s="1"/>
      <c r="H408" s="1"/>
    </row>
    <row r="409">
      <c r="D409" s="1"/>
      <c r="H409" s="1"/>
    </row>
    <row r="410">
      <c r="D410" s="1"/>
      <c r="H410" s="1"/>
    </row>
    <row r="411">
      <c r="D411" s="1"/>
      <c r="H411" s="1"/>
    </row>
    <row r="412">
      <c r="D412" s="1"/>
      <c r="H412" s="1"/>
    </row>
    <row r="413">
      <c r="D413" s="1"/>
      <c r="H413" s="1"/>
    </row>
    <row r="414">
      <c r="D414" s="1"/>
      <c r="H414" s="1"/>
    </row>
    <row r="415">
      <c r="D415" s="1"/>
      <c r="H415" s="1"/>
    </row>
    <row r="416">
      <c r="D416" s="1"/>
      <c r="H416" s="1"/>
    </row>
    <row r="417">
      <c r="D417" s="1"/>
      <c r="H417" s="1"/>
    </row>
    <row r="418">
      <c r="D418" s="1"/>
      <c r="H418" s="1"/>
    </row>
    <row r="419">
      <c r="D419" s="1"/>
      <c r="H419" s="1"/>
    </row>
    <row r="420">
      <c r="D420" s="1"/>
      <c r="H420" s="1"/>
    </row>
    <row r="421">
      <c r="D421" s="1"/>
      <c r="H421" s="1"/>
    </row>
    <row r="422">
      <c r="D422" s="1"/>
      <c r="H422" s="1"/>
    </row>
    <row r="423">
      <c r="D423" s="1"/>
      <c r="H423" s="1"/>
    </row>
    <row r="424">
      <c r="D424" s="1"/>
      <c r="H424" s="1"/>
    </row>
    <row r="425">
      <c r="D425" s="1"/>
      <c r="H425" s="1"/>
    </row>
    <row r="426">
      <c r="D426" s="1"/>
      <c r="H426" s="1"/>
    </row>
    <row r="427">
      <c r="D427" s="1"/>
      <c r="H427" s="1"/>
    </row>
    <row r="428">
      <c r="D428" s="1"/>
      <c r="H428" s="1"/>
    </row>
    <row r="429">
      <c r="D429" s="1"/>
      <c r="H429" s="1"/>
    </row>
    <row r="430">
      <c r="D430" s="1"/>
      <c r="H430" s="1"/>
    </row>
    <row r="431">
      <c r="D431" s="1"/>
      <c r="H431" s="1"/>
    </row>
    <row r="432">
      <c r="D432" s="1"/>
      <c r="H432" s="1"/>
    </row>
    <row r="433">
      <c r="D433" s="1"/>
      <c r="H433" s="1"/>
    </row>
    <row r="434">
      <c r="D434" s="1"/>
      <c r="H434" s="1"/>
    </row>
    <row r="435">
      <c r="D435" s="1"/>
      <c r="H435" s="1"/>
    </row>
    <row r="436">
      <c r="D436" s="1"/>
      <c r="H436" s="1"/>
    </row>
    <row r="437">
      <c r="D437" s="1"/>
      <c r="H437" s="1"/>
    </row>
    <row r="438">
      <c r="D438" s="1"/>
      <c r="H438" s="1"/>
    </row>
    <row r="439">
      <c r="D439" s="1"/>
      <c r="H439" s="1"/>
    </row>
    <row r="440">
      <c r="D440" s="1"/>
      <c r="H440" s="1"/>
    </row>
    <row r="441">
      <c r="D441" s="1"/>
      <c r="H441" s="1"/>
    </row>
    <row r="442">
      <c r="D442" s="1"/>
      <c r="H442" s="1"/>
    </row>
    <row r="443">
      <c r="D443" s="1"/>
      <c r="H443" s="1"/>
    </row>
    <row r="444">
      <c r="D444" s="1"/>
      <c r="H444" s="1"/>
    </row>
    <row r="445">
      <c r="D445" s="1"/>
      <c r="H445" s="1"/>
    </row>
    <row r="446">
      <c r="D446" s="1"/>
      <c r="H446" s="1"/>
    </row>
    <row r="447">
      <c r="D447" s="1"/>
      <c r="H447" s="1"/>
    </row>
    <row r="448">
      <c r="D448" s="1"/>
      <c r="H448" s="1"/>
    </row>
    <row r="449">
      <c r="D449" s="1"/>
      <c r="H449" s="1"/>
    </row>
    <row r="450">
      <c r="D450" s="1"/>
      <c r="H450" s="1"/>
    </row>
    <row r="451">
      <c r="D451" s="1"/>
      <c r="H451" s="1"/>
    </row>
    <row r="452">
      <c r="D452" s="1"/>
      <c r="H452" s="1"/>
    </row>
    <row r="453">
      <c r="D453" s="1"/>
      <c r="H453" s="1"/>
    </row>
    <row r="454">
      <c r="D454" s="1"/>
      <c r="H454" s="1"/>
    </row>
    <row r="455">
      <c r="D455" s="1"/>
      <c r="H455" s="1"/>
    </row>
    <row r="456">
      <c r="D456" s="1"/>
      <c r="H456" s="1"/>
    </row>
    <row r="457">
      <c r="D457" s="1"/>
      <c r="H457" s="1"/>
    </row>
    <row r="458">
      <c r="D458" s="1"/>
      <c r="H458" s="1"/>
    </row>
    <row r="459">
      <c r="D459" s="1"/>
      <c r="H459" s="1"/>
    </row>
    <row r="460">
      <c r="D460" s="1"/>
      <c r="H460" s="1"/>
    </row>
    <row r="461">
      <c r="D461" s="1"/>
      <c r="H461" s="1"/>
    </row>
    <row r="462">
      <c r="D462" s="1"/>
      <c r="H462" s="1"/>
    </row>
    <row r="463">
      <c r="D463" s="1"/>
      <c r="H463" s="1"/>
    </row>
    <row r="464">
      <c r="D464" s="1"/>
      <c r="H464" s="1"/>
    </row>
    <row r="465">
      <c r="D465" s="1"/>
      <c r="H465" s="1"/>
    </row>
    <row r="466">
      <c r="D466" s="1"/>
      <c r="H466" s="1"/>
    </row>
    <row r="467">
      <c r="D467" s="1"/>
      <c r="H467" s="1"/>
    </row>
    <row r="468">
      <c r="D468" s="1"/>
      <c r="H468" s="1"/>
    </row>
    <row r="469">
      <c r="D469" s="1"/>
      <c r="H469" s="1"/>
    </row>
    <row r="470">
      <c r="D470" s="1"/>
      <c r="H470" s="1"/>
    </row>
    <row r="471">
      <c r="D471" s="1"/>
      <c r="H471" s="1"/>
    </row>
    <row r="472">
      <c r="D472" s="1"/>
      <c r="H472" s="1"/>
    </row>
    <row r="473">
      <c r="D473" s="1"/>
      <c r="H473" s="1"/>
    </row>
    <row r="474">
      <c r="D474" s="1"/>
      <c r="H474" s="1"/>
    </row>
    <row r="475">
      <c r="D475" s="1"/>
      <c r="H475" s="1"/>
    </row>
    <row r="476">
      <c r="D476" s="1"/>
      <c r="H476" s="1"/>
    </row>
    <row r="477">
      <c r="D477" s="1"/>
      <c r="H477" s="1"/>
    </row>
    <row r="478">
      <c r="D478" s="1"/>
      <c r="H478" s="1"/>
    </row>
    <row r="479">
      <c r="D479" s="1"/>
      <c r="H479" s="1"/>
    </row>
    <row r="480">
      <c r="D480" s="1"/>
      <c r="H480" s="1"/>
    </row>
    <row r="481">
      <c r="D481" s="1"/>
      <c r="H481" s="1"/>
    </row>
    <row r="482">
      <c r="D482" s="1"/>
      <c r="H482" s="1"/>
    </row>
    <row r="483">
      <c r="D483" s="1"/>
      <c r="H483" s="1"/>
    </row>
    <row r="484">
      <c r="D484" s="1"/>
      <c r="H484" s="1"/>
    </row>
    <row r="485">
      <c r="D485" s="1"/>
      <c r="H485" s="1"/>
    </row>
    <row r="486">
      <c r="D486" s="1"/>
      <c r="H486" s="1"/>
    </row>
    <row r="487">
      <c r="D487" s="1"/>
      <c r="H487" s="1"/>
    </row>
    <row r="488">
      <c r="D488" s="1"/>
      <c r="H488" s="1"/>
    </row>
    <row r="489">
      <c r="D489" s="1"/>
      <c r="H489" s="1"/>
    </row>
    <row r="490">
      <c r="D490" s="1"/>
      <c r="H490" s="1"/>
    </row>
    <row r="491">
      <c r="D491" s="1"/>
      <c r="H491" s="1"/>
    </row>
    <row r="492">
      <c r="D492" s="1"/>
      <c r="H492" s="1"/>
    </row>
    <row r="493">
      <c r="D493" s="1"/>
      <c r="H493" s="1"/>
    </row>
    <row r="494">
      <c r="D494" s="1"/>
      <c r="H494" s="1"/>
    </row>
    <row r="495">
      <c r="D495" s="1"/>
      <c r="H495" s="1"/>
    </row>
    <row r="496">
      <c r="D496" s="1"/>
      <c r="H496" s="1"/>
    </row>
    <row r="497">
      <c r="D497" s="1"/>
      <c r="H497" s="1"/>
    </row>
    <row r="498">
      <c r="D498" s="1"/>
      <c r="H498" s="1"/>
    </row>
    <row r="499">
      <c r="D499" s="1"/>
      <c r="H499" s="1"/>
    </row>
    <row r="500">
      <c r="D500" s="1"/>
      <c r="H500" s="1"/>
    </row>
    <row r="501">
      <c r="D501" s="1"/>
      <c r="H501" s="1"/>
    </row>
    <row r="502">
      <c r="D502" s="1"/>
      <c r="H502" s="1"/>
    </row>
    <row r="503">
      <c r="D503" s="1"/>
      <c r="H503" s="1"/>
    </row>
    <row r="504">
      <c r="D504" s="1"/>
      <c r="H504" s="1"/>
    </row>
    <row r="505">
      <c r="D505" s="1"/>
      <c r="H505" s="1"/>
    </row>
    <row r="506">
      <c r="D506" s="1"/>
      <c r="H506" s="1"/>
    </row>
    <row r="507">
      <c r="D507" s="1"/>
      <c r="H507" s="1"/>
    </row>
    <row r="508">
      <c r="D508" s="1"/>
      <c r="H508" s="1"/>
    </row>
    <row r="509">
      <c r="D509" s="1"/>
      <c r="H509" s="1"/>
    </row>
    <row r="510">
      <c r="D510" s="1"/>
      <c r="H510" s="1"/>
    </row>
    <row r="511">
      <c r="D511" s="1"/>
      <c r="H511" s="1"/>
    </row>
    <row r="512">
      <c r="D512" s="1"/>
      <c r="H512" s="1"/>
    </row>
    <row r="513">
      <c r="D513" s="1"/>
      <c r="H513" s="1"/>
    </row>
    <row r="514">
      <c r="D514" s="1"/>
      <c r="H514" s="1"/>
    </row>
    <row r="515">
      <c r="D515" s="1"/>
      <c r="H515" s="1"/>
    </row>
    <row r="516">
      <c r="D516" s="1"/>
      <c r="H516" s="1"/>
    </row>
    <row r="517">
      <c r="D517" s="1"/>
      <c r="H517" s="1"/>
    </row>
    <row r="518">
      <c r="D518" s="1"/>
      <c r="H518" s="1"/>
    </row>
    <row r="519">
      <c r="D519" s="1"/>
      <c r="H519" s="1"/>
    </row>
    <row r="520">
      <c r="D520" s="1"/>
      <c r="H520" s="1"/>
    </row>
    <row r="521">
      <c r="D521" s="1"/>
      <c r="H521" s="1"/>
    </row>
    <row r="522">
      <c r="D522" s="1"/>
      <c r="H522" s="1"/>
    </row>
    <row r="523">
      <c r="D523" s="1"/>
      <c r="H523" s="1"/>
    </row>
    <row r="524">
      <c r="D524" s="1"/>
      <c r="H524" s="1"/>
    </row>
    <row r="525">
      <c r="D525" s="1"/>
      <c r="H525" s="1"/>
    </row>
    <row r="526">
      <c r="D526" s="1"/>
      <c r="H526" s="1"/>
    </row>
    <row r="527">
      <c r="D527" s="1"/>
      <c r="H527" s="1"/>
    </row>
    <row r="528">
      <c r="D528" s="1"/>
      <c r="H528" s="1"/>
    </row>
    <row r="529">
      <c r="D529" s="1"/>
      <c r="H529" s="1"/>
    </row>
    <row r="530">
      <c r="D530" s="1"/>
      <c r="H530" s="1"/>
    </row>
    <row r="531">
      <c r="D531" s="1"/>
      <c r="H531" s="1"/>
    </row>
    <row r="532">
      <c r="D532" s="1"/>
      <c r="H532" s="1"/>
    </row>
    <row r="533">
      <c r="D533" s="1"/>
      <c r="H533" s="1"/>
    </row>
    <row r="534">
      <c r="D534" s="1"/>
      <c r="H534" s="1"/>
    </row>
    <row r="535">
      <c r="D535" s="1"/>
      <c r="H535" s="1"/>
    </row>
    <row r="536">
      <c r="D536" s="1"/>
      <c r="H536" s="1"/>
    </row>
    <row r="537">
      <c r="D537" s="1"/>
      <c r="H537" s="1"/>
    </row>
    <row r="538">
      <c r="D538" s="1"/>
      <c r="H538" s="1"/>
    </row>
    <row r="539">
      <c r="D539" s="1"/>
      <c r="H539" s="1"/>
    </row>
    <row r="540">
      <c r="D540" s="1"/>
      <c r="H540" s="1"/>
    </row>
    <row r="541">
      <c r="D541" s="1"/>
      <c r="H541" s="1"/>
    </row>
    <row r="542">
      <c r="D542" s="1"/>
      <c r="H542" s="1"/>
    </row>
    <row r="543">
      <c r="D543" s="1"/>
      <c r="H543" s="1"/>
    </row>
    <row r="544">
      <c r="D544" s="1"/>
      <c r="H544" s="1"/>
    </row>
    <row r="545">
      <c r="D545" s="1"/>
      <c r="H545" s="1"/>
    </row>
    <row r="546">
      <c r="D546" s="1"/>
      <c r="H546" s="1"/>
    </row>
    <row r="547">
      <c r="D547" s="1"/>
      <c r="H547" s="1"/>
    </row>
    <row r="548">
      <c r="D548" s="1"/>
      <c r="H548" s="1"/>
    </row>
    <row r="549">
      <c r="D549" s="1"/>
      <c r="H549" s="1"/>
    </row>
    <row r="550">
      <c r="D550" s="1"/>
      <c r="H550" s="1"/>
    </row>
    <row r="551">
      <c r="D551" s="1"/>
      <c r="H551" s="1"/>
    </row>
    <row r="552">
      <c r="D552" s="1"/>
      <c r="H552" s="1"/>
    </row>
    <row r="553">
      <c r="D553" s="1"/>
      <c r="H553" s="1"/>
    </row>
    <row r="554">
      <c r="D554" s="1"/>
      <c r="H554" s="1"/>
    </row>
    <row r="555">
      <c r="D555" s="1"/>
      <c r="H555" s="1"/>
    </row>
    <row r="556">
      <c r="D556" s="1"/>
      <c r="H556" s="1"/>
    </row>
    <row r="557">
      <c r="D557" s="1"/>
      <c r="H557" s="1"/>
    </row>
    <row r="558">
      <c r="D558" s="1"/>
      <c r="H558" s="1"/>
    </row>
    <row r="559">
      <c r="D559" s="1"/>
      <c r="H559" s="1"/>
    </row>
    <row r="560">
      <c r="D560" s="1"/>
      <c r="H560" s="1"/>
    </row>
    <row r="561">
      <c r="D561" s="1"/>
      <c r="H561" s="1"/>
    </row>
    <row r="562">
      <c r="D562" s="1"/>
      <c r="H562" s="1"/>
    </row>
    <row r="563">
      <c r="D563" s="1"/>
      <c r="H563" s="1"/>
    </row>
    <row r="564">
      <c r="D564" s="1"/>
      <c r="H564" s="1"/>
    </row>
    <row r="565">
      <c r="D565" s="1"/>
      <c r="H565" s="1"/>
    </row>
    <row r="566">
      <c r="D566" s="1"/>
      <c r="H566" s="1"/>
    </row>
    <row r="567">
      <c r="D567" s="1"/>
      <c r="H567" s="1"/>
    </row>
    <row r="568">
      <c r="D568" s="1"/>
      <c r="H568" s="1"/>
    </row>
    <row r="569">
      <c r="D569" s="1"/>
      <c r="H569" s="1"/>
    </row>
    <row r="570">
      <c r="D570" s="1"/>
      <c r="H570" s="1"/>
    </row>
    <row r="571">
      <c r="D571" s="1"/>
      <c r="H571" s="1"/>
    </row>
    <row r="572">
      <c r="D572" s="1"/>
      <c r="H572" s="1"/>
    </row>
    <row r="573">
      <c r="D573" s="1"/>
      <c r="H573" s="1"/>
    </row>
    <row r="574">
      <c r="D574" s="1"/>
      <c r="H574" s="1"/>
    </row>
    <row r="575">
      <c r="D575" s="1"/>
      <c r="H575" s="1"/>
    </row>
    <row r="576">
      <c r="D576" s="1"/>
      <c r="H576" s="1"/>
    </row>
    <row r="577">
      <c r="D577" s="1"/>
      <c r="H577" s="1"/>
    </row>
    <row r="578">
      <c r="D578" s="1"/>
      <c r="H578" s="1"/>
    </row>
    <row r="579">
      <c r="D579" s="1"/>
      <c r="H579" s="1"/>
    </row>
    <row r="580">
      <c r="D580" s="1"/>
      <c r="H580" s="1"/>
    </row>
    <row r="581">
      <c r="D581" s="1"/>
      <c r="H581" s="1"/>
    </row>
    <row r="582">
      <c r="D582" s="1"/>
      <c r="H582" s="1"/>
    </row>
    <row r="583">
      <c r="D583" s="1"/>
      <c r="H583" s="1"/>
    </row>
    <row r="584">
      <c r="D584" s="1"/>
      <c r="H584" s="1"/>
    </row>
    <row r="585">
      <c r="D585" s="1"/>
      <c r="H585" s="1"/>
    </row>
    <row r="586">
      <c r="D586" s="1"/>
      <c r="H586" s="1"/>
    </row>
    <row r="587">
      <c r="D587" s="1"/>
      <c r="H587" s="1"/>
    </row>
    <row r="588">
      <c r="D588" s="1"/>
      <c r="H588" s="1"/>
    </row>
    <row r="589">
      <c r="D589" s="1"/>
      <c r="H589" s="1"/>
    </row>
    <row r="590">
      <c r="D590" s="1"/>
      <c r="H590" s="1"/>
    </row>
    <row r="591">
      <c r="D591" s="1"/>
      <c r="H591" s="1"/>
    </row>
    <row r="592">
      <c r="D592" s="1"/>
      <c r="H592" s="1"/>
    </row>
    <row r="593">
      <c r="D593" s="1"/>
      <c r="H593" s="1"/>
    </row>
    <row r="594">
      <c r="D594" s="1"/>
      <c r="H594" s="1"/>
    </row>
    <row r="595">
      <c r="D595" s="1"/>
      <c r="H595" s="1"/>
    </row>
    <row r="596">
      <c r="D596" s="1"/>
      <c r="H596" s="1"/>
    </row>
    <row r="597">
      <c r="D597" s="1"/>
      <c r="H597" s="1"/>
    </row>
    <row r="598">
      <c r="D598" s="1"/>
      <c r="H598" s="1"/>
    </row>
    <row r="599">
      <c r="D599" s="1"/>
      <c r="H599" s="1"/>
    </row>
    <row r="600">
      <c r="D600" s="1"/>
      <c r="H600" s="1"/>
    </row>
    <row r="601">
      <c r="D601" s="1"/>
      <c r="H601" s="1"/>
    </row>
    <row r="602">
      <c r="D602" s="1"/>
      <c r="H602" s="1"/>
    </row>
    <row r="603">
      <c r="D603" s="1"/>
      <c r="H603" s="1"/>
    </row>
    <row r="604">
      <c r="D604" s="1"/>
      <c r="H604" s="1"/>
    </row>
    <row r="605">
      <c r="D605" s="1"/>
      <c r="H605" s="1"/>
    </row>
    <row r="606">
      <c r="D606" s="1"/>
      <c r="H606" s="1"/>
    </row>
    <row r="607">
      <c r="D607" s="1"/>
      <c r="H607" s="1"/>
    </row>
    <row r="608">
      <c r="D608" s="1"/>
      <c r="H608" s="1"/>
    </row>
    <row r="609">
      <c r="D609" s="1"/>
      <c r="H609" s="1"/>
    </row>
    <row r="610">
      <c r="D610" s="1"/>
      <c r="H610" s="1"/>
    </row>
    <row r="611">
      <c r="D611" s="1"/>
      <c r="H611" s="1"/>
    </row>
    <row r="612">
      <c r="D612" s="1"/>
      <c r="H612" s="1"/>
    </row>
    <row r="613">
      <c r="D613" s="1"/>
      <c r="H613" s="1"/>
    </row>
    <row r="614">
      <c r="D614" s="1"/>
      <c r="H614" s="1"/>
    </row>
    <row r="615">
      <c r="D615" s="1"/>
      <c r="H615" s="1"/>
    </row>
    <row r="616">
      <c r="D616" s="1"/>
      <c r="H616" s="1"/>
    </row>
    <row r="617">
      <c r="D617" s="1"/>
      <c r="H617" s="1"/>
    </row>
    <row r="618">
      <c r="D618" s="1"/>
      <c r="H618" s="1"/>
    </row>
    <row r="619">
      <c r="D619" s="1"/>
      <c r="H619" s="1"/>
    </row>
    <row r="620">
      <c r="D620" s="1"/>
      <c r="H620" s="1"/>
    </row>
    <row r="621">
      <c r="D621" s="1"/>
      <c r="H621" s="1"/>
    </row>
    <row r="622">
      <c r="D622" s="1"/>
      <c r="H622" s="1"/>
    </row>
    <row r="623">
      <c r="D623" s="1"/>
      <c r="H623" s="1"/>
    </row>
    <row r="624">
      <c r="D624" s="1"/>
      <c r="H624" s="1"/>
    </row>
    <row r="625">
      <c r="D625" s="1"/>
      <c r="H625" s="1"/>
    </row>
    <row r="626">
      <c r="D626" s="1"/>
      <c r="H626" s="1"/>
    </row>
    <row r="627">
      <c r="D627" s="1"/>
      <c r="H627" s="1"/>
    </row>
    <row r="628">
      <c r="D628" s="1"/>
      <c r="H628" s="1"/>
    </row>
    <row r="629">
      <c r="D629" s="1"/>
      <c r="H629" s="1"/>
    </row>
    <row r="630">
      <c r="D630" s="1"/>
      <c r="H630" s="1"/>
    </row>
    <row r="631">
      <c r="D631" s="1"/>
      <c r="H631" s="1"/>
    </row>
    <row r="632">
      <c r="D632" s="1"/>
      <c r="H632" s="1"/>
    </row>
    <row r="633">
      <c r="D633" s="1"/>
      <c r="H633" s="1"/>
    </row>
    <row r="634">
      <c r="D634" s="1"/>
      <c r="H634" s="1"/>
    </row>
    <row r="635">
      <c r="D635" s="1"/>
      <c r="H635" s="1"/>
    </row>
    <row r="636">
      <c r="D636" s="1"/>
      <c r="H636" s="1"/>
    </row>
    <row r="637">
      <c r="D637" s="1"/>
      <c r="H637" s="1"/>
    </row>
    <row r="638">
      <c r="D638" s="1"/>
      <c r="H638" s="1"/>
    </row>
    <row r="639">
      <c r="D639" s="1"/>
      <c r="H639" s="1"/>
    </row>
    <row r="640">
      <c r="D640" s="1"/>
      <c r="H640" s="1"/>
    </row>
    <row r="641">
      <c r="D641" s="1"/>
      <c r="H641" s="1"/>
    </row>
    <row r="642">
      <c r="D642" s="1"/>
      <c r="H642" s="1"/>
    </row>
    <row r="643">
      <c r="D643" s="1"/>
      <c r="H643" s="1"/>
    </row>
    <row r="644">
      <c r="D644" s="1"/>
      <c r="H644" s="1"/>
    </row>
    <row r="645">
      <c r="D645" s="1"/>
      <c r="H645" s="1"/>
    </row>
    <row r="646">
      <c r="D646" s="1"/>
      <c r="H646" s="1"/>
    </row>
    <row r="647">
      <c r="D647" s="1"/>
      <c r="H647" s="1"/>
    </row>
    <row r="648">
      <c r="D648" s="1"/>
      <c r="H648" s="1"/>
    </row>
    <row r="649">
      <c r="D649" s="1"/>
      <c r="H649" s="1"/>
    </row>
    <row r="650">
      <c r="D650" s="1"/>
      <c r="H650" s="1"/>
    </row>
    <row r="651">
      <c r="D651" s="1"/>
      <c r="H651" s="1"/>
    </row>
    <row r="652">
      <c r="D652" s="1"/>
      <c r="H652" s="1"/>
    </row>
    <row r="653">
      <c r="D653" s="1"/>
      <c r="H653" s="1"/>
    </row>
    <row r="654">
      <c r="D654" s="1"/>
      <c r="H654" s="1"/>
    </row>
    <row r="655">
      <c r="D655" s="1"/>
      <c r="H655" s="1"/>
    </row>
    <row r="656">
      <c r="D656" s="1"/>
      <c r="H656" s="1"/>
    </row>
    <row r="657">
      <c r="D657" s="1"/>
      <c r="H657" s="1"/>
    </row>
    <row r="658">
      <c r="D658" s="1"/>
      <c r="H658" s="1"/>
    </row>
    <row r="659">
      <c r="D659" s="1"/>
      <c r="H659" s="1"/>
    </row>
    <row r="660">
      <c r="D660" s="1"/>
      <c r="H660" s="1"/>
    </row>
    <row r="661">
      <c r="D661" s="1"/>
      <c r="H661" s="1"/>
    </row>
    <row r="662">
      <c r="D662" s="1"/>
      <c r="H662" s="1"/>
    </row>
    <row r="663">
      <c r="D663" s="1"/>
      <c r="H663" s="1"/>
    </row>
    <row r="664">
      <c r="D664" s="1"/>
      <c r="H664" s="1"/>
    </row>
    <row r="665">
      <c r="D665" s="1"/>
      <c r="H665" s="1"/>
    </row>
    <row r="666">
      <c r="D666" s="1"/>
      <c r="H666" s="1"/>
    </row>
    <row r="667">
      <c r="D667" s="1"/>
      <c r="H667" s="1"/>
    </row>
    <row r="668">
      <c r="D668" s="1"/>
      <c r="H668" s="1"/>
    </row>
    <row r="669">
      <c r="D669" s="1"/>
      <c r="H669" s="1"/>
    </row>
    <row r="670">
      <c r="D670" s="1"/>
      <c r="H670" s="1"/>
    </row>
    <row r="671">
      <c r="D671" s="1"/>
      <c r="H671" s="1"/>
    </row>
    <row r="672">
      <c r="D672" s="1"/>
      <c r="H672" s="1"/>
    </row>
    <row r="673">
      <c r="D673" s="1"/>
      <c r="H673" s="1"/>
    </row>
    <row r="674">
      <c r="D674" s="1"/>
      <c r="H674" s="1"/>
    </row>
    <row r="675">
      <c r="D675" s="1"/>
      <c r="H675" s="1"/>
    </row>
    <row r="676">
      <c r="D676" s="1"/>
      <c r="H676" s="1"/>
    </row>
    <row r="677">
      <c r="D677" s="1"/>
      <c r="H677" s="1"/>
    </row>
    <row r="678">
      <c r="D678" s="1"/>
      <c r="H678" s="1"/>
    </row>
    <row r="679">
      <c r="D679" s="1"/>
      <c r="H679" s="1"/>
    </row>
    <row r="680">
      <c r="D680" s="1"/>
      <c r="H680" s="1"/>
    </row>
    <row r="681">
      <c r="D681" s="1"/>
      <c r="H681" s="1"/>
    </row>
    <row r="682">
      <c r="D682" s="1"/>
      <c r="H682" s="1"/>
    </row>
    <row r="683">
      <c r="D683" s="1"/>
      <c r="H683" s="1"/>
    </row>
    <row r="684">
      <c r="D684" s="1"/>
      <c r="H684" s="1"/>
    </row>
    <row r="685">
      <c r="D685" s="1"/>
      <c r="H685" s="1"/>
    </row>
    <row r="686">
      <c r="D686" s="1"/>
      <c r="H686" s="1"/>
    </row>
    <row r="687">
      <c r="D687" s="1"/>
      <c r="H687" s="1"/>
    </row>
    <row r="688">
      <c r="D688" s="1"/>
      <c r="H688" s="1"/>
    </row>
    <row r="689">
      <c r="D689" s="1"/>
      <c r="H689" s="1"/>
    </row>
    <row r="690">
      <c r="D690" s="1"/>
      <c r="H690" s="1"/>
    </row>
    <row r="691">
      <c r="D691" s="1"/>
      <c r="H691" s="1"/>
    </row>
    <row r="692">
      <c r="D692" s="1"/>
      <c r="H692" s="1"/>
    </row>
    <row r="693">
      <c r="D693" s="1"/>
      <c r="H693" s="1"/>
    </row>
    <row r="694">
      <c r="D694" s="1"/>
      <c r="H694" s="1"/>
    </row>
    <row r="695">
      <c r="D695" s="1"/>
      <c r="H695" s="1"/>
    </row>
    <row r="696">
      <c r="D696" s="1"/>
      <c r="H696" s="1"/>
    </row>
    <row r="697">
      <c r="D697" s="1"/>
      <c r="H697" s="1"/>
    </row>
    <row r="698">
      <c r="D698" s="1"/>
      <c r="H698" s="1"/>
    </row>
    <row r="699">
      <c r="D699" s="1"/>
      <c r="H699" s="1"/>
    </row>
    <row r="700">
      <c r="D700" s="1"/>
      <c r="H700" s="1"/>
    </row>
    <row r="701">
      <c r="D701" s="1"/>
      <c r="H701" s="1"/>
    </row>
    <row r="702">
      <c r="D702" s="1"/>
      <c r="H702" s="1"/>
    </row>
    <row r="703">
      <c r="D703" s="1"/>
      <c r="H703" s="1"/>
    </row>
    <row r="704">
      <c r="D704" s="1"/>
      <c r="H704" s="1"/>
    </row>
    <row r="705">
      <c r="D705" s="1"/>
      <c r="H705" s="1"/>
    </row>
    <row r="706">
      <c r="D706" s="1"/>
      <c r="H706" s="1"/>
    </row>
    <row r="707">
      <c r="D707" s="1"/>
      <c r="H707" s="1"/>
    </row>
    <row r="708">
      <c r="D708" s="1"/>
      <c r="H708" s="1"/>
    </row>
    <row r="709">
      <c r="D709" s="1"/>
      <c r="H709" s="1"/>
    </row>
    <row r="710">
      <c r="D710" s="1"/>
      <c r="H710" s="1"/>
    </row>
    <row r="711">
      <c r="D711" s="1"/>
      <c r="H711" s="1"/>
    </row>
    <row r="712">
      <c r="D712" s="1"/>
      <c r="H712" s="1"/>
    </row>
    <row r="713">
      <c r="D713" s="1"/>
      <c r="H713" s="1"/>
    </row>
    <row r="714">
      <c r="D714" s="1"/>
      <c r="H714" s="1"/>
    </row>
    <row r="715">
      <c r="D715" s="1"/>
      <c r="H715" s="1"/>
    </row>
    <row r="716">
      <c r="D716" s="1"/>
      <c r="H716" s="1"/>
    </row>
    <row r="717">
      <c r="D717" s="1"/>
      <c r="H717" s="1"/>
    </row>
    <row r="718">
      <c r="D718" s="1"/>
      <c r="H718" s="1"/>
    </row>
    <row r="719">
      <c r="D719" s="1"/>
      <c r="H719" s="1"/>
    </row>
    <row r="720">
      <c r="D720" s="1"/>
      <c r="H720" s="1"/>
    </row>
    <row r="721">
      <c r="D721" s="1"/>
      <c r="H721" s="1"/>
    </row>
    <row r="722">
      <c r="D722" s="1"/>
      <c r="H722" s="1"/>
    </row>
    <row r="723">
      <c r="D723" s="1"/>
      <c r="H723" s="1"/>
    </row>
    <row r="724">
      <c r="D724" s="1"/>
      <c r="H724" s="1"/>
    </row>
    <row r="725">
      <c r="D725" s="1"/>
      <c r="H725" s="1"/>
    </row>
    <row r="726">
      <c r="D726" s="1"/>
      <c r="H726" s="1"/>
    </row>
    <row r="727">
      <c r="D727" s="1"/>
      <c r="H727" s="1"/>
    </row>
    <row r="728">
      <c r="D728" s="1"/>
      <c r="H728" s="1"/>
    </row>
    <row r="729">
      <c r="D729" s="1"/>
      <c r="H729" s="1"/>
    </row>
    <row r="730">
      <c r="D730" s="1"/>
      <c r="H730" s="1"/>
    </row>
    <row r="731">
      <c r="D731" s="1"/>
      <c r="H731" s="1"/>
    </row>
    <row r="732">
      <c r="D732" s="1"/>
      <c r="H732" s="1"/>
    </row>
    <row r="733">
      <c r="D733" s="1"/>
      <c r="H733" s="1"/>
    </row>
    <row r="734">
      <c r="D734" s="1"/>
      <c r="H734" s="1"/>
    </row>
    <row r="735">
      <c r="D735" s="1"/>
      <c r="H735" s="1"/>
    </row>
    <row r="736">
      <c r="D736" s="1"/>
      <c r="H736" s="1"/>
    </row>
    <row r="737">
      <c r="D737" s="1"/>
      <c r="H737" s="1"/>
    </row>
    <row r="738">
      <c r="D738" s="1"/>
      <c r="H738" s="1"/>
    </row>
    <row r="739">
      <c r="D739" s="1"/>
      <c r="H739" s="1"/>
    </row>
    <row r="740">
      <c r="D740" s="1"/>
      <c r="H740" s="1"/>
    </row>
    <row r="741">
      <c r="D741" s="1"/>
      <c r="H741" s="1"/>
    </row>
    <row r="742">
      <c r="D742" s="1"/>
      <c r="H742" s="1"/>
    </row>
    <row r="743">
      <c r="D743" s="1"/>
      <c r="H743" s="1"/>
    </row>
    <row r="744">
      <c r="D744" s="1"/>
      <c r="H744" s="1"/>
    </row>
    <row r="745">
      <c r="D745" s="1"/>
      <c r="H745" s="1"/>
    </row>
    <row r="746">
      <c r="D746" s="1"/>
      <c r="H746" s="1"/>
    </row>
    <row r="747">
      <c r="D747" s="1"/>
      <c r="H747" s="1"/>
    </row>
    <row r="748">
      <c r="D748" s="1"/>
      <c r="H748" s="1"/>
    </row>
    <row r="749">
      <c r="D749" s="1"/>
      <c r="H749" s="1"/>
    </row>
    <row r="750">
      <c r="D750" s="1"/>
      <c r="H750" s="1"/>
    </row>
    <row r="751">
      <c r="D751" s="1"/>
      <c r="H751" s="1"/>
    </row>
    <row r="752">
      <c r="D752" s="1"/>
      <c r="H752" s="1"/>
    </row>
    <row r="753">
      <c r="D753" s="1"/>
      <c r="H753" s="1"/>
    </row>
    <row r="754">
      <c r="D754" s="1"/>
      <c r="H754" s="1"/>
    </row>
    <row r="755">
      <c r="D755" s="1"/>
      <c r="H755" s="1"/>
    </row>
    <row r="756">
      <c r="D756" s="1"/>
      <c r="H756" s="1"/>
    </row>
    <row r="757">
      <c r="D757" s="1"/>
      <c r="H757" s="1"/>
    </row>
    <row r="758">
      <c r="D758" s="1"/>
      <c r="H758" s="1"/>
    </row>
    <row r="759">
      <c r="D759" s="1"/>
      <c r="H759" s="1"/>
    </row>
    <row r="760">
      <c r="D760" s="1"/>
      <c r="H760" s="1"/>
    </row>
    <row r="761">
      <c r="D761" s="1"/>
      <c r="H761" s="1"/>
    </row>
    <row r="762">
      <c r="D762" s="1"/>
      <c r="H762" s="1"/>
    </row>
    <row r="763">
      <c r="D763" s="1"/>
      <c r="H763" s="1"/>
    </row>
    <row r="764">
      <c r="D764" s="1"/>
      <c r="H764" s="1"/>
    </row>
    <row r="765">
      <c r="D765" s="1"/>
      <c r="H765" s="1"/>
    </row>
    <row r="766">
      <c r="D766" s="1"/>
      <c r="H766" s="1"/>
    </row>
    <row r="767">
      <c r="D767" s="1"/>
      <c r="H767" s="1"/>
    </row>
    <row r="768">
      <c r="D768" s="1"/>
      <c r="H768" s="1"/>
    </row>
    <row r="769">
      <c r="D769" s="1"/>
      <c r="H769" s="1"/>
    </row>
    <row r="770">
      <c r="D770" s="1"/>
      <c r="H770" s="1"/>
    </row>
    <row r="771">
      <c r="D771" s="1"/>
      <c r="H771" s="1"/>
    </row>
    <row r="772">
      <c r="D772" s="1"/>
      <c r="H772" s="1"/>
    </row>
    <row r="773">
      <c r="D773" s="1"/>
      <c r="H773" s="1"/>
    </row>
    <row r="774">
      <c r="D774" s="1"/>
      <c r="H774" s="1"/>
    </row>
    <row r="775">
      <c r="D775" s="1"/>
      <c r="H775" s="1"/>
    </row>
    <row r="776">
      <c r="D776" s="1"/>
      <c r="H776" s="1"/>
    </row>
    <row r="777">
      <c r="D777" s="1"/>
      <c r="H777" s="1"/>
    </row>
    <row r="778">
      <c r="D778" s="1"/>
      <c r="H778" s="1"/>
    </row>
    <row r="779">
      <c r="D779" s="1"/>
      <c r="H779" s="1"/>
    </row>
    <row r="780">
      <c r="D780" s="1"/>
      <c r="H780" s="1"/>
    </row>
    <row r="781">
      <c r="D781" s="1"/>
      <c r="H781" s="1"/>
    </row>
    <row r="782">
      <c r="D782" s="1"/>
      <c r="H782" s="1"/>
    </row>
    <row r="783">
      <c r="D783" s="1"/>
      <c r="H783" s="1"/>
    </row>
    <row r="784">
      <c r="D784" s="1"/>
      <c r="H784" s="1"/>
    </row>
    <row r="785">
      <c r="D785" s="1"/>
      <c r="H785" s="1"/>
    </row>
    <row r="786">
      <c r="D786" s="1"/>
      <c r="H786" s="1"/>
    </row>
    <row r="787">
      <c r="D787" s="1"/>
      <c r="H787" s="1"/>
    </row>
    <row r="788">
      <c r="D788" s="1"/>
      <c r="H788" s="1"/>
    </row>
    <row r="789">
      <c r="D789" s="1"/>
      <c r="H789" s="1"/>
    </row>
    <row r="790">
      <c r="D790" s="1"/>
      <c r="H790" s="1"/>
    </row>
    <row r="791">
      <c r="D791" s="1"/>
      <c r="H791" s="1"/>
    </row>
    <row r="792">
      <c r="D792" s="1"/>
      <c r="H792" s="1"/>
    </row>
    <row r="793">
      <c r="D793" s="1"/>
      <c r="H793" s="1"/>
    </row>
    <row r="794">
      <c r="D794" s="1"/>
      <c r="H794" s="1"/>
    </row>
    <row r="795">
      <c r="D795" s="1"/>
      <c r="H795" s="1"/>
    </row>
    <row r="796">
      <c r="D796" s="1"/>
      <c r="H796" s="1"/>
    </row>
    <row r="797">
      <c r="D797" s="1"/>
      <c r="H797" s="1"/>
    </row>
    <row r="798">
      <c r="D798" s="1"/>
      <c r="H798" s="1"/>
    </row>
    <row r="799">
      <c r="D799" s="1"/>
      <c r="H799" s="1"/>
    </row>
    <row r="800">
      <c r="D800" s="1"/>
      <c r="H800" s="1"/>
    </row>
    <row r="801">
      <c r="D801" s="1"/>
      <c r="H801" s="1"/>
    </row>
    <row r="802">
      <c r="D802" s="1"/>
      <c r="H802" s="1"/>
    </row>
    <row r="803">
      <c r="D803" s="1"/>
      <c r="H803" s="1"/>
    </row>
    <row r="804">
      <c r="D804" s="1"/>
      <c r="H804" s="1"/>
    </row>
    <row r="805">
      <c r="D805" s="1"/>
      <c r="H805" s="1"/>
    </row>
    <row r="806">
      <c r="D806" s="1"/>
      <c r="H806" s="1"/>
    </row>
    <row r="807">
      <c r="D807" s="1"/>
      <c r="H807" s="1"/>
    </row>
    <row r="808">
      <c r="D808" s="1"/>
      <c r="H808" s="1"/>
    </row>
    <row r="809">
      <c r="D809" s="1"/>
      <c r="H809" s="1"/>
    </row>
    <row r="810">
      <c r="D810" s="1"/>
      <c r="H810" s="1"/>
    </row>
    <row r="811">
      <c r="D811" s="1"/>
      <c r="H811" s="1"/>
    </row>
    <row r="812">
      <c r="D812" s="1"/>
      <c r="H812" s="1"/>
    </row>
    <row r="813">
      <c r="D813" s="1"/>
      <c r="H813" s="1"/>
    </row>
    <row r="814">
      <c r="D814" s="1"/>
      <c r="H814" s="1"/>
    </row>
    <row r="815">
      <c r="D815" s="1"/>
      <c r="H815" s="1"/>
    </row>
    <row r="816">
      <c r="D816" s="1"/>
      <c r="H816" s="1"/>
    </row>
    <row r="817">
      <c r="D817" s="1"/>
      <c r="H817" s="1"/>
    </row>
    <row r="818">
      <c r="D818" s="1"/>
      <c r="H818" s="1"/>
    </row>
    <row r="819">
      <c r="D819" s="1"/>
      <c r="H819" s="1"/>
    </row>
    <row r="820">
      <c r="D820" s="1"/>
      <c r="H820" s="1"/>
    </row>
    <row r="821">
      <c r="D821" s="1"/>
      <c r="H821" s="1"/>
    </row>
    <row r="822">
      <c r="D822" s="1"/>
      <c r="H822" s="1"/>
    </row>
    <row r="823">
      <c r="D823" s="1"/>
      <c r="H823" s="1"/>
    </row>
    <row r="824">
      <c r="D824" s="1"/>
      <c r="H824" s="1"/>
    </row>
    <row r="825">
      <c r="D825" s="1"/>
      <c r="H825" s="1"/>
    </row>
    <row r="826">
      <c r="D826" s="1"/>
      <c r="H826" s="1"/>
    </row>
    <row r="827">
      <c r="D827" s="1"/>
      <c r="H827" s="1"/>
    </row>
    <row r="828">
      <c r="D828" s="1"/>
      <c r="H828" s="1"/>
    </row>
    <row r="829">
      <c r="D829" s="1"/>
      <c r="H829" s="1"/>
    </row>
    <row r="830">
      <c r="D830" s="1"/>
      <c r="H830" s="1"/>
    </row>
    <row r="831">
      <c r="D831" s="1"/>
      <c r="H831" s="1"/>
    </row>
    <row r="832">
      <c r="D832" s="1"/>
      <c r="H832" s="1"/>
    </row>
    <row r="833">
      <c r="D833" s="1"/>
      <c r="H833" s="1"/>
    </row>
    <row r="834">
      <c r="D834" s="1"/>
      <c r="H834" s="1"/>
    </row>
    <row r="835">
      <c r="D835" s="1"/>
      <c r="H835" s="1"/>
    </row>
    <row r="836">
      <c r="D836" s="1"/>
      <c r="H836" s="1"/>
    </row>
    <row r="837">
      <c r="D837" s="1"/>
      <c r="H837" s="1"/>
    </row>
    <row r="838">
      <c r="D838" s="1"/>
      <c r="H838" s="1"/>
    </row>
    <row r="839">
      <c r="D839" s="1"/>
      <c r="H839" s="1"/>
    </row>
    <row r="840">
      <c r="D840" s="1"/>
      <c r="H840" s="1"/>
    </row>
    <row r="841">
      <c r="D841" s="1"/>
      <c r="H841" s="1"/>
    </row>
    <row r="842">
      <c r="D842" s="1"/>
      <c r="H842" s="1"/>
    </row>
    <row r="843">
      <c r="D843" s="1"/>
      <c r="H843" s="1"/>
    </row>
    <row r="844">
      <c r="D844" s="1"/>
      <c r="H844" s="1"/>
    </row>
    <row r="845">
      <c r="D845" s="1"/>
      <c r="H845" s="1"/>
    </row>
    <row r="846">
      <c r="D846" s="1"/>
      <c r="H846" s="1"/>
    </row>
    <row r="847">
      <c r="D847" s="1"/>
      <c r="H847" s="1"/>
    </row>
    <row r="848">
      <c r="D848" s="1"/>
      <c r="H848" s="1"/>
    </row>
    <row r="849">
      <c r="D849" s="1"/>
      <c r="H849" s="1"/>
    </row>
    <row r="850">
      <c r="D850" s="1"/>
      <c r="H850" s="1"/>
    </row>
    <row r="851">
      <c r="D851" s="1"/>
      <c r="H851" s="1"/>
    </row>
    <row r="852">
      <c r="D852" s="1"/>
      <c r="H852" s="1"/>
    </row>
    <row r="853">
      <c r="D853" s="1"/>
      <c r="H853" s="1"/>
    </row>
    <row r="854">
      <c r="D854" s="1"/>
      <c r="H854" s="1"/>
    </row>
    <row r="855">
      <c r="D855" s="1"/>
      <c r="H855" s="1"/>
    </row>
    <row r="856">
      <c r="D856" s="1"/>
      <c r="H856" s="1"/>
    </row>
    <row r="857">
      <c r="D857" s="1"/>
      <c r="H857" s="1"/>
    </row>
    <row r="858">
      <c r="D858" s="1"/>
      <c r="H858" s="1"/>
    </row>
    <row r="859">
      <c r="D859" s="1"/>
      <c r="H859" s="1"/>
    </row>
    <row r="860">
      <c r="D860" s="1"/>
      <c r="H860" s="1"/>
    </row>
    <row r="861">
      <c r="D861" s="1"/>
      <c r="H861" s="1"/>
    </row>
    <row r="862">
      <c r="D862" s="1"/>
      <c r="H862" s="1"/>
    </row>
    <row r="863">
      <c r="D863" s="1"/>
      <c r="H863" s="1"/>
    </row>
    <row r="864">
      <c r="D864" s="1"/>
      <c r="H864" s="1"/>
    </row>
    <row r="865">
      <c r="D865" s="1"/>
      <c r="H865" s="1"/>
    </row>
    <row r="866">
      <c r="D866" s="1"/>
      <c r="H866" s="1"/>
    </row>
    <row r="867">
      <c r="D867" s="1"/>
      <c r="H867" s="1"/>
    </row>
    <row r="868">
      <c r="D868" s="1"/>
      <c r="H868" s="1"/>
    </row>
    <row r="869">
      <c r="D869" s="1"/>
      <c r="H869" s="1"/>
    </row>
    <row r="870">
      <c r="D870" s="1"/>
      <c r="H870" s="1"/>
    </row>
    <row r="871">
      <c r="D871" s="1"/>
      <c r="H871" s="1"/>
    </row>
    <row r="872">
      <c r="D872" s="1"/>
      <c r="H872" s="1"/>
    </row>
    <row r="873">
      <c r="D873" s="1"/>
      <c r="H873" s="1"/>
    </row>
    <row r="874">
      <c r="D874" s="1"/>
      <c r="H874" s="1"/>
    </row>
    <row r="875">
      <c r="D875" s="1"/>
      <c r="H875" s="1"/>
    </row>
    <row r="876">
      <c r="D876" s="1"/>
      <c r="H876" s="1"/>
    </row>
    <row r="877">
      <c r="D877" s="1"/>
      <c r="H877" s="1"/>
    </row>
    <row r="878">
      <c r="D878" s="1"/>
      <c r="H878" s="1"/>
    </row>
    <row r="879">
      <c r="D879" s="1"/>
      <c r="H879" s="1"/>
    </row>
    <row r="880">
      <c r="D880" s="1"/>
      <c r="H880" s="1"/>
    </row>
    <row r="881">
      <c r="D881" s="1"/>
      <c r="H881" s="1"/>
    </row>
    <row r="882">
      <c r="D882" s="1"/>
      <c r="H882" s="1"/>
    </row>
    <row r="883">
      <c r="D883" s="1"/>
      <c r="H883" s="1"/>
    </row>
    <row r="884">
      <c r="D884" s="1"/>
      <c r="H884" s="1"/>
    </row>
    <row r="885">
      <c r="D885" s="1"/>
      <c r="H885" s="1"/>
    </row>
    <row r="886">
      <c r="D886" s="1"/>
      <c r="H886" s="1"/>
    </row>
    <row r="887">
      <c r="D887" s="1"/>
      <c r="H887" s="1"/>
    </row>
    <row r="888">
      <c r="D888" s="1"/>
      <c r="H888" s="1"/>
    </row>
    <row r="889">
      <c r="D889" s="1"/>
      <c r="H889" s="1"/>
    </row>
    <row r="890">
      <c r="D890" s="1"/>
      <c r="H890" s="1"/>
    </row>
    <row r="891">
      <c r="D891" s="1"/>
      <c r="H891" s="1"/>
    </row>
    <row r="892">
      <c r="D892" s="1"/>
      <c r="H892" s="1"/>
    </row>
    <row r="893">
      <c r="D893" s="1"/>
      <c r="H893" s="1"/>
    </row>
    <row r="894">
      <c r="D894" s="1"/>
      <c r="H894" s="1"/>
    </row>
    <row r="895">
      <c r="D895" s="1"/>
      <c r="H895" s="1"/>
    </row>
    <row r="896">
      <c r="D896" s="1"/>
      <c r="H896" s="1"/>
    </row>
    <row r="897">
      <c r="D897" s="1"/>
      <c r="H897" s="1"/>
    </row>
    <row r="898">
      <c r="D898" s="1"/>
      <c r="H898" s="1"/>
    </row>
    <row r="899">
      <c r="D899" s="1"/>
      <c r="H899" s="1"/>
    </row>
    <row r="900">
      <c r="D900" s="1"/>
      <c r="H900" s="1"/>
    </row>
    <row r="901">
      <c r="D901" s="1"/>
      <c r="H901" s="1"/>
    </row>
    <row r="902">
      <c r="D902" s="1"/>
      <c r="H902" s="1"/>
    </row>
    <row r="903">
      <c r="D903" s="1"/>
      <c r="H903" s="1"/>
    </row>
    <row r="904">
      <c r="D904" s="1"/>
      <c r="H904" s="1"/>
    </row>
    <row r="905">
      <c r="D905" s="1"/>
      <c r="H905" s="1"/>
    </row>
    <row r="906">
      <c r="D906" s="1"/>
      <c r="H906" s="1"/>
    </row>
    <row r="907">
      <c r="D907" s="1"/>
      <c r="H907" s="1"/>
    </row>
    <row r="908">
      <c r="D908" s="1"/>
      <c r="H908" s="1"/>
    </row>
    <row r="909">
      <c r="D909" s="1"/>
      <c r="H909" s="1"/>
    </row>
    <row r="910">
      <c r="D910" s="1"/>
      <c r="H910" s="1"/>
    </row>
    <row r="911">
      <c r="D911" s="1"/>
      <c r="H911" s="1"/>
    </row>
    <row r="912">
      <c r="D912" s="1"/>
      <c r="H912" s="1"/>
    </row>
    <row r="913">
      <c r="D913" s="1"/>
      <c r="H913" s="1"/>
    </row>
    <row r="914">
      <c r="D914" s="1"/>
      <c r="H914" s="1"/>
    </row>
    <row r="915">
      <c r="D915" s="1"/>
      <c r="H915" s="1"/>
    </row>
    <row r="916">
      <c r="D916" s="1"/>
      <c r="H916" s="1"/>
    </row>
    <row r="917">
      <c r="D917" s="1"/>
      <c r="H917" s="1"/>
    </row>
    <row r="918">
      <c r="D918" s="1"/>
      <c r="H918" s="1"/>
    </row>
    <row r="919">
      <c r="D919" s="1"/>
      <c r="H919" s="1"/>
    </row>
    <row r="920">
      <c r="D920" s="1"/>
      <c r="H920" s="1"/>
    </row>
    <row r="921">
      <c r="D921" s="1"/>
      <c r="H921" s="1"/>
    </row>
    <row r="922">
      <c r="D922" s="1"/>
      <c r="H922" s="1"/>
    </row>
    <row r="923">
      <c r="D923" s="1"/>
      <c r="H923" s="1"/>
    </row>
    <row r="924">
      <c r="D924" s="1"/>
      <c r="H924" s="1"/>
    </row>
    <row r="925">
      <c r="D925" s="1"/>
      <c r="H925" s="1"/>
    </row>
    <row r="926">
      <c r="D926" s="1"/>
      <c r="H926" s="1"/>
    </row>
    <row r="927">
      <c r="D927" s="1"/>
      <c r="H927" s="1"/>
    </row>
    <row r="928">
      <c r="D928" s="1"/>
      <c r="H928" s="1"/>
    </row>
    <row r="929">
      <c r="D929" s="1"/>
      <c r="H929" s="1"/>
    </row>
    <row r="930">
      <c r="D930" s="1"/>
      <c r="H930" s="1"/>
    </row>
    <row r="931">
      <c r="D931" s="1"/>
      <c r="H931" s="1"/>
    </row>
    <row r="932">
      <c r="D932" s="1"/>
      <c r="H932" s="1"/>
    </row>
    <row r="933">
      <c r="D933" s="1"/>
      <c r="H933" s="1"/>
    </row>
    <row r="934">
      <c r="D934" s="1"/>
      <c r="H934" s="1"/>
    </row>
    <row r="935">
      <c r="D935" s="1"/>
      <c r="H935" s="1"/>
    </row>
    <row r="936">
      <c r="D936" s="1"/>
      <c r="H936" s="1"/>
    </row>
    <row r="937">
      <c r="D937" s="1"/>
      <c r="H937" s="1"/>
    </row>
    <row r="938">
      <c r="D938" s="1"/>
      <c r="H938" s="1"/>
    </row>
    <row r="939">
      <c r="D939" s="1"/>
      <c r="H939" s="1"/>
    </row>
    <row r="940">
      <c r="D940" s="1"/>
      <c r="H940" s="1"/>
    </row>
    <row r="941">
      <c r="D941" s="1"/>
      <c r="H941" s="1"/>
    </row>
    <row r="942">
      <c r="D942" s="1"/>
      <c r="H942" s="1"/>
    </row>
    <row r="943">
      <c r="D943" s="1"/>
      <c r="H943" s="1"/>
    </row>
    <row r="944">
      <c r="D944" s="1"/>
      <c r="H944" s="1"/>
    </row>
    <row r="945">
      <c r="D945" s="1"/>
      <c r="H945" s="1"/>
    </row>
    <row r="946">
      <c r="D946" s="1"/>
      <c r="H946" s="1"/>
    </row>
    <row r="947">
      <c r="D947" s="1"/>
      <c r="H947" s="1"/>
    </row>
    <row r="948">
      <c r="D948" s="1"/>
      <c r="H948" s="1"/>
    </row>
    <row r="949">
      <c r="D949" s="1"/>
      <c r="H949" s="1"/>
    </row>
    <row r="950">
      <c r="D950" s="1"/>
      <c r="H950" s="1"/>
    </row>
    <row r="951">
      <c r="D951" s="1"/>
      <c r="H951" s="1"/>
    </row>
    <row r="952">
      <c r="D952" s="1"/>
      <c r="H952" s="1"/>
    </row>
    <row r="953">
      <c r="D953" s="1"/>
      <c r="H953" s="1"/>
    </row>
    <row r="954">
      <c r="D954" s="1"/>
      <c r="H954" s="1"/>
    </row>
    <row r="955">
      <c r="D955" s="1"/>
      <c r="H955" s="1"/>
    </row>
    <row r="956">
      <c r="D956" s="1"/>
      <c r="H956" s="1"/>
    </row>
    <row r="957">
      <c r="D957" s="1"/>
      <c r="H957" s="1"/>
    </row>
    <row r="958">
      <c r="D958" s="1"/>
      <c r="H958" s="1"/>
    </row>
    <row r="959">
      <c r="D959" s="1"/>
      <c r="H959" s="1"/>
    </row>
    <row r="960">
      <c r="D960" s="1"/>
      <c r="H960" s="1"/>
    </row>
    <row r="961">
      <c r="D961" s="1"/>
      <c r="H961" s="1"/>
    </row>
    <row r="962">
      <c r="D962" s="1"/>
      <c r="H962" s="1"/>
    </row>
    <row r="963">
      <c r="D963" s="1"/>
      <c r="H963" s="1"/>
    </row>
    <row r="964">
      <c r="D964" s="1"/>
      <c r="H964" s="1"/>
    </row>
    <row r="965">
      <c r="D965" s="1"/>
      <c r="H965" s="1"/>
    </row>
    <row r="966">
      <c r="D966" s="1"/>
      <c r="H966" s="1"/>
    </row>
    <row r="967">
      <c r="D967" s="1"/>
      <c r="H967" s="1"/>
    </row>
    <row r="968">
      <c r="D968" s="1"/>
      <c r="H968" s="1"/>
    </row>
    <row r="969">
      <c r="D969" s="1"/>
      <c r="H969" s="1"/>
    </row>
    <row r="970">
      <c r="D970" s="1"/>
      <c r="H970" s="1"/>
    </row>
    <row r="971">
      <c r="D971" s="1"/>
      <c r="H971" s="1"/>
    </row>
    <row r="972">
      <c r="D972" s="1"/>
      <c r="H972" s="1"/>
    </row>
    <row r="973">
      <c r="D973" s="1"/>
      <c r="H973" s="1"/>
    </row>
    <row r="974">
      <c r="D974" s="1"/>
      <c r="H974" s="1"/>
    </row>
    <row r="975">
      <c r="D975" s="1"/>
      <c r="H975" s="1"/>
    </row>
    <row r="976">
      <c r="D976" s="1"/>
      <c r="H976" s="1"/>
    </row>
    <row r="977">
      <c r="D977" s="1"/>
      <c r="H977" s="1"/>
    </row>
    <row r="978">
      <c r="D978" s="1"/>
      <c r="H978" s="1"/>
    </row>
    <row r="979">
      <c r="D979" s="1"/>
      <c r="H979" s="1"/>
    </row>
    <row r="980">
      <c r="D980" s="1"/>
      <c r="H980" s="1"/>
    </row>
    <row r="981">
      <c r="D981" s="1"/>
      <c r="H981" s="1"/>
    </row>
    <row r="982">
      <c r="D982" s="1"/>
      <c r="H982" s="1"/>
    </row>
    <row r="983">
      <c r="D983" s="1"/>
      <c r="H983" s="1"/>
    </row>
    <row r="984">
      <c r="D984" s="1"/>
      <c r="H984" s="1"/>
    </row>
    <row r="985">
      <c r="D985" s="1"/>
      <c r="H985" s="1"/>
    </row>
    <row r="986">
      <c r="D986" s="1"/>
      <c r="H986" s="1"/>
    </row>
    <row r="987">
      <c r="D987" s="1"/>
      <c r="H987" s="1"/>
    </row>
    <row r="988">
      <c r="D988" s="1"/>
      <c r="H988" s="1"/>
    </row>
    <row r="989">
      <c r="D989" s="1"/>
      <c r="H989" s="1"/>
    </row>
    <row r="990">
      <c r="D990" s="1"/>
      <c r="H990" s="1"/>
    </row>
    <row r="991">
      <c r="D991" s="1"/>
      <c r="H991" s="1"/>
    </row>
    <row r="992">
      <c r="D992" s="1"/>
      <c r="H992" s="1"/>
    </row>
    <row r="993">
      <c r="D993" s="1"/>
      <c r="H993" s="1"/>
    </row>
    <row r="994">
      <c r="D994" s="1"/>
      <c r="H994" s="1"/>
    </row>
    <row r="995">
      <c r="D995" s="1"/>
      <c r="H995" s="1"/>
    </row>
    <row r="996">
      <c r="D996" s="1"/>
      <c r="H996" s="1"/>
    </row>
    <row r="997">
      <c r="D997" s="1"/>
      <c r="H997" s="1"/>
    </row>
    <row r="998">
      <c r="D998" s="1"/>
      <c r="H998" s="1"/>
    </row>
    <row r="999">
      <c r="D999" s="1"/>
      <c r="H999" s="1"/>
    </row>
    <row r="1000">
      <c r="D1000" s="1"/>
      <c r="H1000" s="1"/>
    </row>
    <row r="1001">
      <c r="D1001" s="1"/>
      <c r="H1001" s="1"/>
    </row>
    <row r="1002">
      <c r="D1002" s="1"/>
      <c r="H1002" s="1"/>
    </row>
    <row r="1003">
      <c r="D1003" s="1"/>
      <c r="H1003" s="1"/>
    </row>
    <row r="1004">
      <c r="D1004" s="1"/>
      <c r="H1004" s="1"/>
    </row>
    <row r="1005">
      <c r="D1005" s="1"/>
      <c r="H1005" s="1"/>
    </row>
    <row r="1006">
      <c r="D1006" s="1"/>
      <c r="H1006" s="1"/>
    </row>
    <row r="1007">
      <c r="D1007" s="1"/>
      <c r="H1007" s="1"/>
    </row>
    <row r="1008">
      <c r="D1008" s="1"/>
      <c r="H1008" s="1"/>
    </row>
    <row r="1009">
      <c r="D1009" s="1"/>
      <c r="H1009" s="1"/>
    </row>
    <row r="1010">
      <c r="D1010" s="1"/>
      <c r="H1010" s="1"/>
    </row>
    <row r="1011">
      <c r="D1011" s="1"/>
      <c r="H1011" s="1"/>
    </row>
    <row r="1012">
      <c r="D1012" s="1"/>
      <c r="H101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5" max="5" width="13.75"/>
    <col customWidth="1" min="8" max="8" width="14.38"/>
    <col customWidth="1" min="12" max="12" width="16.75"/>
    <col customWidth="1" min="13" max="13" width="22.25"/>
  </cols>
  <sheetData>
    <row r="3">
      <c r="A3" s="15" t="s">
        <v>32</v>
      </c>
      <c r="B3" s="15" t="s">
        <v>33</v>
      </c>
      <c r="C3" s="15" t="s">
        <v>34</v>
      </c>
      <c r="D3" s="16" t="s">
        <v>35</v>
      </c>
      <c r="E3" s="16" t="s">
        <v>36</v>
      </c>
      <c r="F3" s="15" t="s">
        <v>37</v>
      </c>
      <c r="G3" s="15" t="s">
        <v>38</v>
      </c>
      <c r="H3" s="16" t="s">
        <v>39</v>
      </c>
      <c r="I3" s="17" t="s">
        <v>40</v>
      </c>
      <c r="J3" s="5" t="s">
        <v>41</v>
      </c>
      <c r="K3" s="5" t="s">
        <v>42</v>
      </c>
      <c r="L3" s="5" t="s">
        <v>43</v>
      </c>
      <c r="M3" s="5" t="s">
        <v>44</v>
      </c>
    </row>
    <row r="5">
      <c r="A5" s="18">
        <v>295.0</v>
      </c>
      <c r="B5" s="18">
        <v>44.69999695</v>
      </c>
      <c r="C5" s="18">
        <v>45.44999695</v>
      </c>
      <c r="D5" s="19">
        <f>MAX(Underlying*EXP(-DividendYield*TimeToExpiration)-A5*EXP(-RiskFreeRate*TimeToExpiration), 0)</f>
        <v>44.50722097</v>
      </c>
      <c r="E5" s="19">
        <f>Underlying*EXP(-DividendYield*TimeToExpiration)</f>
        <v>339.25</v>
      </c>
      <c r="F5" s="18">
        <v>0.24000001</v>
      </c>
      <c r="G5" s="18">
        <v>0.25999999</v>
      </c>
      <c r="H5" s="19">
        <f>MAX(A5*EXP(-RiskFreeRate*TimeToExpiration)-Underlying*EXP(-DividendYield*TimeToExpiration), 0)</f>
        <v>0</v>
      </c>
      <c r="I5" s="20">
        <f>A5*EXP(-RiskFreeRate*TimeToExpiration)</f>
        <v>294.742779</v>
      </c>
      <c r="J5" s="7">
        <f t="shared" ref="J5:J39" si="1">AVERAGE(B5:C5)</f>
        <v>45.07499695</v>
      </c>
      <c r="K5" s="7">
        <f t="shared" ref="K5:K39" si="2">AVERAGE(F5:G5)</f>
        <v>0.25</v>
      </c>
      <c r="L5" s="7">
        <f t="shared" ref="L5:L39" si="3">C5-B5</f>
        <v>0.75</v>
      </c>
      <c r="M5" s="7">
        <f t="shared" ref="M5:M39" si="4">G5-F5</f>
        <v>0.01999998</v>
      </c>
    </row>
    <row r="6">
      <c r="A6" s="21">
        <v>297.5</v>
      </c>
      <c r="B6" s="18">
        <v>40.19999695</v>
      </c>
      <c r="C6" s="18">
        <v>43.40000916</v>
      </c>
      <c r="D6" s="19">
        <f>MAX(Underlying*EXP(-DividendYield*TimeToExpiration)-A6*EXP(-RiskFreeRate*TimeToExpiration), 0)</f>
        <v>42.00940081</v>
      </c>
      <c r="E6" s="19">
        <f>Underlying*EXP(-DividendYield*TimeToExpiration)</f>
        <v>339.25</v>
      </c>
      <c r="F6" s="18">
        <v>0.270000041</v>
      </c>
      <c r="G6" s="18">
        <v>0.290000021</v>
      </c>
      <c r="H6" s="19">
        <f>MAX(A6*EXP(-RiskFreeRate*TimeToExpiration)-Underlying*EXP(-DividendYield*TimeToExpiration), 0)</f>
        <v>0</v>
      </c>
      <c r="I6" s="20">
        <f>A6*EXP(-RiskFreeRate*TimeToExpiration)</f>
        <v>297.2405992</v>
      </c>
      <c r="J6" s="7">
        <f t="shared" si="1"/>
        <v>41.80000306</v>
      </c>
      <c r="K6" s="7">
        <f t="shared" si="2"/>
        <v>0.280000031</v>
      </c>
      <c r="L6" s="7">
        <f t="shared" si="3"/>
        <v>3.20001221</v>
      </c>
      <c r="M6" s="7">
        <f t="shared" si="4"/>
        <v>0.01999998</v>
      </c>
    </row>
    <row r="7">
      <c r="A7" s="18">
        <v>300.0</v>
      </c>
      <c r="B7" s="18">
        <v>39.79998779</v>
      </c>
      <c r="C7" s="18">
        <v>40.19999695</v>
      </c>
      <c r="D7" s="19">
        <f>MAX(Underlying*EXP(-DividendYield*TimeToExpiration)-A7*EXP(-RiskFreeRate*TimeToExpiration), 0)</f>
        <v>39.51158065</v>
      </c>
      <c r="E7" s="19">
        <f>Underlying*EXP(-DividendYield*TimeToExpiration)</f>
        <v>339.25</v>
      </c>
      <c r="F7" s="18">
        <v>0.310000002</v>
      </c>
      <c r="G7" s="18">
        <v>0.319999993</v>
      </c>
      <c r="H7" s="19">
        <f>MAX(A7*EXP(-RiskFreeRate*TimeToExpiration)-Underlying*EXP(-DividendYield*TimeToExpiration), 0)</f>
        <v>0</v>
      </c>
      <c r="I7" s="20">
        <f>A7*EXP(-RiskFreeRate*TimeToExpiration)</f>
        <v>299.7384194</v>
      </c>
      <c r="J7" s="7">
        <f t="shared" si="1"/>
        <v>39.99999237</v>
      </c>
      <c r="K7" s="7">
        <f t="shared" si="2"/>
        <v>0.3149999975</v>
      </c>
      <c r="L7" s="7">
        <f t="shared" si="3"/>
        <v>0.40000916</v>
      </c>
      <c r="M7" s="7">
        <f t="shared" si="4"/>
        <v>0.009999991</v>
      </c>
    </row>
    <row r="8">
      <c r="A8" s="21">
        <v>302.5</v>
      </c>
      <c r="B8" s="18">
        <v>35.6000061</v>
      </c>
      <c r="C8" s="18">
        <v>38.05000305</v>
      </c>
      <c r="D8" s="19">
        <f>MAX(Underlying*EXP(-DividendYield*TimeToExpiration)-A8*EXP(-RiskFreeRate*TimeToExpiration), 0)</f>
        <v>37.01376049</v>
      </c>
      <c r="E8" s="19">
        <f>Underlying*EXP(-DividendYield*TimeToExpiration)</f>
        <v>339.25</v>
      </c>
      <c r="F8" s="18">
        <v>0.360000014</v>
      </c>
      <c r="G8" s="18">
        <v>0.370000005</v>
      </c>
      <c r="H8" s="19">
        <f>MAX(A8*EXP(-RiskFreeRate*TimeToExpiration)-Underlying*EXP(-DividendYield*TimeToExpiration), 0)</f>
        <v>0</v>
      </c>
      <c r="I8" s="20">
        <f>A8*EXP(-RiskFreeRate*TimeToExpiration)</f>
        <v>302.2362395</v>
      </c>
      <c r="J8" s="7">
        <f t="shared" si="1"/>
        <v>36.82500458</v>
      </c>
      <c r="K8" s="7">
        <f t="shared" si="2"/>
        <v>0.3650000095</v>
      </c>
      <c r="L8" s="7">
        <f t="shared" si="3"/>
        <v>2.44999695</v>
      </c>
      <c r="M8" s="7">
        <f t="shared" si="4"/>
        <v>0.009999991</v>
      </c>
    </row>
    <row r="9">
      <c r="A9" s="18">
        <v>305.0</v>
      </c>
      <c r="B9" s="18">
        <v>34.90000916</v>
      </c>
      <c r="C9" s="18">
        <v>35.25</v>
      </c>
      <c r="D9" s="19">
        <f>MAX(Underlying*EXP(-DividendYield*TimeToExpiration)-A9*EXP(-RiskFreeRate*TimeToExpiration), 0)</f>
        <v>34.51594033</v>
      </c>
      <c r="E9" s="19">
        <f>Underlying*EXP(-DividendYield*TimeToExpiration)</f>
        <v>339.25</v>
      </c>
      <c r="F9" s="18">
        <v>0.420000017</v>
      </c>
      <c r="G9" s="18">
        <v>0.430000007</v>
      </c>
      <c r="H9" s="19">
        <f>MAX(A9*EXP(-RiskFreeRate*TimeToExpiration)-Underlying*EXP(-DividendYield*TimeToExpiration), 0)</f>
        <v>0</v>
      </c>
      <c r="I9" s="20">
        <f>A9*EXP(-RiskFreeRate*TimeToExpiration)</f>
        <v>304.7340597</v>
      </c>
      <c r="J9" s="7">
        <f t="shared" si="1"/>
        <v>35.07500458</v>
      </c>
      <c r="K9" s="7">
        <f t="shared" si="2"/>
        <v>0.425000012</v>
      </c>
      <c r="L9" s="7">
        <f t="shared" si="3"/>
        <v>0.34999084</v>
      </c>
      <c r="M9" s="7">
        <f t="shared" si="4"/>
        <v>0.00999999</v>
      </c>
    </row>
    <row r="10">
      <c r="A10" s="18">
        <v>307.5</v>
      </c>
      <c r="B10" s="18">
        <v>30.34999084</v>
      </c>
      <c r="C10" s="18">
        <v>33.69999695</v>
      </c>
      <c r="D10" s="19">
        <f>MAX(Underlying*EXP(-DividendYield*TimeToExpiration)-A10*EXP(-RiskFreeRate*TimeToExpiration), 0)</f>
        <v>32.01812017</v>
      </c>
      <c r="E10" s="19">
        <f>Underlying*EXP(-DividendYield*TimeToExpiration)</f>
        <v>339.25</v>
      </c>
      <c r="F10" s="18">
        <v>0.49000001</v>
      </c>
      <c r="G10" s="18">
        <v>0.5</v>
      </c>
      <c r="H10" s="19">
        <f>MAX(A10*EXP(-RiskFreeRate*TimeToExpiration)-Underlying*EXP(-DividendYield*TimeToExpiration), 0)</f>
        <v>0</v>
      </c>
      <c r="I10" s="20">
        <f>A10*EXP(-RiskFreeRate*TimeToExpiration)</f>
        <v>307.2318798</v>
      </c>
      <c r="J10" s="7">
        <f t="shared" si="1"/>
        <v>32.0249939</v>
      </c>
      <c r="K10" s="7">
        <f t="shared" si="2"/>
        <v>0.495000005</v>
      </c>
      <c r="L10" s="7">
        <f t="shared" si="3"/>
        <v>3.35000611</v>
      </c>
      <c r="M10" s="7">
        <f t="shared" si="4"/>
        <v>0.00999999</v>
      </c>
    </row>
    <row r="11">
      <c r="A11" s="18">
        <v>310.0</v>
      </c>
      <c r="B11" s="18">
        <v>30.1000061</v>
      </c>
      <c r="C11" s="18">
        <v>30.25</v>
      </c>
      <c r="D11" s="19">
        <f>MAX(Underlying*EXP(-DividendYield*TimeToExpiration)-A11*EXP(-RiskFreeRate*TimeToExpiration), 0)</f>
        <v>29.5203</v>
      </c>
      <c r="E11" s="19">
        <f>Underlying*EXP(-DividendYield*TimeToExpiration)</f>
        <v>339.25</v>
      </c>
      <c r="F11" s="18">
        <v>0.579999983</v>
      </c>
      <c r="G11" s="18">
        <v>0.589999974</v>
      </c>
      <c r="H11" s="19">
        <f>MAX(A11*EXP(-RiskFreeRate*TimeToExpiration)-Underlying*EXP(-DividendYield*TimeToExpiration), 0)</f>
        <v>0</v>
      </c>
      <c r="I11" s="20">
        <f>A11*EXP(-RiskFreeRate*TimeToExpiration)</f>
        <v>309.7297</v>
      </c>
      <c r="J11" s="7">
        <f t="shared" si="1"/>
        <v>30.17500305</v>
      </c>
      <c r="K11" s="7">
        <f t="shared" si="2"/>
        <v>0.5849999785</v>
      </c>
      <c r="L11" s="7">
        <f t="shared" si="3"/>
        <v>0.1499939</v>
      </c>
      <c r="M11" s="7">
        <f t="shared" si="4"/>
        <v>0.009999991</v>
      </c>
    </row>
    <row r="12">
      <c r="A12" s="18">
        <v>312.5</v>
      </c>
      <c r="B12" s="18">
        <v>27.09999084</v>
      </c>
      <c r="C12" s="18">
        <v>28.09999084</v>
      </c>
      <c r="D12" s="19">
        <f>MAX(Underlying*EXP(-DividendYield*TimeToExpiration)-A12*EXP(-RiskFreeRate*TimeToExpiration), 0)</f>
        <v>27.02247984</v>
      </c>
      <c r="E12" s="19">
        <f>Underlying*EXP(-DividendYield*TimeToExpiration)</f>
        <v>339.25</v>
      </c>
      <c r="F12" s="18">
        <v>0.699999988</v>
      </c>
      <c r="G12" s="18">
        <v>0.709999979</v>
      </c>
      <c r="H12" s="19">
        <f>MAX(A12*EXP(-RiskFreeRate*TimeToExpiration)-Underlying*EXP(-DividendYield*TimeToExpiration), 0)</f>
        <v>0</v>
      </c>
      <c r="I12" s="20">
        <f>A12*EXP(-RiskFreeRate*TimeToExpiration)</f>
        <v>312.2275202</v>
      </c>
      <c r="J12" s="7">
        <f t="shared" si="1"/>
        <v>27.59999084</v>
      </c>
      <c r="K12" s="7">
        <f t="shared" si="2"/>
        <v>0.7049999835</v>
      </c>
      <c r="L12" s="7">
        <f t="shared" si="3"/>
        <v>1</v>
      </c>
      <c r="M12" s="7">
        <f t="shared" si="4"/>
        <v>0.009999991</v>
      </c>
    </row>
    <row r="13">
      <c r="A13" s="18">
        <v>315.0</v>
      </c>
      <c r="B13" s="18">
        <v>25.3500061</v>
      </c>
      <c r="C13" s="18">
        <v>25.5</v>
      </c>
      <c r="D13" s="19">
        <f>MAX(Underlying*EXP(-DividendYield*TimeToExpiration)-A13*EXP(-RiskFreeRate*TimeToExpiration), 0)</f>
        <v>24.52465968</v>
      </c>
      <c r="E13" s="19">
        <f>Underlying*EXP(-DividendYield*TimeToExpiration)</f>
        <v>339.25</v>
      </c>
      <c r="F13" s="18">
        <v>0.860000014</v>
      </c>
      <c r="G13" s="18">
        <v>0.870000005</v>
      </c>
      <c r="H13" s="19">
        <f>MAX(A13*EXP(-RiskFreeRate*TimeToExpiration)-Underlying*EXP(-DividendYield*TimeToExpiration), 0)</f>
        <v>0</v>
      </c>
      <c r="I13" s="20">
        <f>A13*EXP(-RiskFreeRate*TimeToExpiration)</f>
        <v>314.7253403</v>
      </c>
      <c r="J13" s="7">
        <f t="shared" si="1"/>
        <v>25.42500305</v>
      </c>
      <c r="K13" s="7">
        <f t="shared" si="2"/>
        <v>0.8650000095</v>
      </c>
      <c r="L13" s="7">
        <f t="shared" si="3"/>
        <v>0.1499939</v>
      </c>
      <c r="M13" s="7">
        <f t="shared" si="4"/>
        <v>0.009999991</v>
      </c>
    </row>
    <row r="14">
      <c r="A14" s="18">
        <v>317.5</v>
      </c>
      <c r="B14" s="18">
        <v>22.69999695</v>
      </c>
      <c r="C14" s="18">
        <v>23.3500061</v>
      </c>
      <c r="D14" s="19">
        <f>MAX(Underlying*EXP(-DividendYield*TimeToExpiration)-A14*EXP(-RiskFreeRate*TimeToExpiration), 0)</f>
        <v>22.02683952</v>
      </c>
      <c r="E14" s="19">
        <f>Underlying*EXP(-DividendYield*TimeToExpiration)</f>
        <v>339.25</v>
      </c>
      <c r="F14" s="18">
        <v>1.06000042</v>
      </c>
      <c r="G14" s="18">
        <v>1.079999924</v>
      </c>
      <c r="H14" s="19">
        <f>MAX(A14*EXP(-RiskFreeRate*TimeToExpiration)-Underlying*EXP(-DividendYield*TimeToExpiration), 0)</f>
        <v>0</v>
      </c>
      <c r="I14" s="20">
        <f>A14*EXP(-RiskFreeRate*TimeToExpiration)</f>
        <v>317.2231605</v>
      </c>
      <c r="J14" s="7">
        <f t="shared" si="1"/>
        <v>23.02500153</v>
      </c>
      <c r="K14" s="7">
        <f t="shared" si="2"/>
        <v>1.070000172</v>
      </c>
      <c r="L14" s="7">
        <f t="shared" si="3"/>
        <v>0.65000915</v>
      </c>
      <c r="M14" s="7">
        <f t="shared" si="4"/>
        <v>0.019999504</v>
      </c>
    </row>
    <row r="15">
      <c r="A15" s="18">
        <v>320.0</v>
      </c>
      <c r="B15" s="18">
        <v>20.8500061</v>
      </c>
      <c r="C15" s="18">
        <v>21.0</v>
      </c>
      <c r="D15" s="19">
        <f>MAX(Underlying*EXP(-DividendYield*TimeToExpiration)-A15*EXP(-RiskFreeRate*TimeToExpiration), 0)</f>
        <v>19.52901936</v>
      </c>
      <c r="E15" s="19">
        <f>Underlying*EXP(-DividendYield*TimeToExpiration)</f>
        <v>339.25</v>
      </c>
      <c r="F15" s="18">
        <v>1.31000042</v>
      </c>
      <c r="G15" s="18">
        <v>1.329999924</v>
      </c>
      <c r="H15" s="19">
        <f>MAX(A15*EXP(-RiskFreeRate*TimeToExpiration)-Underlying*EXP(-DividendYield*TimeToExpiration), 0)</f>
        <v>0</v>
      </c>
      <c r="I15" s="20">
        <f>A15*EXP(-RiskFreeRate*TimeToExpiration)</f>
        <v>319.7209806</v>
      </c>
      <c r="J15" s="7">
        <f t="shared" si="1"/>
        <v>20.92500305</v>
      </c>
      <c r="K15" s="7">
        <f t="shared" si="2"/>
        <v>1.320000172</v>
      </c>
      <c r="L15" s="7">
        <f t="shared" si="3"/>
        <v>0.1499939</v>
      </c>
      <c r="M15" s="7">
        <f t="shared" si="4"/>
        <v>0.019999504</v>
      </c>
    </row>
    <row r="16">
      <c r="A16" s="18">
        <v>322.5</v>
      </c>
      <c r="B16" s="18">
        <v>18.69999695</v>
      </c>
      <c r="C16" s="18">
        <v>19.19999695</v>
      </c>
      <c r="D16" s="19">
        <f>MAX(Underlying*EXP(-DividendYield*TimeToExpiration)-A16*EXP(-RiskFreeRate*TimeToExpiration), 0)</f>
        <v>17.0311992</v>
      </c>
      <c r="E16" s="19">
        <f>Underlying*EXP(-DividendYield*TimeToExpiration)</f>
        <v>339.25</v>
      </c>
      <c r="F16" s="18">
        <v>1.649999619</v>
      </c>
      <c r="G16" s="18">
        <v>1.679999352</v>
      </c>
      <c r="H16" s="19">
        <f>MAX(A16*EXP(-RiskFreeRate*TimeToExpiration)-Underlying*EXP(-DividendYield*TimeToExpiration), 0)</f>
        <v>0</v>
      </c>
      <c r="I16" s="20">
        <f>A16*EXP(-RiskFreeRate*TimeToExpiration)</f>
        <v>322.2188008</v>
      </c>
      <c r="J16" s="7">
        <f t="shared" si="1"/>
        <v>18.94999695</v>
      </c>
      <c r="K16" s="7">
        <f t="shared" si="2"/>
        <v>1.664999486</v>
      </c>
      <c r="L16" s="7">
        <f t="shared" si="3"/>
        <v>0.5</v>
      </c>
      <c r="M16" s="7">
        <f t="shared" si="4"/>
        <v>0.029999733</v>
      </c>
    </row>
    <row r="17">
      <c r="A17" s="18">
        <v>325.0</v>
      </c>
      <c r="B17" s="18">
        <v>16.6000061</v>
      </c>
      <c r="C17" s="18">
        <v>16.8999939</v>
      </c>
      <c r="D17" s="19">
        <f>MAX(Underlying*EXP(-DividendYield*TimeToExpiration)-A17*EXP(-RiskFreeRate*TimeToExpiration), 0)</f>
        <v>14.53337904</v>
      </c>
      <c r="E17" s="19">
        <f>Underlying*EXP(-DividendYield*TimeToExpiration)</f>
        <v>339.25</v>
      </c>
      <c r="F17" s="18">
        <v>2.069999695</v>
      </c>
      <c r="G17" s="18">
        <v>2.100000381</v>
      </c>
      <c r="H17" s="19">
        <f>MAX(A17*EXP(-RiskFreeRate*TimeToExpiration)-Underlying*EXP(-DividendYield*TimeToExpiration), 0)</f>
        <v>0</v>
      </c>
      <c r="I17" s="20">
        <f>A17*EXP(-RiskFreeRate*TimeToExpiration)</f>
        <v>324.716621</v>
      </c>
      <c r="J17" s="7">
        <f t="shared" si="1"/>
        <v>16.75</v>
      </c>
      <c r="K17" s="7">
        <f t="shared" si="2"/>
        <v>2.085000038</v>
      </c>
      <c r="L17" s="7">
        <f t="shared" si="3"/>
        <v>0.2999878</v>
      </c>
      <c r="M17" s="7">
        <f t="shared" si="4"/>
        <v>0.030000686</v>
      </c>
    </row>
    <row r="18">
      <c r="A18" s="18">
        <v>327.5</v>
      </c>
      <c r="B18" s="18">
        <v>14.64999962</v>
      </c>
      <c r="C18" s="18">
        <v>14.80000019</v>
      </c>
      <c r="D18" s="19">
        <f>MAX(Underlying*EXP(-DividendYield*TimeToExpiration)-A18*EXP(-RiskFreeRate*TimeToExpiration), 0)</f>
        <v>12.03555888</v>
      </c>
      <c r="E18" s="19">
        <f>Underlying*EXP(-DividendYield*TimeToExpiration)</f>
        <v>339.25</v>
      </c>
      <c r="F18" s="18">
        <v>2.609999657</v>
      </c>
      <c r="G18" s="18">
        <v>2.630000114</v>
      </c>
      <c r="H18" s="19">
        <f>MAX(A18*EXP(-RiskFreeRate*TimeToExpiration)-Underlying*EXP(-DividendYield*TimeToExpiration), 0)</f>
        <v>0</v>
      </c>
      <c r="I18" s="20">
        <f>A18*EXP(-RiskFreeRate*TimeToExpiration)</f>
        <v>327.2144411</v>
      </c>
      <c r="J18" s="7">
        <f t="shared" si="1"/>
        <v>14.72499991</v>
      </c>
      <c r="K18" s="7">
        <f t="shared" si="2"/>
        <v>2.619999886</v>
      </c>
      <c r="L18" s="7">
        <f t="shared" si="3"/>
        <v>0.15000057</v>
      </c>
      <c r="M18" s="7">
        <f t="shared" si="4"/>
        <v>0.020000457</v>
      </c>
    </row>
    <row r="19">
      <c r="A19" s="18">
        <v>330.0</v>
      </c>
      <c r="B19" s="18">
        <v>12.80000019</v>
      </c>
      <c r="C19" s="18">
        <v>12.89999962</v>
      </c>
      <c r="D19" s="19">
        <f>MAX(Underlying*EXP(-DividendYield*TimeToExpiration)-A19*EXP(-RiskFreeRate*TimeToExpiration), 0)</f>
        <v>9.537738715</v>
      </c>
      <c r="E19" s="19">
        <f>Underlying*EXP(-DividendYield*TimeToExpiration)</f>
        <v>339.25</v>
      </c>
      <c r="F19" s="18">
        <v>3.199999809</v>
      </c>
      <c r="G19" s="18">
        <v>3.300000191</v>
      </c>
      <c r="H19" s="19">
        <f>MAX(A19*EXP(-RiskFreeRate*TimeToExpiration)-Underlying*EXP(-DividendYield*TimeToExpiration), 0)</f>
        <v>0</v>
      </c>
      <c r="I19" s="20">
        <f>A19*EXP(-RiskFreeRate*TimeToExpiration)</f>
        <v>329.7122613</v>
      </c>
      <c r="J19" s="7">
        <f t="shared" si="1"/>
        <v>12.84999991</v>
      </c>
      <c r="K19" s="7">
        <f t="shared" si="2"/>
        <v>3.25</v>
      </c>
      <c r="L19" s="7">
        <f t="shared" si="3"/>
        <v>0.09999943</v>
      </c>
      <c r="M19" s="7">
        <f t="shared" si="4"/>
        <v>0.100000382</v>
      </c>
    </row>
    <row r="20">
      <c r="A20" s="18">
        <v>332.5</v>
      </c>
      <c r="B20" s="18">
        <v>11.05000019</v>
      </c>
      <c r="C20" s="18">
        <v>11.14999962</v>
      </c>
      <c r="D20" s="19">
        <f>MAX(Underlying*EXP(-DividendYield*TimeToExpiration)-A20*EXP(-RiskFreeRate*TimeToExpiration), 0)</f>
        <v>7.039918554</v>
      </c>
      <c r="E20" s="19">
        <f>Underlying*EXP(-DividendYield*TimeToExpiration)</f>
        <v>339.25</v>
      </c>
      <c r="F20" s="18">
        <v>3.949999809</v>
      </c>
      <c r="G20" s="18">
        <v>4.050000191</v>
      </c>
      <c r="H20" s="19">
        <f>MAX(A20*EXP(-RiskFreeRate*TimeToExpiration)-Underlying*EXP(-DividendYield*TimeToExpiration), 0)</f>
        <v>0</v>
      </c>
      <c r="I20" s="20">
        <f>A20*EXP(-RiskFreeRate*TimeToExpiration)</f>
        <v>332.2100814</v>
      </c>
      <c r="J20" s="7">
        <f t="shared" si="1"/>
        <v>11.09999991</v>
      </c>
      <c r="K20" s="7">
        <f t="shared" si="2"/>
        <v>4</v>
      </c>
      <c r="L20" s="7">
        <f t="shared" si="3"/>
        <v>0.09999943</v>
      </c>
      <c r="M20" s="7">
        <f t="shared" si="4"/>
        <v>0.100000382</v>
      </c>
    </row>
    <row r="21">
      <c r="A21" s="18">
        <v>335.0</v>
      </c>
      <c r="B21" s="18">
        <v>9.449999809</v>
      </c>
      <c r="C21" s="18">
        <v>9.550000191</v>
      </c>
      <c r="D21" s="19">
        <f>MAX(Underlying*EXP(-DividendYield*TimeToExpiration)-A21*EXP(-RiskFreeRate*TimeToExpiration), 0)</f>
        <v>4.542098392</v>
      </c>
      <c r="E21" s="19">
        <f>Underlying*EXP(-DividendYield*TimeToExpiration)</f>
        <v>339.25</v>
      </c>
      <c r="F21" s="18">
        <v>4.849999428</v>
      </c>
      <c r="G21" s="18">
        <v>4.949999809</v>
      </c>
      <c r="H21" s="19">
        <f>MAX(A21*EXP(-RiskFreeRate*TimeToExpiration)-Underlying*EXP(-DividendYield*TimeToExpiration), 0)</f>
        <v>0</v>
      </c>
      <c r="I21" s="20">
        <f>A21*EXP(-RiskFreeRate*TimeToExpiration)</f>
        <v>334.7079016</v>
      </c>
      <c r="J21" s="7">
        <f t="shared" si="1"/>
        <v>9.5</v>
      </c>
      <c r="K21" s="7">
        <f t="shared" si="2"/>
        <v>4.899999619</v>
      </c>
      <c r="L21" s="7">
        <f t="shared" si="3"/>
        <v>0.100000382</v>
      </c>
      <c r="M21" s="7">
        <f t="shared" si="4"/>
        <v>0.100000381</v>
      </c>
    </row>
    <row r="22">
      <c r="A22" s="22">
        <v>337.5</v>
      </c>
      <c r="B22" s="22">
        <v>8.0</v>
      </c>
      <c r="C22" s="22">
        <v>8.100000381</v>
      </c>
      <c r="D22" s="23">
        <f>MAX(Underlying*EXP(-DividendYield*TimeToExpiration)-A22*EXP(-RiskFreeRate*TimeToExpiration), 0)</f>
        <v>2.044278231</v>
      </c>
      <c r="E22" s="23">
        <f>Underlying*EXP(-DividendYield*TimeToExpiration)</f>
        <v>339.25</v>
      </c>
      <c r="F22" s="22">
        <v>5.899999619</v>
      </c>
      <c r="G22" s="22">
        <v>6.0</v>
      </c>
      <c r="H22" s="23">
        <f>MAX(A22*EXP(-RiskFreeRate*TimeToExpiration)-Underlying*EXP(-DividendYield*TimeToExpiration), 0)</f>
        <v>0</v>
      </c>
      <c r="I22" s="24">
        <f>A22*EXP(-RiskFreeRate*TimeToExpiration)</f>
        <v>337.2057218</v>
      </c>
      <c r="J22" s="25">
        <f t="shared" si="1"/>
        <v>8.050000191</v>
      </c>
      <c r="K22" s="25">
        <f t="shared" si="2"/>
        <v>5.94999981</v>
      </c>
      <c r="L22" s="25">
        <f t="shared" si="3"/>
        <v>0.100000381</v>
      </c>
      <c r="M22" s="25">
        <f t="shared" si="4"/>
        <v>0.100000381</v>
      </c>
    </row>
    <row r="23">
      <c r="A23" s="18">
        <v>340.0</v>
      </c>
      <c r="B23" s="18">
        <v>6.75</v>
      </c>
      <c r="C23" s="18">
        <v>6.800000191</v>
      </c>
      <c r="D23" s="19">
        <f>MAX(Underlying*EXP(-DividendYield*TimeToExpiration)-A23*EXP(-RiskFreeRate*TimeToExpiration), 0)</f>
        <v>0</v>
      </c>
      <c r="E23" s="19">
        <f>Underlying*EXP(-DividendYield*TimeToExpiration)</f>
        <v>339.25</v>
      </c>
      <c r="F23" s="18">
        <v>7.100000381</v>
      </c>
      <c r="G23" s="18">
        <v>7.199999809</v>
      </c>
      <c r="H23" s="19">
        <f>MAX(A23*EXP(-RiskFreeRate*TimeToExpiration)-Underlying*EXP(-DividendYield*TimeToExpiration), 0)</f>
        <v>0.4535419301</v>
      </c>
      <c r="I23" s="20">
        <f>A23*EXP(-RiskFreeRate*TimeToExpiration)</f>
        <v>339.7035419</v>
      </c>
      <c r="J23" s="7">
        <f t="shared" si="1"/>
        <v>6.775000096</v>
      </c>
      <c r="K23" s="7">
        <f t="shared" si="2"/>
        <v>7.150000095</v>
      </c>
      <c r="L23" s="7">
        <f t="shared" si="3"/>
        <v>0.050000191</v>
      </c>
      <c r="M23" s="7">
        <f t="shared" si="4"/>
        <v>0.099999428</v>
      </c>
    </row>
    <row r="24">
      <c r="A24" s="18">
        <v>342.5</v>
      </c>
      <c r="B24" s="18">
        <v>5.550000191</v>
      </c>
      <c r="C24" s="18">
        <v>5.650000572</v>
      </c>
      <c r="D24" s="19">
        <f>MAX(Underlying*EXP(-DividendYield*TimeToExpiration)-A24*EXP(-RiskFreeRate*TimeToExpiration), 0)</f>
        <v>0</v>
      </c>
      <c r="E24" s="19">
        <f>Underlying*EXP(-DividendYield*TimeToExpiration)</f>
        <v>339.25</v>
      </c>
      <c r="F24" s="18">
        <v>8.449999809</v>
      </c>
      <c r="G24" s="18">
        <v>8.600000381</v>
      </c>
      <c r="H24" s="19">
        <f>MAX(A24*EXP(-RiskFreeRate*TimeToExpiration)-Underlying*EXP(-DividendYield*TimeToExpiration), 0)</f>
        <v>2.951362091</v>
      </c>
      <c r="I24" s="20">
        <f>A24*EXP(-RiskFreeRate*TimeToExpiration)</f>
        <v>342.2013621</v>
      </c>
      <c r="J24" s="7">
        <f t="shared" si="1"/>
        <v>5.600000382</v>
      </c>
      <c r="K24" s="7">
        <f t="shared" si="2"/>
        <v>8.525000095</v>
      </c>
      <c r="L24" s="7">
        <f t="shared" si="3"/>
        <v>0.100000381</v>
      </c>
      <c r="M24" s="7">
        <f t="shared" si="4"/>
        <v>0.150000572</v>
      </c>
    </row>
    <row r="25">
      <c r="A25" s="18">
        <v>345.0</v>
      </c>
      <c r="B25" s="18">
        <v>4.600000381</v>
      </c>
      <c r="C25" s="18">
        <v>4.699999809</v>
      </c>
      <c r="D25" s="19">
        <f>MAX(Underlying*EXP(-DividendYield*TimeToExpiration)-A25*EXP(-RiskFreeRate*TimeToExpiration), 0)</f>
        <v>0</v>
      </c>
      <c r="E25" s="19">
        <f>Underlying*EXP(-DividendYield*TimeToExpiration)</f>
        <v>339.25</v>
      </c>
      <c r="F25" s="18">
        <v>10.0</v>
      </c>
      <c r="G25" s="18">
        <v>10.14999962</v>
      </c>
      <c r="H25" s="19">
        <f>MAX(A25*EXP(-RiskFreeRate*TimeToExpiration)-Underlying*EXP(-DividendYield*TimeToExpiration), 0)</f>
        <v>5.449182253</v>
      </c>
      <c r="I25" s="20">
        <f>A25*EXP(-RiskFreeRate*TimeToExpiration)</f>
        <v>344.6991823</v>
      </c>
      <c r="J25" s="7">
        <f t="shared" si="1"/>
        <v>4.650000095</v>
      </c>
      <c r="K25" s="7">
        <f t="shared" si="2"/>
        <v>10.07499981</v>
      </c>
      <c r="L25" s="7">
        <f t="shared" si="3"/>
        <v>0.099999428</v>
      </c>
      <c r="M25" s="7">
        <f t="shared" si="4"/>
        <v>0.14999962</v>
      </c>
    </row>
    <row r="26">
      <c r="A26" s="18">
        <v>347.5</v>
      </c>
      <c r="B26" s="18">
        <v>3.75</v>
      </c>
      <c r="C26" s="18">
        <v>3.849999428</v>
      </c>
      <c r="D26" s="19">
        <f>MAX(Underlying*EXP(-DividendYield*TimeToExpiration)-A26*EXP(-RiskFreeRate*TimeToExpiration), 0)</f>
        <v>0</v>
      </c>
      <c r="E26" s="19">
        <f>Underlying*EXP(-DividendYield*TimeToExpiration)</f>
        <v>339.25</v>
      </c>
      <c r="F26" s="18">
        <v>11.64999962</v>
      </c>
      <c r="G26" s="18">
        <v>11.80000019</v>
      </c>
      <c r="H26" s="19">
        <f>MAX(A26*EXP(-RiskFreeRate*TimeToExpiration)-Underlying*EXP(-DividendYield*TimeToExpiration), 0)</f>
        <v>7.947002414</v>
      </c>
      <c r="I26" s="20">
        <f>A26*EXP(-RiskFreeRate*TimeToExpiration)</f>
        <v>347.1970024</v>
      </c>
      <c r="J26" s="7">
        <f t="shared" si="1"/>
        <v>3.799999714</v>
      </c>
      <c r="K26" s="7">
        <f t="shared" si="2"/>
        <v>11.72499991</v>
      </c>
      <c r="L26" s="7">
        <f t="shared" si="3"/>
        <v>0.099999428</v>
      </c>
      <c r="M26" s="7">
        <f t="shared" si="4"/>
        <v>0.15000057</v>
      </c>
    </row>
    <row r="27">
      <c r="A27" s="18">
        <v>350.0</v>
      </c>
      <c r="B27" s="18">
        <v>3.049999237</v>
      </c>
      <c r="C27" s="18">
        <v>3.149999619</v>
      </c>
      <c r="D27" s="19">
        <f>MAX(Underlying*EXP(-DividendYield*TimeToExpiration)-A27*EXP(-RiskFreeRate*TimeToExpiration), 0)</f>
        <v>0</v>
      </c>
      <c r="E27" s="19">
        <f>Underlying*EXP(-DividendYield*TimeToExpiration)</f>
        <v>339.25</v>
      </c>
      <c r="F27" s="18">
        <v>13.44999981</v>
      </c>
      <c r="G27" s="18">
        <v>13.60000038</v>
      </c>
      <c r="H27" s="19">
        <f>MAX(A27*EXP(-RiskFreeRate*TimeToExpiration)-Underlying*EXP(-DividendYield*TimeToExpiration), 0)</f>
        <v>10.44482258</v>
      </c>
      <c r="I27" s="20">
        <f>A27*EXP(-RiskFreeRate*TimeToExpiration)</f>
        <v>349.6948226</v>
      </c>
      <c r="J27" s="7">
        <f t="shared" si="1"/>
        <v>3.099999428</v>
      </c>
      <c r="K27" s="7">
        <f t="shared" si="2"/>
        <v>13.5250001</v>
      </c>
      <c r="L27" s="7">
        <f t="shared" si="3"/>
        <v>0.100000382</v>
      </c>
      <c r="M27" s="7">
        <f t="shared" si="4"/>
        <v>0.15000057</v>
      </c>
    </row>
    <row r="28">
      <c r="A28" s="18">
        <v>352.5</v>
      </c>
      <c r="B28" s="18">
        <v>2.5</v>
      </c>
      <c r="C28" s="18">
        <v>2.529999733</v>
      </c>
      <c r="D28" s="19">
        <f>MAX(Underlying*EXP(-DividendYield*TimeToExpiration)-A28*EXP(-RiskFreeRate*TimeToExpiration), 0)</f>
        <v>0</v>
      </c>
      <c r="E28" s="19">
        <f>Underlying*EXP(-DividendYield*TimeToExpiration)</f>
        <v>339.25</v>
      </c>
      <c r="F28" s="18">
        <v>15.35000038</v>
      </c>
      <c r="G28" s="18">
        <v>15.55000019</v>
      </c>
      <c r="H28" s="19">
        <f>MAX(A28*EXP(-RiskFreeRate*TimeToExpiration)-Underlying*EXP(-DividendYield*TimeToExpiration), 0)</f>
        <v>12.94264274</v>
      </c>
      <c r="I28" s="20">
        <f>A28*EXP(-RiskFreeRate*TimeToExpiration)</f>
        <v>352.1926427</v>
      </c>
      <c r="J28" s="7">
        <f t="shared" si="1"/>
        <v>2.514999867</v>
      </c>
      <c r="K28" s="7">
        <f t="shared" si="2"/>
        <v>15.45000029</v>
      </c>
      <c r="L28" s="7">
        <f t="shared" si="3"/>
        <v>0.029999733</v>
      </c>
      <c r="M28" s="7">
        <f t="shared" si="4"/>
        <v>0.19999981</v>
      </c>
    </row>
    <row r="29">
      <c r="A29" s="18">
        <v>355.0</v>
      </c>
      <c r="B29" s="18">
        <v>2.029999733</v>
      </c>
      <c r="C29" s="18">
        <v>2.049999237</v>
      </c>
      <c r="D29" s="19">
        <f>MAX(Underlying*EXP(-DividendYield*TimeToExpiration)-A29*EXP(-RiskFreeRate*TimeToExpiration), 0)</f>
        <v>0</v>
      </c>
      <c r="E29" s="19">
        <f>Underlying*EXP(-DividendYield*TimeToExpiration)</f>
        <v>339.25</v>
      </c>
      <c r="F29" s="18">
        <v>17.3999939</v>
      </c>
      <c r="G29" s="18">
        <v>17.55000305</v>
      </c>
      <c r="H29" s="19">
        <f>MAX(A29*EXP(-RiskFreeRate*TimeToExpiration)-Underlying*EXP(-DividendYield*TimeToExpiration), 0)</f>
        <v>15.4404629</v>
      </c>
      <c r="I29" s="20">
        <f>A29*EXP(-RiskFreeRate*TimeToExpiration)</f>
        <v>354.6904629</v>
      </c>
      <c r="J29" s="7">
        <f t="shared" si="1"/>
        <v>2.039999485</v>
      </c>
      <c r="K29" s="7">
        <f t="shared" si="2"/>
        <v>17.47499848</v>
      </c>
      <c r="L29" s="7">
        <f t="shared" si="3"/>
        <v>0.019999504</v>
      </c>
      <c r="M29" s="7">
        <f t="shared" si="4"/>
        <v>0.15000915</v>
      </c>
    </row>
    <row r="30">
      <c r="A30" s="18">
        <v>357.5</v>
      </c>
      <c r="B30" s="18">
        <v>1.640000343</v>
      </c>
      <c r="C30" s="18">
        <v>1.659999847</v>
      </c>
      <c r="D30" s="19">
        <f>MAX(Underlying*EXP(-DividendYield*TimeToExpiration)-A30*EXP(-RiskFreeRate*TimeToExpiration), 0)</f>
        <v>0</v>
      </c>
      <c r="E30" s="19">
        <f>Underlying*EXP(-DividendYield*TimeToExpiration)</f>
        <v>339.25</v>
      </c>
      <c r="F30" s="18">
        <v>19.30000305</v>
      </c>
      <c r="G30" s="18">
        <v>19.69999695</v>
      </c>
      <c r="H30" s="19">
        <f>MAX(A30*EXP(-RiskFreeRate*TimeToExpiration)-Underlying*EXP(-DividendYield*TimeToExpiration), 0)</f>
        <v>17.93828306</v>
      </c>
      <c r="I30" s="20">
        <f>A30*EXP(-RiskFreeRate*TimeToExpiration)</f>
        <v>357.1882831</v>
      </c>
      <c r="J30" s="7">
        <f t="shared" si="1"/>
        <v>1.650000095</v>
      </c>
      <c r="K30" s="7">
        <f t="shared" si="2"/>
        <v>19.5</v>
      </c>
      <c r="L30" s="7">
        <f t="shared" si="3"/>
        <v>0.019999504</v>
      </c>
      <c r="M30" s="7">
        <f t="shared" si="4"/>
        <v>0.3999939</v>
      </c>
    </row>
    <row r="31">
      <c r="A31" s="18">
        <v>360.0</v>
      </c>
      <c r="B31" s="18">
        <v>1.340000153</v>
      </c>
      <c r="C31" s="18">
        <v>1.350000381</v>
      </c>
      <c r="D31" s="19">
        <f>MAX(Underlying*EXP(-DividendYield*TimeToExpiration)-A31*EXP(-RiskFreeRate*TimeToExpiration), 0)</f>
        <v>0</v>
      </c>
      <c r="E31" s="19">
        <f>Underlying*EXP(-DividendYield*TimeToExpiration)</f>
        <v>339.25</v>
      </c>
      <c r="F31" s="18">
        <v>21.5</v>
      </c>
      <c r="G31" s="18">
        <v>21.94999695</v>
      </c>
      <c r="H31" s="19">
        <f>MAX(A31*EXP(-RiskFreeRate*TimeToExpiration)-Underlying*EXP(-DividendYield*TimeToExpiration), 0)</f>
        <v>20.43610322</v>
      </c>
      <c r="I31" s="20">
        <f>A31*EXP(-RiskFreeRate*TimeToExpiration)</f>
        <v>359.6861032</v>
      </c>
      <c r="J31" s="7">
        <f t="shared" si="1"/>
        <v>1.345000267</v>
      </c>
      <c r="K31" s="7">
        <f t="shared" si="2"/>
        <v>21.72499848</v>
      </c>
      <c r="L31" s="7">
        <f t="shared" si="3"/>
        <v>0.010000228</v>
      </c>
      <c r="M31" s="7">
        <f t="shared" si="4"/>
        <v>0.44999695</v>
      </c>
    </row>
    <row r="32">
      <c r="A32" s="18">
        <v>362.5</v>
      </c>
      <c r="B32" s="18">
        <v>1.090000153</v>
      </c>
      <c r="C32" s="18">
        <v>1.109999657</v>
      </c>
      <c r="D32" s="19">
        <f>MAX(Underlying*EXP(-DividendYield*TimeToExpiration)-A32*EXP(-RiskFreeRate*TimeToExpiration), 0)</f>
        <v>0</v>
      </c>
      <c r="E32" s="19">
        <f>Underlying*EXP(-DividendYield*TimeToExpiration)</f>
        <v>339.25</v>
      </c>
      <c r="F32" s="18">
        <v>23.3500061</v>
      </c>
      <c r="G32" s="18">
        <v>24.19999695</v>
      </c>
      <c r="H32" s="19">
        <f>MAX(A32*EXP(-RiskFreeRate*TimeToExpiration)-Underlying*EXP(-DividendYield*TimeToExpiration), 0)</f>
        <v>22.93392338</v>
      </c>
      <c r="I32" s="20">
        <f>A32*EXP(-RiskFreeRate*TimeToExpiration)</f>
        <v>362.1839234</v>
      </c>
      <c r="J32" s="7">
        <f t="shared" si="1"/>
        <v>1.099999905</v>
      </c>
      <c r="K32" s="7">
        <f t="shared" si="2"/>
        <v>23.77500153</v>
      </c>
      <c r="L32" s="7">
        <f t="shared" si="3"/>
        <v>0.019999504</v>
      </c>
      <c r="M32" s="7">
        <f t="shared" si="4"/>
        <v>0.84999085</v>
      </c>
    </row>
    <row r="33">
      <c r="A33" s="18">
        <v>365.0</v>
      </c>
      <c r="B33" s="18">
        <v>0.899999976</v>
      </c>
      <c r="C33" s="18">
        <v>0.910000026</v>
      </c>
      <c r="D33" s="19">
        <f>MAX(Underlying*EXP(-DividendYield*TimeToExpiration)-A33*EXP(-RiskFreeRate*TimeToExpiration), 0)</f>
        <v>0</v>
      </c>
      <c r="E33" s="19">
        <f>Underlying*EXP(-DividendYield*TimeToExpiration)</f>
        <v>339.25</v>
      </c>
      <c r="F33" s="18">
        <v>25.8500061</v>
      </c>
      <c r="G33" s="18">
        <v>26.55000305</v>
      </c>
      <c r="H33" s="19">
        <f>MAX(A33*EXP(-RiskFreeRate*TimeToExpiration)-Underlying*EXP(-DividendYield*TimeToExpiration), 0)</f>
        <v>25.43174354</v>
      </c>
      <c r="I33" s="20">
        <f>A33*EXP(-RiskFreeRate*TimeToExpiration)</f>
        <v>364.6817435</v>
      </c>
      <c r="J33" s="7">
        <f t="shared" si="1"/>
        <v>0.905000001</v>
      </c>
      <c r="K33" s="7">
        <f t="shared" si="2"/>
        <v>26.20000458</v>
      </c>
      <c r="L33" s="7">
        <f t="shared" si="3"/>
        <v>0.01000005</v>
      </c>
      <c r="M33" s="7">
        <f t="shared" si="4"/>
        <v>0.69999695</v>
      </c>
    </row>
    <row r="34">
      <c r="A34" s="18">
        <v>367.5</v>
      </c>
      <c r="B34" s="18">
        <v>0.74000001</v>
      </c>
      <c r="C34" s="18">
        <v>0.75999999</v>
      </c>
      <c r="D34" s="19">
        <f>MAX(Underlying*EXP(-DividendYield*TimeToExpiration)-A34*EXP(-RiskFreeRate*TimeToExpiration), 0)</f>
        <v>0</v>
      </c>
      <c r="E34" s="19">
        <f>Underlying*EXP(-DividendYield*TimeToExpiration)</f>
        <v>339.25</v>
      </c>
      <c r="F34" s="18">
        <v>27.3500061</v>
      </c>
      <c r="G34" s="18">
        <v>28.8999939</v>
      </c>
      <c r="H34" s="19">
        <f>MAX(A34*EXP(-RiskFreeRate*TimeToExpiration)-Underlying*EXP(-DividendYield*TimeToExpiration), 0)</f>
        <v>27.9295637</v>
      </c>
      <c r="I34" s="20">
        <f>A34*EXP(-RiskFreeRate*TimeToExpiration)</f>
        <v>367.1795637</v>
      </c>
      <c r="J34" s="7">
        <f t="shared" si="1"/>
        <v>0.75</v>
      </c>
      <c r="K34" s="7">
        <f t="shared" si="2"/>
        <v>28.125</v>
      </c>
      <c r="L34" s="7">
        <f t="shared" si="3"/>
        <v>0.01999998</v>
      </c>
      <c r="M34" s="7">
        <f t="shared" si="4"/>
        <v>1.5499878</v>
      </c>
    </row>
    <row r="35">
      <c r="A35" s="18">
        <v>370.0</v>
      </c>
      <c r="B35" s="18">
        <v>0.629999995</v>
      </c>
      <c r="C35" s="18">
        <v>0.639999986</v>
      </c>
      <c r="D35" s="19">
        <f>MAX(Underlying*EXP(-DividendYield*TimeToExpiration)-A35*EXP(-RiskFreeRate*TimeToExpiration), 0)</f>
        <v>0</v>
      </c>
      <c r="E35" s="19">
        <f>Underlying*EXP(-DividendYield*TimeToExpiration)</f>
        <v>339.25</v>
      </c>
      <c r="F35" s="18">
        <v>30.8500061</v>
      </c>
      <c r="G35" s="18">
        <v>31.25</v>
      </c>
      <c r="H35" s="19">
        <f>MAX(A35*EXP(-RiskFreeRate*TimeToExpiration)-Underlying*EXP(-DividendYield*TimeToExpiration), 0)</f>
        <v>30.42738387</v>
      </c>
      <c r="I35" s="20">
        <f>A35*EXP(-RiskFreeRate*TimeToExpiration)</f>
        <v>369.6773839</v>
      </c>
      <c r="J35" s="7">
        <f t="shared" si="1"/>
        <v>0.6349999905</v>
      </c>
      <c r="K35" s="7">
        <f t="shared" si="2"/>
        <v>31.05000305</v>
      </c>
      <c r="L35" s="7">
        <f t="shared" si="3"/>
        <v>0.009999991</v>
      </c>
      <c r="M35" s="7">
        <f t="shared" si="4"/>
        <v>0.3999939</v>
      </c>
    </row>
    <row r="36">
      <c r="A36" s="21">
        <v>372.5</v>
      </c>
      <c r="B36" s="18">
        <v>0.519999981</v>
      </c>
      <c r="C36" s="18">
        <v>0.540000021</v>
      </c>
      <c r="D36" s="19">
        <f>MAX(Underlying*EXP(-DividendYield*TimeToExpiration)-A36*EXP(-RiskFreeRate*TimeToExpiration), 0)</f>
        <v>0</v>
      </c>
      <c r="E36" s="19">
        <f>Underlying*EXP(-DividendYield*TimeToExpiration)</f>
        <v>339.25</v>
      </c>
      <c r="F36" s="18">
        <v>30.6000061</v>
      </c>
      <c r="G36" s="18">
        <v>33.69999695</v>
      </c>
      <c r="H36" s="19">
        <f>MAX(A36*EXP(-RiskFreeRate*TimeToExpiration)-Underlying*EXP(-DividendYield*TimeToExpiration), 0)</f>
        <v>32.92520403</v>
      </c>
      <c r="I36" s="20">
        <f>A36*EXP(-RiskFreeRate*TimeToExpiration)</f>
        <v>372.175204</v>
      </c>
      <c r="J36" s="7">
        <f t="shared" si="1"/>
        <v>0.530000001</v>
      </c>
      <c r="K36" s="7">
        <f t="shared" si="2"/>
        <v>32.15000153</v>
      </c>
      <c r="L36" s="7">
        <f t="shared" si="3"/>
        <v>0.02000004</v>
      </c>
      <c r="M36" s="7">
        <f t="shared" si="4"/>
        <v>3.09999085</v>
      </c>
    </row>
    <row r="37">
      <c r="A37" s="18">
        <v>375.0</v>
      </c>
      <c r="B37" s="18">
        <v>0.439999998</v>
      </c>
      <c r="C37" s="18">
        <v>0.460000038</v>
      </c>
      <c r="D37" s="19">
        <f>MAX(Underlying*EXP(-DividendYield*TimeToExpiration)-A37*EXP(-RiskFreeRate*TimeToExpiration), 0)</f>
        <v>0</v>
      </c>
      <c r="E37" s="19">
        <f>Underlying*EXP(-DividendYield*TimeToExpiration)</f>
        <v>339.25</v>
      </c>
      <c r="F37" s="18">
        <v>35.0</v>
      </c>
      <c r="G37" s="18">
        <v>36.15000916</v>
      </c>
      <c r="H37" s="19">
        <f>MAX(A37*EXP(-RiskFreeRate*TimeToExpiration)-Underlying*EXP(-DividendYield*TimeToExpiration), 0)</f>
        <v>35.42302419</v>
      </c>
      <c r="I37" s="20">
        <f>A37*EXP(-RiskFreeRate*TimeToExpiration)</f>
        <v>374.6730242</v>
      </c>
      <c r="J37" s="7">
        <f t="shared" si="1"/>
        <v>0.450000018</v>
      </c>
      <c r="K37" s="7">
        <f t="shared" si="2"/>
        <v>35.57500458</v>
      </c>
      <c r="L37" s="7">
        <f t="shared" si="3"/>
        <v>0.02000004</v>
      </c>
      <c r="M37" s="7">
        <f t="shared" si="4"/>
        <v>1.15000916</v>
      </c>
    </row>
    <row r="38">
      <c r="A38" s="18">
        <v>377.5</v>
      </c>
      <c r="B38" s="18">
        <v>0.379999995</v>
      </c>
      <c r="C38" s="18">
        <v>0.400000036</v>
      </c>
      <c r="D38" s="19">
        <f>MAX(Underlying*EXP(-DividendYield*TimeToExpiration)-A38*EXP(-RiskFreeRate*TimeToExpiration), 0)</f>
        <v>0</v>
      </c>
      <c r="E38" s="19">
        <f>Underlying*EXP(-DividendYield*TimeToExpiration)</f>
        <v>339.25</v>
      </c>
      <c r="F38" s="18">
        <v>37.65000916</v>
      </c>
      <c r="G38" s="18">
        <v>39.0</v>
      </c>
      <c r="H38" s="19">
        <f>MAX(A38*EXP(-RiskFreeRate*TimeToExpiration)-Underlying*EXP(-DividendYield*TimeToExpiration), 0)</f>
        <v>37.92084435</v>
      </c>
      <c r="I38" s="20">
        <f>A38*EXP(-RiskFreeRate*TimeToExpiration)</f>
        <v>377.1708443</v>
      </c>
      <c r="J38" s="7">
        <f t="shared" si="1"/>
        <v>0.3900000155</v>
      </c>
      <c r="K38" s="7">
        <f t="shared" si="2"/>
        <v>38.32500458</v>
      </c>
      <c r="L38" s="7">
        <f t="shared" si="3"/>
        <v>0.020000041</v>
      </c>
      <c r="M38" s="7">
        <f t="shared" si="4"/>
        <v>1.34999084</v>
      </c>
    </row>
    <row r="39">
      <c r="A39" s="18">
        <v>380.0</v>
      </c>
      <c r="B39" s="18">
        <v>0.330000043</v>
      </c>
      <c r="C39" s="18">
        <v>0.350000024</v>
      </c>
      <c r="D39" s="19">
        <f>MAX(Underlying*EXP(-DividendYield*TimeToExpiration)-A39*EXP(-RiskFreeRate*TimeToExpiration), 0)</f>
        <v>0</v>
      </c>
      <c r="E39" s="19">
        <f>Underlying*EXP(-DividendYield*TimeToExpiration)</f>
        <v>339.25</v>
      </c>
      <c r="F39" s="18">
        <v>40.3500061</v>
      </c>
      <c r="G39" s="18">
        <v>41.0</v>
      </c>
      <c r="H39" s="19">
        <f>MAX(A39*EXP(-RiskFreeRate*TimeToExpiration)-Underlying*EXP(-DividendYield*TimeToExpiration), 0)</f>
        <v>40.41866451</v>
      </c>
      <c r="I39" s="20">
        <f>A39*EXP(-RiskFreeRate*TimeToExpiration)</f>
        <v>379.6686645</v>
      </c>
      <c r="J39" s="7">
        <f t="shared" si="1"/>
        <v>0.3400000335</v>
      </c>
      <c r="K39" s="7">
        <f t="shared" si="2"/>
        <v>40.67500305</v>
      </c>
      <c r="L39" s="7">
        <f t="shared" si="3"/>
        <v>0.019999981</v>
      </c>
      <c r="M39" s="7">
        <f t="shared" si="4"/>
        <v>0.6499939</v>
      </c>
    </row>
  </sheetData>
  <conditionalFormatting sqref="J5:J39">
    <cfRule type="expression" dxfId="0" priority="1">
      <formula>J5&lt;D5</formula>
    </cfRule>
  </conditionalFormatting>
  <conditionalFormatting sqref="K5:K39">
    <cfRule type="expression" dxfId="1" priority="2">
      <formula>K5&lt;H5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2">
      <c r="A2" s="26" t="s">
        <v>45</v>
      </c>
      <c r="B2" s="5">
        <v>339.25</v>
      </c>
    </row>
    <row r="3">
      <c r="A3" s="26" t="s">
        <v>46</v>
      </c>
      <c r="B3" s="27">
        <v>0.04362</v>
      </c>
    </row>
    <row r="4">
      <c r="A4" s="26" t="s">
        <v>47</v>
      </c>
      <c r="B4" s="5">
        <v>0.0</v>
      </c>
    </row>
    <row r="5">
      <c r="A5" s="26" t="s">
        <v>48</v>
      </c>
      <c r="B5" s="28">
        <v>45898.48819444444</v>
      </c>
    </row>
    <row r="6">
      <c r="A6" s="26" t="s">
        <v>49</v>
      </c>
      <c r="B6" s="28">
        <v>45905.6875</v>
      </c>
    </row>
    <row r="7">
      <c r="A7" s="26" t="s">
        <v>50</v>
      </c>
      <c r="B7" s="7">
        <f>B6-B5</f>
        <v>7.199305556</v>
      </c>
    </row>
    <row r="8">
      <c r="A8" s="26" t="s">
        <v>51</v>
      </c>
      <c r="B8" s="5">
        <v>360.0</v>
      </c>
    </row>
    <row r="9">
      <c r="A9" s="26" t="s">
        <v>52</v>
      </c>
      <c r="B9" s="7">
        <f>B7/B8</f>
        <v>0.01999807099</v>
      </c>
    </row>
    <row r="11">
      <c r="A11" s="29" t="s">
        <v>53</v>
      </c>
      <c r="B11" s="30">
        <v>3.0</v>
      </c>
      <c r="D11" s="31"/>
      <c r="E11" s="31"/>
      <c r="F11" s="31"/>
      <c r="G11" s="31"/>
    </row>
    <row r="12">
      <c r="A12" s="29" t="s">
        <v>54</v>
      </c>
      <c r="B12" s="32">
        <v>0.001</v>
      </c>
      <c r="D12" s="31"/>
      <c r="E12" s="27"/>
      <c r="F12" s="27"/>
      <c r="G12" s="27"/>
    </row>
    <row r="14">
      <c r="B14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6" max="6" width="13.38"/>
  </cols>
  <sheetData>
    <row r="1">
      <c r="A1" s="5"/>
      <c r="B1" s="5" t="s">
        <v>55</v>
      </c>
      <c r="C1" s="5"/>
      <c r="E1" s="27"/>
      <c r="G1" s="5"/>
      <c r="H1" s="6"/>
      <c r="I1" s="5">
        <v>0.0</v>
      </c>
      <c r="N1" s="1"/>
      <c r="O1" s="14">
        <f>1+I1</f>
        <v>1</v>
      </c>
      <c r="T1" s="1"/>
      <c r="U1" s="14">
        <f>1+O1</f>
        <v>2</v>
      </c>
      <c r="Z1" s="1"/>
      <c r="AA1" s="14">
        <f>1+U1</f>
        <v>3</v>
      </c>
      <c r="AF1" s="1"/>
      <c r="AG1" s="14">
        <f>1+AA1</f>
        <v>4</v>
      </c>
      <c r="AL1" s="1"/>
      <c r="AM1" s="14">
        <f>1+AG1</f>
        <v>5</v>
      </c>
      <c r="AR1" s="1"/>
      <c r="AS1" s="14">
        <f>1+AM1</f>
        <v>6</v>
      </c>
      <c r="AX1" s="1"/>
      <c r="AY1" s="14">
        <f>1+AS1</f>
        <v>7</v>
      </c>
      <c r="BD1" s="1"/>
      <c r="BE1" s="14">
        <f>1+AY1</f>
        <v>8</v>
      </c>
      <c r="BJ1" s="1"/>
      <c r="BK1" s="14">
        <f>1+BE1</f>
        <v>9</v>
      </c>
      <c r="BP1" s="1"/>
      <c r="BQ1" s="14">
        <f>1+BK1</f>
        <v>10</v>
      </c>
      <c r="BV1" s="1"/>
      <c r="BW1" s="14">
        <f>1+BQ1</f>
        <v>11</v>
      </c>
      <c r="CB1" s="1"/>
      <c r="CC1" s="14">
        <f>1+BW1</f>
        <v>12</v>
      </c>
      <c r="CH1" s="1"/>
      <c r="CI1" s="14">
        <f>1+CC1</f>
        <v>13</v>
      </c>
      <c r="CN1" s="1"/>
      <c r="CO1" s="14">
        <f>1+CI1</f>
        <v>14</v>
      </c>
      <c r="CT1" s="1"/>
      <c r="CU1" s="14">
        <f>1+CO1</f>
        <v>15</v>
      </c>
      <c r="CZ1" s="1"/>
      <c r="DA1" s="14">
        <f>1+CU1</f>
        <v>16</v>
      </c>
      <c r="DF1" s="1"/>
    </row>
    <row r="2">
      <c r="A2" s="5"/>
      <c r="B2" s="5" t="s">
        <v>56</v>
      </c>
      <c r="C2" s="5"/>
      <c r="E2" s="27"/>
      <c r="G2" s="5"/>
      <c r="H2" s="6"/>
      <c r="I2" s="5">
        <v>1.0</v>
      </c>
      <c r="K2" s="5">
        <f>I2</f>
        <v>1</v>
      </c>
      <c r="L2" s="5">
        <f>K2</f>
        <v>1</v>
      </c>
      <c r="N2" s="6">
        <f>L2</f>
        <v>1</v>
      </c>
      <c r="O2" s="5">
        <f>I2</f>
        <v>1</v>
      </c>
      <c r="Q2" s="5">
        <f>O2</f>
        <v>1</v>
      </c>
      <c r="R2" s="5">
        <f>Q2</f>
        <v>1</v>
      </c>
      <c r="T2" s="6">
        <f>R2</f>
        <v>1</v>
      </c>
      <c r="U2" s="5">
        <f>O2</f>
        <v>1</v>
      </c>
      <c r="W2" s="5">
        <f>U2</f>
        <v>1</v>
      </c>
      <c r="X2" s="5">
        <f>W2</f>
        <v>1</v>
      </c>
      <c r="Z2" s="6">
        <f>X2</f>
        <v>1</v>
      </c>
      <c r="AA2" s="5">
        <f>U2</f>
        <v>1</v>
      </c>
      <c r="AC2" s="5">
        <f>AA2</f>
        <v>1</v>
      </c>
      <c r="AD2" s="5">
        <f>AC2</f>
        <v>1</v>
      </c>
      <c r="AF2" s="6">
        <f>AD2</f>
        <v>1</v>
      </c>
      <c r="AG2" s="5">
        <f>AA2</f>
        <v>1</v>
      </c>
      <c r="AI2" s="5">
        <f>AG2</f>
        <v>1</v>
      </c>
      <c r="AJ2" s="5">
        <f>AI2</f>
        <v>1</v>
      </c>
      <c r="AL2" s="6">
        <f>AJ2</f>
        <v>1</v>
      </c>
      <c r="AM2" s="5">
        <f>AG2</f>
        <v>1</v>
      </c>
      <c r="AO2" s="5">
        <f>AM2</f>
        <v>1</v>
      </c>
      <c r="AP2" s="5">
        <f>AO2</f>
        <v>1</v>
      </c>
      <c r="AR2" s="6">
        <f>AP2</f>
        <v>1</v>
      </c>
      <c r="AS2" s="5">
        <f>AM2</f>
        <v>1</v>
      </c>
      <c r="AU2" s="5">
        <f>AS2</f>
        <v>1</v>
      </c>
      <c r="AV2" s="5">
        <f>AU2</f>
        <v>1</v>
      </c>
      <c r="AX2" s="33">
        <v>1.0</v>
      </c>
      <c r="AY2" s="5">
        <f>AS2</f>
        <v>1</v>
      </c>
      <c r="BA2" s="5">
        <f>AY2</f>
        <v>1</v>
      </c>
      <c r="BB2" s="5">
        <f>BA2</f>
        <v>1</v>
      </c>
      <c r="BD2" s="6">
        <f>BB2</f>
        <v>1</v>
      </c>
      <c r="BE2" s="5">
        <f>AY2</f>
        <v>1</v>
      </c>
      <c r="BG2" s="5">
        <f>BE2</f>
        <v>1</v>
      </c>
      <c r="BH2" s="5">
        <f>BG2</f>
        <v>1</v>
      </c>
      <c r="BJ2" s="6">
        <f>BH2</f>
        <v>1</v>
      </c>
      <c r="BK2" s="5">
        <f>BE2</f>
        <v>1</v>
      </c>
      <c r="BM2" s="5">
        <f>BK2</f>
        <v>1</v>
      </c>
      <c r="BN2" s="5">
        <f>BM2</f>
        <v>1</v>
      </c>
      <c r="BP2" s="6">
        <f>BN2</f>
        <v>1</v>
      </c>
      <c r="BQ2" s="5">
        <f>BK2</f>
        <v>1</v>
      </c>
      <c r="BS2" s="5">
        <f>BQ2</f>
        <v>1</v>
      </c>
      <c r="BT2" s="5">
        <f>BS2</f>
        <v>1</v>
      </c>
      <c r="BV2" s="6">
        <f>BT2</f>
        <v>1</v>
      </c>
      <c r="BW2" s="5">
        <f>BQ2</f>
        <v>1</v>
      </c>
      <c r="BY2" s="5">
        <f>BW2</f>
        <v>1</v>
      </c>
      <c r="BZ2" s="5">
        <f>BY2</f>
        <v>1</v>
      </c>
      <c r="CB2" s="6">
        <f>BZ2</f>
        <v>1</v>
      </c>
      <c r="CC2" s="5">
        <f>BW2</f>
        <v>1</v>
      </c>
      <c r="CE2" s="5">
        <f>CC2</f>
        <v>1</v>
      </c>
      <c r="CF2" s="5">
        <f>CE2</f>
        <v>1</v>
      </c>
      <c r="CH2" s="6">
        <f>CF2</f>
        <v>1</v>
      </c>
      <c r="CI2" s="5">
        <f>CC2</f>
        <v>1</v>
      </c>
      <c r="CK2" s="5">
        <f>CI2</f>
        <v>1</v>
      </c>
      <c r="CL2" s="5">
        <f>CK2</f>
        <v>1</v>
      </c>
      <c r="CN2" s="6">
        <f>CL2</f>
        <v>1</v>
      </c>
      <c r="CO2" s="5">
        <f>CI2</f>
        <v>1</v>
      </c>
      <c r="CQ2" s="5">
        <f>CO2</f>
        <v>1</v>
      </c>
      <c r="CR2" s="5">
        <f>CQ2</f>
        <v>1</v>
      </c>
      <c r="CT2" s="6">
        <f>CR2</f>
        <v>1</v>
      </c>
      <c r="CU2" s="5">
        <f>CO2</f>
        <v>1</v>
      </c>
      <c r="CW2" s="5">
        <f>CU2</f>
        <v>1</v>
      </c>
      <c r="CX2" s="5">
        <f>CW2</f>
        <v>1</v>
      </c>
      <c r="CZ2" s="6">
        <f>CX2</f>
        <v>1</v>
      </c>
      <c r="DA2" s="5">
        <f>CU2</f>
        <v>1</v>
      </c>
      <c r="DC2" s="5">
        <f>DA2</f>
        <v>1</v>
      </c>
      <c r="DD2" s="5">
        <f>DC2</f>
        <v>1</v>
      </c>
      <c r="DF2" s="6">
        <f>DD2</f>
        <v>1</v>
      </c>
    </row>
    <row r="3">
      <c r="E3" s="34"/>
      <c r="H3" s="1"/>
      <c r="N3" s="1"/>
      <c r="T3" s="1"/>
      <c r="Z3" s="1"/>
      <c r="AF3" s="1"/>
      <c r="AL3" s="1"/>
      <c r="AR3" s="1"/>
      <c r="AX3" s="1"/>
      <c r="BD3" s="1"/>
      <c r="BJ3" s="1"/>
      <c r="BP3" s="1"/>
      <c r="BV3" s="1"/>
      <c r="CB3" s="1"/>
      <c r="CH3" s="1"/>
      <c r="CN3" s="1"/>
      <c r="CT3" s="1"/>
      <c r="CZ3" s="1"/>
      <c r="DF3" s="1"/>
    </row>
    <row r="4">
      <c r="A4" s="17" t="s">
        <v>32</v>
      </c>
      <c r="B4" s="5" t="s">
        <v>57</v>
      </c>
      <c r="C4" s="5" t="s">
        <v>58</v>
      </c>
      <c r="D4" s="5" t="s">
        <v>59</v>
      </c>
      <c r="E4" s="27" t="s">
        <v>8</v>
      </c>
      <c r="F4" s="5" t="s">
        <v>60</v>
      </c>
      <c r="G4" s="5" t="s">
        <v>61</v>
      </c>
      <c r="H4" s="6" t="s">
        <v>32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66</v>
      </c>
      <c r="N4" s="6" t="s">
        <v>67</v>
      </c>
      <c r="O4" s="5" t="s">
        <v>62</v>
      </c>
      <c r="P4" s="5" t="s">
        <v>63</v>
      </c>
      <c r="Q4" s="5" t="s">
        <v>64</v>
      </c>
      <c r="R4" s="5" t="s">
        <v>65</v>
      </c>
      <c r="S4" s="5" t="s">
        <v>66</v>
      </c>
      <c r="T4" s="6" t="s">
        <v>67</v>
      </c>
      <c r="U4" s="5" t="s">
        <v>62</v>
      </c>
      <c r="V4" s="5" t="s">
        <v>63</v>
      </c>
      <c r="W4" s="5" t="s">
        <v>64</v>
      </c>
      <c r="X4" s="5" t="s">
        <v>65</v>
      </c>
      <c r="Y4" s="5" t="s">
        <v>66</v>
      </c>
      <c r="Z4" s="6" t="s">
        <v>67</v>
      </c>
      <c r="AA4" s="5" t="s">
        <v>62</v>
      </c>
      <c r="AB4" s="5" t="s">
        <v>63</v>
      </c>
      <c r="AC4" s="5" t="s">
        <v>64</v>
      </c>
      <c r="AD4" s="5" t="s">
        <v>65</v>
      </c>
      <c r="AE4" s="5" t="s">
        <v>66</v>
      </c>
      <c r="AF4" s="6" t="s">
        <v>67</v>
      </c>
      <c r="AG4" s="5" t="s">
        <v>62</v>
      </c>
      <c r="AH4" s="5" t="s">
        <v>63</v>
      </c>
      <c r="AI4" s="5" t="s">
        <v>64</v>
      </c>
      <c r="AJ4" s="5" t="s">
        <v>65</v>
      </c>
      <c r="AK4" s="5" t="s">
        <v>66</v>
      </c>
      <c r="AL4" s="6" t="s">
        <v>67</v>
      </c>
      <c r="AM4" s="5" t="s">
        <v>62</v>
      </c>
      <c r="AN4" s="5" t="s">
        <v>63</v>
      </c>
      <c r="AO4" s="5" t="s">
        <v>64</v>
      </c>
      <c r="AP4" s="5" t="s">
        <v>65</v>
      </c>
      <c r="AQ4" s="5" t="s">
        <v>66</v>
      </c>
      <c r="AR4" s="6" t="s">
        <v>67</v>
      </c>
      <c r="AS4" s="5" t="s">
        <v>62</v>
      </c>
      <c r="AT4" s="5" t="s">
        <v>63</v>
      </c>
      <c r="AU4" s="5" t="s">
        <v>64</v>
      </c>
      <c r="AV4" s="5" t="s">
        <v>65</v>
      </c>
      <c r="AW4" s="5" t="s">
        <v>66</v>
      </c>
      <c r="AX4" s="6" t="s">
        <v>67</v>
      </c>
      <c r="AY4" s="5" t="s">
        <v>62</v>
      </c>
      <c r="AZ4" s="5" t="s">
        <v>63</v>
      </c>
      <c r="BA4" s="5" t="s">
        <v>64</v>
      </c>
      <c r="BB4" s="5" t="s">
        <v>65</v>
      </c>
      <c r="BC4" s="5" t="s">
        <v>66</v>
      </c>
      <c r="BD4" s="6" t="s">
        <v>67</v>
      </c>
      <c r="BE4" s="5" t="s">
        <v>62</v>
      </c>
      <c r="BF4" s="5" t="s">
        <v>63</v>
      </c>
      <c r="BG4" s="5" t="s">
        <v>64</v>
      </c>
      <c r="BH4" s="5" t="s">
        <v>65</v>
      </c>
      <c r="BI4" s="5" t="s">
        <v>66</v>
      </c>
      <c r="BJ4" s="6" t="s">
        <v>67</v>
      </c>
      <c r="BK4" s="5" t="s">
        <v>62</v>
      </c>
      <c r="BL4" s="5" t="s">
        <v>63</v>
      </c>
      <c r="BM4" s="5" t="s">
        <v>64</v>
      </c>
      <c r="BN4" s="5" t="s">
        <v>65</v>
      </c>
      <c r="BO4" s="5" t="s">
        <v>66</v>
      </c>
      <c r="BP4" s="6" t="s">
        <v>67</v>
      </c>
      <c r="BQ4" s="5" t="s">
        <v>62</v>
      </c>
      <c r="BR4" s="5" t="s">
        <v>63</v>
      </c>
      <c r="BS4" s="5" t="s">
        <v>64</v>
      </c>
      <c r="BT4" s="5" t="s">
        <v>65</v>
      </c>
      <c r="BU4" s="5" t="s">
        <v>66</v>
      </c>
      <c r="BV4" s="6" t="s">
        <v>67</v>
      </c>
      <c r="BW4" s="5" t="s">
        <v>62</v>
      </c>
      <c r="BX4" s="5" t="s">
        <v>63</v>
      </c>
      <c r="BY4" s="5" t="s">
        <v>64</v>
      </c>
      <c r="BZ4" s="5" t="s">
        <v>65</v>
      </c>
      <c r="CA4" s="5" t="s">
        <v>66</v>
      </c>
      <c r="CB4" s="6" t="s">
        <v>67</v>
      </c>
      <c r="CC4" s="5" t="s">
        <v>62</v>
      </c>
      <c r="CD4" s="5" t="s">
        <v>63</v>
      </c>
      <c r="CE4" s="5" t="s">
        <v>64</v>
      </c>
      <c r="CF4" s="5" t="s">
        <v>65</v>
      </c>
      <c r="CG4" s="5" t="s">
        <v>66</v>
      </c>
      <c r="CH4" s="6" t="s">
        <v>67</v>
      </c>
      <c r="CI4" s="5" t="s">
        <v>62</v>
      </c>
      <c r="CJ4" s="5" t="s">
        <v>63</v>
      </c>
      <c r="CK4" s="5" t="s">
        <v>64</v>
      </c>
      <c r="CL4" s="5" t="s">
        <v>65</v>
      </c>
      <c r="CM4" s="5" t="s">
        <v>66</v>
      </c>
      <c r="CN4" s="6" t="s">
        <v>67</v>
      </c>
      <c r="CO4" s="5" t="s">
        <v>62</v>
      </c>
      <c r="CP4" s="5" t="s">
        <v>63</v>
      </c>
      <c r="CQ4" s="5" t="s">
        <v>64</v>
      </c>
      <c r="CR4" s="5" t="s">
        <v>65</v>
      </c>
      <c r="CS4" s="5" t="s">
        <v>66</v>
      </c>
      <c r="CT4" s="6" t="s">
        <v>67</v>
      </c>
      <c r="CU4" s="5" t="s">
        <v>62</v>
      </c>
      <c r="CV4" s="5" t="s">
        <v>63</v>
      </c>
      <c r="CW4" s="5" t="s">
        <v>64</v>
      </c>
      <c r="CX4" s="5" t="s">
        <v>65</v>
      </c>
      <c r="CY4" s="5" t="s">
        <v>66</v>
      </c>
      <c r="CZ4" s="6" t="s">
        <v>67</v>
      </c>
      <c r="DA4" s="5" t="s">
        <v>62</v>
      </c>
      <c r="DB4" s="5" t="s">
        <v>63</v>
      </c>
      <c r="DC4" s="5" t="s">
        <v>64</v>
      </c>
      <c r="DD4" s="5" t="s">
        <v>65</v>
      </c>
      <c r="DE4" s="5" t="s">
        <v>66</v>
      </c>
      <c r="DF4" s="6" t="s">
        <v>67</v>
      </c>
    </row>
    <row r="5">
      <c r="A5" s="20">
        <f>'Option Mkt Data'!A5</f>
        <v>295</v>
      </c>
      <c r="B5" s="35">
        <f t="shared" ref="B5:C5" si="1">DE5</f>
        <v>0.605298317</v>
      </c>
      <c r="C5" s="7">
        <f t="shared" si="1"/>
        <v>45.07491507</v>
      </c>
      <c r="D5" s="7">
        <f t="shared" ref="D5:D39" si="3">ABS(C5-G5)</f>
        <v>0.00008187919114</v>
      </c>
      <c r="E5" s="9">
        <f t="shared" ref="E5:E39" si="4">D5/G5</f>
        <v>0.000001816510187</v>
      </c>
      <c r="F5" s="36">
        <f>D5/'Option Mkt Data'!L5</f>
        <v>0.0001091722549</v>
      </c>
      <c r="G5" s="5">
        <f>'Option Mkt Data'!J5</f>
        <v>45.07499695</v>
      </c>
      <c r="H5" s="33">
        <f>'Option Mkt Data'!A5</f>
        <v>295</v>
      </c>
      <c r="I5" s="37">
        <f>MinSolverVola</f>
        <v>0.001</v>
      </c>
      <c r="J5" s="38">
        <f>MaxSolverVola</f>
        <v>3</v>
      </c>
      <c r="K5" s="39">
        <f>K$2*(Underlying*EXP(-DividendYield*TimeToExpiration)*_xlfn.NORM.DIST(K$2*(LN(Underlying/$H5)+(RiskFreeRate-DividendYield+0.5*I5^2)*TimeToExpiration)/(I5*TimeToExpiration^0.5), 0, 1, TRUE) - 
       $H5*EXP(-RiskFreeRate*TimeToExpiration)*_xlfn.NORM.DIST(K$2*(LN(Underlying/$H5)+(RiskFreeRate-DividendYield-0.5*I5^2)*TimeToExpiration)/(I5*TimeToExpiration^0.5), 0, 1, TRUE)
)</f>
        <v>44.50722097</v>
      </c>
      <c r="L5" s="7">
        <f>L$2*(Underlying*EXP(-DividendYield*TimeToExpiration)*_xlfn.NORM.DIST(L$2*(LN(Underlying/$H5)+(RiskFreeRate-DividendYield+0.5*J5^2)*TimeToExpiration)/(J5*TimeToExpiration^0.5), 0, 1, TRUE) - 
       $H5*EXP(-RiskFreeRate*TimeToExpiration)*_xlfn.NORM.DIST(L$2*(LN(Underlying/$H5)+(RiskFreeRate-DividendYield-0.5*J5^2)*TimeToExpiration)/(J5*TimeToExpiration^0.5), 0, 1, TRUE)
)</f>
        <v>78.35546774</v>
      </c>
      <c r="M5" s="40">
        <f t="shared" ref="M5:M39" si="5">(I5+J5)/2</f>
        <v>1.5005</v>
      </c>
      <c r="N5" s="8">
        <f>N$2*(Underlying*EXP(-DividendYield*TimeToExpiration)*_xlfn.NORM.DIST(N$2*(LN(Underlying/$H5)+(RiskFreeRate-DividendYield+0.5*M5^2)*TimeToExpiration)/(M5*TimeToExpiration^0.5), 0, 1, TRUE) - 
       $H5*EXP(-RiskFreeRate*TimeToExpiration)*_xlfn.NORM.DIST(N$2*(LN(Underlying/$H5)+(RiskFreeRate-DividendYield-0.5*M5^2)*TimeToExpiration)/(M5*TimeToExpiration^0.5), 0, 1, TRUE)
)</f>
        <v>54.68147296</v>
      </c>
      <c r="O5" s="41">
        <f t="shared" ref="O5:O39" si="6">IF(N5&gt;$G5, I5, M5)</f>
        <v>0.001</v>
      </c>
      <c r="P5" s="40">
        <f t="shared" ref="P5:P39" si="7">IF(N5&gt;$G5, M5, J5)</f>
        <v>1.5005</v>
      </c>
      <c r="Q5" s="7">
        <f>Q$2*(Underlying*EXP(-DividendYield*TimeToExpiration)*_xlfn.NORM.DIST(Q$2*(LN(Underlying/$H5)+(RiskFreeRate-DividendYield+0.5*O5^2)*TimeToExpiration)/(O5*TimeToExpiration^0.5), 0, 1, TRUE) - 
       $H5*EXP(-RiskFreeRate*TimeToExpiration)*_xlfn.NORM.DIST(Q$2*(LN(Underlying/$H5)+(RiskFreeRate-DividendYield-0.5*O5^2)*TimeToExpiration)/(O5*TimeToExpiration^0.5), 0, 1, TRUE))</f>
        <v>44.50722097</v>
      </c>
      <c r="R5" s="7">
        <f>R$2*(Underlying*EXP(-DividendYield*TimeToExpiration)*_xlfn.NORM.DIST(R$2*(LN(Underlying/$H5)+(RiskFreeRate-DividendYield+0.5*P5^2)*TimeToExpiration)/(P5*TimeToExpiration^0.5), 0, 1, TRUE) - 
       $H5*EXP(-RiskFreeRate*TimeToExpiration)*_xlfn.NORM.DIST(R$2*(LN(Underlying/$H5)+(RiskFreeRate-DividendYield-0.5*P5^2)*TimeToExpiration)/(P5*TimeToExpiration^0.5), 0, 1, TRUE)
)</f>
        <v>54.68147296</v>
      </c>
      <c r="S5" s="40">
        <f t="shared" ref="S5:S39" si="8">(O5+P5)/2</f>
        <v>0.75075</v>
      </c>
      <c r="T5" s="8">
        <f>T$2*(Underlying*EXP(-DividendYield*TimeToExpiration)*_xlfn.NORM.DIST(T$2*(LN(Underlying/$H5)+(RiskFreeRate-DividendYield+0.5*S5^2)*TimeToExpiration)/(S5*TimeToExpiration^0.5), 0, 1, TRUE) - 
       $H5*EXP(-RiskFreeRate*TimeToExpiration)*_xlfn.NORM.DIST(T$2*(LN(Underlying/$H5)+(RiskFreeRate-DividendYield-0.5*S5^2)*TimeToExpiration)/(S5*TimeToExpiration^0.5), 0, 1, TRUE)
)</f>
        <v>45.95586096</v>
      </c>
      <c r="U5" s="41">
        <f t="shared" ref="U5:U39" si="9">IF(T5&gt;$G5, O5, S5)</f>
        <v>0.001</v>
      </c>
      <c r="V5" s="40">
        <f t="shared" ref="V5:V39" si="10">IF(T5&gt;$G5, S5, P5)</f>
        <v>0.75075</v>
      </c>
      <c r="W5" s="7">
        <f>W$2*(Underlying*EXP(-DividendYield*TimeToExpiration)*_xlfn.NORM.DIST(W$2*(LN(Underlying/$H5)+(RiskFreeRate-DividendYield+0.5*U5^2)*TimeToExpiration)/(U5*TimeToExpiration^0.5), 0, 1, TRUE) - 
       $H5*EXP(-RiskFreeRate*TimeToExpiration)*_xlfn.NORM.DIST(W$2*(LN(Underlying/$H5)+(RiskFreeRate-DividendYield-0.5*U5^2)*TimeToExpiration)/(U5*TimeToExpiration^0.5), 0, 1, TRUE)
)</f>
        <v>44.50722097</v>
      </c>
      <c r="X5" s="7">
        <f>X$2*(Underlying*EXP(-DividendYield*TimeToExpiration)*_xlfn.NORM.DIST(X$2*(LN(Underlying/$H5)+(RiskFreeRate-DividendYield+0.5*V5^2)*TimeToExpiration)/(V5*TimeToExpiration^0.5), 0, 1, TRUE) - 
       $H5*EXP(-RiskFreeRate*TimeToExpiration)*_xlfn.NORM.DIST(X$2*(LN(Underlying/$H5)+(RiskFreeRate-DividendYield-0.5*V5^2)*TimeToExpiration)/(V5*TimeToExpiration^0.5), 0, 1, TRUE)
)</f>
        <v>45.95586096</v>
      </c>
      <c r="Y5" s="40">
        <f t="shared" ref="Y5:Y39" si="11">(U5+V5)/2</f>
        <v>0.375875</v>
      </c>
      <c r="Z5" s="8">
        <f>Z$2*(Underlying*EXP(-DividendYield*TimeToExpiration)*_xlfn.NORM.DIST(Z$2*(LN(Underlying/$H5)+(RiskFreeRate-DividendYield+0.5*Y5^2)*TimeToExpiration)/(Y5*TimeToExpiration^0.5), 0, 1, TRUE) - 
       $H5*EXP(-RiskFreeRate*TimeToExpiration)*_xlfn.NORM.DIST(Z$2*(LN(Underlying/$H5)+(RiskFreeRate-DividendYield-0.5*Y5^2)*TimeToExpiration)/(Y5*TimeToExpiration^0.5), 0, 1, TRUE)
)</f>
        <v>44.52846307</v>
      </c>
      <c r="AA5" s="40">
        <f t="shared" ref="AA5:AA39" si="12">IF(Z5&gt;$G5, U5, Y5)</f>
        <v>0.375875</v>
      </c>
      <c r="AB5" s="40">
        <f t="shared" ref="AB5:AB39" si="13">IF(Z5&gt;$G5, Y5, V5)</f>
        <v>0.75075</v>
      </c>
      <c r="AC5" s="7">
        <f>AC$2*(Underlying*EXP(-DividendYield*TimeToExpiration)*_xlfn.NORM.DIST(AC$2*(LN(Underlying/$H5)+(RiskFreeRate-DividendYield+0.5*AA5^2)*TimeToExpiration)/(AA5*TimeToExpiration^0.5), 0, 1, TRUE) - 
       $H5*EXP(-RiskFreeRate*TimeToExpiration)*_xlfn.NORM.DIST(AC$2*(LN(Underlying/$H5)+(RiskFreeRate-DividendYield-0.5*AA5^2)*TimeToExpiration)/(AA5*TimeToExpiration^0.5), 0, 1, TRUE)
)</f>
        <v>44.52846307</v>
      </c>
      <c r="AD5" s="7">
        <f>AD$2*(Underlying*EXP(-DividendYield*TimeToExpiration)*_xlfn.NORM.DIST(AD$2*(LN(Underlying/$H5)+(RiskFreeRate-DividendYield+0.5*AB5^2)*TimeToExpiration)/(AB5*TimeToExpiration^0.5), 0, 1, TRUE) - 
       $H5*EXP(-RiskFreeRate*TimeToExpiration)*_xlfn.NORM.DIST(AD$2*(LN(Underlying/$H5)+(RiskFreeRate-DividendYield-0.5*AB5^2)*TimeToExpiration)/(AB5*TimeToExpiration^0.5), 0, 1, TRUE)
)</f>
        <v>45.95586096</v>
      </c>
      <c r="AE5" s="40">
        <f t="shared" ref="AE5:AE39" si="14">(AA5+AB5)/2</f>
        <v>0.5633125</v>
      </c>
      <c r="AF5" s="8">
        <f>AF$2*(Underlying*EXP(-DividendYield*TimeToExpiration)*_xlfn.NORM.DIST(AF$2*(LN(Underlying/$H5)+(RiskFreeRate-DividendYield+0.5*AE5^2)*TimeToExpiration)/(AE5*TimeToExpiration^0.5), 0, 1, TRUE) - 
       $H5*EXP(-RiskFreeRate*TimeToExpiration)*_xlfn.NORM.DIST(AF$2*(LN(Underlying/$H5)+(RiskFreeRate-DividendYield-0.5*AE5^2)*TimeToExpiration)/(AE5*TimeToExpiration^0.5), 0, 1, TRUE)
)</f>
        <v>44.8990972</v>
      </c>
      <c r="AG5" s="40">
        <f t="shared" ref="AG5:AG39" si="15">IF(AF5&gt;$G5, AA5, AE5)</f>
        <v>0.5633125</v>
      </c>
      <c r="AH5" s="40">
        <f t="shared" ref="AH5:AH39" si="16">IF(AF5&gt;$G5, AE5, AB5)</f>
        <v>0.75075</v>
      </c>
      <c r="AI5" s="7">
        <f>AI$2*(Underlying*EXP(-DividendYield*TimeToExpiration)*_xlfn.NORM.DIST(AI$2*(LN(Underlying/$H5)+(RiskFreeRate-DividendYield+0.5*AG5^2)*TimeToExpiration)/(AG5*TimeToExpiration^0.5), 0, 1, TRUE) - 
       $H5*EXP(-RiskFreeRate*TimeToExpiration)*_xlfn.NORM.DIST(AI$2*(LN(Underlying/$H5)+(RiskFreeRate-DividendYield-0.5*AG5^2)*TimeToExpiration)/(AG5*TimeToExpiration^0.5), 0, 1, TRUE)
)</f>
        <v>44.8990972</v>
      </c>
      <c r="AJ5" s="7">
        <f>AJ$2*(Underlying*EXP(-DividendYield*TimeToExpiration)*_xlfn.NORM.DIST(AJ$2*(LN(Underlying/$H5)+(RiskFreeRate-DividendYield+0.5*AH5^2)*TimeToExpiration)/(AH5*TimeToExpiration^0.5), 0, 1, TRUE) - 
       $H5*EXP(-RiskFreeRate*TimeToExpiration)*_xlfn.NORM.DIST(AJ$2*(LN(Underlying/$H5)+(RiskFreeRate-DividendYield-0.5*AH5^2)*TimeToExpiration)/(AH5*TimeToExpiration^0.5), 0, 1, TRUE)
)</f>
        <v>45.95586096</v>
      </c>
      <c r="AK5" s="40">
        <f t="shared" ref="AK5:AK39" si="17">(AG5+AH5)/2</f>
        <v>0.65703125</v>
      </c>
      <c r="AL5" s="8">
        <f>AL$2*(Underlying*EXP(-DividendYield*TimeToExpiration)*_xlfn.NORM.DIST(AL$2*(LN(Underlying/$H5)+(RiskFreeRate-DividendYield+0.5*AK5^2)*TimeToExpiration)/(AK5*TimeToExpiration^0.5), 0, 1, TRUE) - 
       $H5*EXP(-RiskFreeRate*TimeToExpiration)*_xlfn.NORM.DIST(AL$2*(LN(Underlying/$H5)+(RiskFreeRate-DividendYield-0.5*AK5^2)*TimeToExpiration)/(AK5*TimeToExpiration^0.5), 0, 1, TRUE)
)</f>
        <v>45.3412765</v>
      </c>
      <c r="AM5" s="40">
        <f t="shared" ref="AM5:AM39" si="18">IF(AL5&gt;$G5, AG5, AK5)</f>
        <v>0.5633125</v>
      </c>
      <c r="AN5" s="40">
        <f t="shared" ref="AN5:AN39" si="19">IF(AL5&gt;$G5, AK5, AH5)</f>
        <v>0.65703125</v>
      </c>
      <c r="AO5" s="7">
        <f>AO$2*(Underlying*EXP(-DividendYield*TimeToExpiration)*_xlfn.NORM.DIST(AO$2*(LN(Underlying/$H5)+(RiskFreeRate-DividendYield+0.5*AM5^2)*TimeToExpiration)/(AM5*TimeToExpiration^0.5), 0, 1, TRUE) - 
       $H5*EXP(-RiskFreeRate*TimeToExpiration)*_xlfn.NORM.DIST(AO$2*(LN(Underlying/$H5)+(RiskFreeRate-DividendYield-0.5*AM5^2)*TimeToExpiration)/(AM5*TimeToExpiration^0.5), 0, 1, TRUE)
)</f>
        <v>44.8990972</v>
      </c>
      <c r="AP5" s="7">
        <f>AP$2*(Underlying*EXP(-DividendYield*TimeToExpiration)*_xlfn.NORM.DIST(AP$2*(LN(Underlying/$H5)+(RiskFreeRate-DividendYield+0.5*AN5^2)*TimeToExpiration)/(AN5*TimeToExpiration^0.5), 0, 1, TRUE) - 
       $H5*EXP(-RiskFreeRate*TimeToExpiration)*_xlfn.NORM.DIST(AP$2*(LN(Underlying/$H5)+(RiskFreeRate-DividendYield-0.5*AN5^2)*TimeToExpiration)/(AN5*TimeToExpiration^0.5), 0, 1, TRUE)
)</f>
        <v>45.3412765</v>
      </c>
      <c r="AQ5" s="40">
        <f t="shared" ref="AQ5:AQ39" si="20">(AM5+AN5)/2</f>
        <v>0.610171875</v>
      </c>
      <c r="AR5" s="8">
        <f>AR$2*(Underlying*EXP(-DividendYield*TimeToExpiration)*_xlfn.NORM.DIST(AR$2*(LN(Underlying/$H5)+(RiskFreeRate-DividendYield+0.5*AQ5^2)*TimeToExpiration)/(AQ5*TimeToExpiration^0.5), 0, 1, TRUE) - 
       $H5*EXP(-RiskFreeRate*TimeToExpiration)*_xlfn.NORM.DIST(AR$2*(LN(Underlying/$H5)+(RiskFreeRate-DividendYield-0.5*AQ5^2)*TimeToExpiration)/(AQ5*TimeToExpiration^0.5), 0, 1, TRUE)
)</f>
        <v>45.09768543</v>
      </c>
      <c r="AS5" s="40">
        <f t="shared" ref="AS5:AS39" si="21">IF(AR5&gt;$G5, AM5, AQ5)</f>
        <v>0.5633125</v>
      </c>
      <c r="AT5" s="40">
        <f t="shared" ref="AT5:AT39" si="22">IF(AR5&gt;$G5, AQ5, AN5)</f>
        <v>0.610171875</v>
      </c>
      <c r="AU5" s="7">
        <f>AU$2*(Underlying*EXP(-DividendYield*TimeToExpiration)*_xlfn.NORM.DIST(AU$2*(LN(Underlying/$H5)+(RiskFreeRate-DividendYield+0.5*AS5^2)*TimeToExpiration)/(AS5*TimeToExpiration^0.5), 0, 1, TRUE) - 
       $H5*EXP(-RiskFreeRate*TimeToExpiration)*_xlfn.NORM.DIST(AU$2*(LN(Underlying/$H5)+(RiskFreeRate-DividendYield-0.5*AS5^2)*TimeToExpiration)/(AS5*TimeToExpiration^0.5), 0, 1, TRUE)
)</f>
        <v>44.8990972</v>
      </c>
      <c r="AV5" s="7">
        <f>AV$2*(Underlying*EXP(-DividendYield*TimeToExpiration)*_xlfn.NORM.DIST(AV$2*(LN(Underlying/$H5)+(RiskFreeRate-DividendYield+0.5*AT5^2)*TimeToExpiration)/(AT5*TimeToExpiration^0.5), 0, 1, TRUE) - 
       $H5*EXP(-RiskFreeRate*TimeToExpiration)*_xlfn.NORM.DIST(AV$2*(LN(Underlying/$H5)+(RiskFreeRate-DividendYield-0.5*AT5^2)*TimeToExpiration)/(AT5*TimeToExpiration^0.5), 0, 1, TRUE)
)</f>
        <v>45.09768543</v>
      </c>
      <c r="AW5" s="40">
        <f t="shared" ref="AW5:AW39" si="23">(AS5+AT5)/2</f>
        <v>0.5867421875</v>
      </c>
      <c r="AX5" s="8">
        <f>AX$2*(Underlying*EXP(-DividendYield*TimeToExpiration)*_xlfn.NORM.DIST(AX$2*(LN(Underlying/$H5)+(RiskFreeRate-DividendYield+0.5*AW5^2)*TimeToExpiration)/(AW5*TimeToExpiration^0.5), 0, 1, TRUE) - 
       $H5*EXP(-RiskFreeRate*TimeToExpiration)*_xlfn.NORM.DIST(AX$2*(LN(Underlying/$H5)+(RiskFreeRate-DividendYield-0.5*AW5^2)*TimeToExpiration)/(AW5*TimeToExpiration^0.5), 0, 1, TRUE)
)</f>
        <v>44.99270317</v>
      </c>
      <c r="AY5" s="40">
        <f t="shared" ref="AY5:AY39" si="24">IF(AX5&gt;$G5, AS5, AW5)</f>
        <v>0.5867421875</v>
      </c>
      <c r="AZ5" s="40">
        <f t="shared" ref="AZ5:AZ39" si="25">IF(AX5&gt;$G5, AW5, AT5)</f>
        <v>0.610171875</v>
      </c>
      <c r="BA5" s="7">
        <f>BA$2*(Underlying*EXP(-DividendYield*TimeToExpiration)*_xlfn.NORM.DIST(BA$2*(LN(Underlying/$H5)+(RiskFreeRate-DividendYield+0.5*AY5^2)*TimeToExpiration)/(AY5*TimeToExpiration^0.5), 0, 1, TRUE) - 
       $H5*EXP(-RiskFreeRate*TimeToExpiration)*_xlfn.NORM.DIST(BA$2*(LN(Underlying/$H5)+(RiskFreeRate-DividendYield-0.5*AY5^2)*TimeToExpiration)/(AY5*TimeToExpiration^0.5), 0, 1, TRUE)
)</f>
        <v>44.99270317</v>
      </c>
      <c r="BB5" s="7">
        <f>BB$2*(Underlying*EXP(-DividendYield*TimeToExpiration)*_xlfn.NORM.DIST(BB$2*(LN(Underlying/$H5)+(RiskFreeRate-DividendYield+0.5*AZ5^2)*TimeToExpiration)/(AZ5*TimeToExpiration^0.5), 0, 1, TRUE) - 
       $H5*EXP(-RiskFreeRate*TimeToExpiration)*_xlfn.NORM.DIST(BB$2*(LN(Underlying/$H5)+(RiskFreeRate-DividendYield-0.5*AZ5^2)*TimeToExpiration)/(AZ5*TimeToExpiration^0.5), 0, 1, TRUE)
)</f>
        <v>45.09768543</v>
      </c>
      <c r="BC5" s="40">
        <f t="shared" ref="BC5:BC39" si="26">(AY5+AZ5)/2</f>
        <v>0.5984570313</v>
      </c>
      <c r="BD5" s="8">
        <f>BD$2*(Underlying*EXP(-DividendYield*TimeToExpiration)*_xlfn.NORM.DIST(BD$2*(LN(Underlying/$H5)+(RiskFreeRate-DividendYield+0.5*BC5^2)*TimeToExpiration)/(BC5*TimeToExpiration^0.5), 0, 1, TRUE) - 
       $H5*EXP(-RiskFreeRate*TimeToExpiration)*_xlfn.NORM.DIST(BD$2*(LN(Underlying/$H5)+(RiskFreeRate-DividendYield-0.5*BC5^2)*TimeToExpiration)/(BC5*TimeToExpiration^0.5), 0, 1, TRUE)
)</f>
        <v>45.0437767</v>
      </c>
      <c r="BE5" s="40">
        <f t="shared" ref="BE5:BE39" si="27">IF(BD5&gt;$G5, AY5, BC5)</f>
        <v>0.5984570313</v>
      </c>
      <c r="BF5" s="40">
        <f t="shared" ref="BF5:BF39" si="28">IF(BD5&gt;$G5, BC5, AZ5)</f>
        <v>0.610171875</v>
      </c>
      <c r="BG5" s="7">
        <f>BG$2*(Underlying*EXP(-DividendYield*TimeToExpiration)*_xlfn.NORM.DIST(BG$2*(LN(Underlying/$H5)+(RiskFreeRate-DividendYield+0.5*BE5^2)*TimeToExpiration)/(BE5*TimeToExpiration^0.5), 0, 1, TRUE) - 
       $H5*EXP(-RiskFreeRate*TimeToExpiration)*_xlfn.NORM.DIST(BG$2*(LN(Underlying/$H5)+(RiskFreeRate-DividendYield-0.5*BE5^2)*TimeToExpiration)/(BE5*TimeToExpiration^0.5), 0, 1, TRUE)
)</f>
        <v>45.0437767</v>
      </c>
      <c r="BH5" s="7">
        <f>BH$2*(Underlying*EXP(-DividendYield*TimeToExpiration)*_xlfn.NORM.DIST(BH$2*(LN(Underlying/$H5)+(RiskFreeRate-DividendYield+0.5*BF5^2)*TimeToExpiration)/(BF5*TimeToExpiration^0.5), 0, 1, TRUE) - 
       $H5*EXP(-RiskFreeRate*TimeToExpiration)*_xlfn.NORM.DIST(BH$2*(LN(Underlying/$H5)+(RiskFreeRate-DividendYield-0.5*BF5^2)*TimeToExpiration)/(BF5*TimeToExpiration^0.5), 0, 1, TRUE)
)</f>
        <v>45.09768543</v>
      </c>
      <c r="BI5" s="40">
        <f t="shared" ref="BI5:BI39" si="29">(BE5+BF5)/2</f>
        <v>0.6043144531</v>
      </c>
      <c r="BJ5" s="8">
        <f>BJ$2*(Underlying*EXP(-DividendYield*TimeToExpiration)*_xlfn.NORM.DIST(BJ$2*(LN(Underlying/$H5)+(RiskFreeRate-DividendYield+0.5*BI5^2)*TimeToExpiration)/(BI5*TimeToExpiration^0.5), 0, 1, TRUE) - 
       $H5*EXP(-RiskFreeRate*TimeToExpiration)*_xlfn.NORM.DIST(BJ$2*(LN(Underlying/$H5)+(RiskFreeRate-DividendYield-0.5*BI5^2)*TimeToExpiration)/(BI5*TimeToExpiration^0.5), 0, 1, TRUE)
)</f>
        <v>45.07037755</v>
      </c>
      <c r="BK5" s="40">
        <f t="shared" ref="BK5:BK39" si="30">IF(BJ5&gt;$G5, BE5, BI5)</f>
        <v>0.6043144531</v>
      </c>
      <c r="BL5" s="40">
        <f t="shared" ref="BL5:BL39" si="31">IF(BJ5&gt;$G5, BI5, BF5)</f>
        <v>0.610171875</v>
      </c>
      <c r="BM5" s="7">
        <f>BM$2*(Underlying*EXP(-DividendYield*TimeToExpiration)*_xlfn.NORM.DIST(BM$2*(LN(Underlying/$H5)+(RiskFreeRate-DividendYield+0.5*BK5^2)*TimeToExpiration)/(BK5*TimeToExpiration^0.5), 0, 1, TRUE) - 
       $H5*EXP(-RiskFreeRate*TimeToExpiration)*_xlfn.NORM.DIST(BM$2*(LN(Underlying/$H5)+(RiskFreeRate-DividendYield-0.5*BK5^2)*TimeToExpiration)/(BK5*TimeToExpiration^0.5), 0, 1, TRUE)
)</f>
        <v>45.07037755</v>
      </c>
      <c r="BN5" s="7">
        <f>BN$2*(Underlying*EXP(-DividendYield*TimeToExpiration)*_xlfn.NORM.DIST(BN$2*(LN(Underlying/$H5)+(RiskFreeRate-DividendYield+0.5*BL5^2)*TimeToExpiration)/(BL5*TimeToExpiration^0.5), 0, 1, TRUE) - 
       $H5*EXP(-RiskFreeRate*TimeToExpiration)*_xlfn.NORM.DIST(BN$2*(LN(Underlying/$H5)+(RiskFreeRate-DividendYield-0.5*BL5^2)*TimeToExpiration)/(BL5*TimeToExpiration^0.5), 0, 1, TRUE)
)</f>
        <v>45.09768543</v>
      </c>
      <c r="BO5" s="40">
        <f t="shared" ref="BO5:BO39" si="32">(BK5+BL5)/2</f>
        <v>0.6072431641</v>
      </c>
      <c r="BP5" s="8">
        <f>BP$2*(Underlying*EXP(-DividendYield*TimeToExpiration)*_xlfn.NORM.DIST(BP$2*(LN(Underlying/$H5)+(RiskFreeRate-DividendYield+0.5*BO5^2)*TimeToExpiration)/(BO5*TimeToExpiration^0.5), 0, 1, TRUE) - 
       $H5*EXP(-RiskFreeRate*TimeToExpiration)*_xlfn.NORM.DIST(BP$2*(LN(Underlying/$H5)+(RiskFreeRate-DividendYield-0.5*BO5^2)*TimeToExpiration)/(BO5*TimeToExpiration^0.5), 0, 1, TRUE)
)</f>
        <v>45.08394324</v>
      </c>
      <c r="BQ5" s="40">
        <f t="shared" ref="BQ5:BQ39" si="33">IF(BP5&gt;$G5, BK5, BO5)</f>
        <v>0.6043144531</v>
      </c>
      <c r="BR5" s="40">
        <f t="shared" ref="BR5:BR39" si="34">IF(BP5&gt;$G5, BO5, BL5)</f>
        <v>0.6072431641</v>
      </c>
      <c r="BS5" s="7">
        <f>BS$2*(Underlying*EXP(-DividendYield*TimeToExpiration)*_xlfn.NORM.DIST(BS$2*(LN(Underlying/$H5)+(RiskFreeRate-DividendYield+0.5*BQ5^2)*TimeToExpiration)/(BQ5*TimeToExpiration^0.5), 0, 1, TRUE) - 
       $H5*EXP(-RiskFreeRate*TimeToExpiration)*_xlfn.NORM.DIST(BS$2*(LN(Underlying/$H5)+(RiskFreeRate-DividendYield-0.5*BQ5^2)*TimeToExpiration)/(BQ5*TimeToExpiration^0.5), 0, 1, TRUE)
)</f>
        <v>45.07037755</v>
      </c>
      <c r="BT5" s="7">
        <f>BT$2*(Underlying*EXP(-DividendYield*TimeToExpiration)*_xlfn.NORM.DIST(BT$2*(LN(Underlying/$H5)+(RiskFreeRate-DividendYield+0.5*BR5^2)*TimeToExpiration)/(BR5*TimeToExpiration^0.5), 0, 1, TRUE) - 
       $H5*EXP(-RiskFreeRate*TimeToExpiration)*_xlfn.NORM.DIST(BT$2*(LN(Underlying/$H5)+(RiskFreeRate-DividendYield-0.5*BR5^2)*TimeToExpiration)/(BR5*TimeToExpiration^0.5), 0, 1, TRUE)
)</f>
        <v>45.08394324</v>
      </c>
      <c r="BU5" s="40">
        <f t="shared" ref="BU5:BU39" si="35">(BQ5+BR5)/2</f>
        <v>0.6057788086</v>
      </c>
      <c r="BV5" s="8">
        <f>BV$2*(Underlying*EXP(-DividendYield*TimeToExpiration)*_xlfn.NORM.DIST(BV$2*(LN(Underlying/$H5)+(RiskFreeRate-DividendYield+0.5*BU5^2)*TimeToExpiration)/(BU5*TimeToExpiration^0.5), 0, 1, TRUE) - 
       $H5*EXP(-RiskFreeRate*TimeToExpiration)*_xlfn.NORM.DIST(BV$2*(LN(Underlying/$H5)+(RiskFreeRate-DividendYield-0.5*BU5^2)*TimeToExpiration)/(BU5*TimeToExpiration^0.5), 0, 1, TRUE)
)</f>
        <v>45.07713832</v>
      </c>
      <c r="BW5" s="40">
        <f t="shared" ref="BW5:BW39" si="36">IF(BV5&gt;$G5, BQ5, BU5)</f>
        <v>0.6043144531</v>
      </c>
      <c r="BX5" s="40">
        <f t="shared" ref="BX5:BX39" si="37">IF(BV5&gt;$G5, BU5, BR5)</f>
        <v>0.6057788086</v>
      </c>
      <c r="BY5" s="7">
        <f>BY$2*(Underlying*EXP(-DividendYield*TimeToExpiration)*_xlfn.NORM.DIST(BY$2*(LN(Underlying/$H5)+(RiskFreeRate-DividendYield+0.5*BW5^2)*TimeToExpiration)/(BW5*TimeToExpiration^0.5), 0, 1, TRUE) - 
       $H5*EXP(-RiskFreeRate*TimeToExpiration)*_xlfn.NORM.DIST(BY$2*(LN(Underlying/$H5)+(RiskFreeRate-DividendYield-0.5*BW5^2)*TimeToExpiration)/(BW5*TimeToExpiration^0.5), 0, 1, TRUE)
)</f>
        <v>45.07037755</v>
      </c>
      <c r="BZ5" s="7">
        <f>BZ$2*(Underlying*EXP(-DividendYield*TimeToExpiration)*_xlfn.NORM.DIST(BZ$2*(LN(Underlying/$H5)+(RiskFreeRate-DividendYield+0.5*BX5^2)*TimeToExpiration)/(BX5*TimeToExpiration^0.5), 0, 1, TRUE) - 
       $H5*EXP(-RiskFreeRate*TimeToExpiration)*_xlfn.NORM.DIST(BZ$2*(LN(Underlying/$H5)+(RiskFreeRate-DividendYield-0.5*BX5^2)*TimeToExpiration)/(BX5*TimeToExpiration^0.5), 0, 1, TRUE)
)</f>
        <v>45.07713832</v>
      </c>
      <c r="CA5" s="40">
        <f t="shared" ref="CA5:CA39" si="38">(BW5+BX5)/2</f>
        <v>0.6050466309</v>
      </c>
      <c r="CB5" s="8">
        <f>CB$2*(Underlying*EXP(-DividendYield*TimeToExpiration)*_xlfn.NORM.DIST(CB$2*(LN(Underlying/$H5)+(RiskFreeRate-DividendYield+0.5*CA5^2)*TimeToExpiration)/(CA5*TimeToExpiration^0.5), 0, 1, TRUE) - 
       $H5*EXP(-RiskFreeRate*TimeToExpiration)*_xlfn.NORM.DIST(CB$2*(LN(Underlying/$H5)+(RiskFreeRate-DividendYield-0.5*CA5^2)*TimeToExpiration)/(CA5*TimeToExpiration^0.5), 0, 1, TRUE)
)</f>
        <v>45.07375241</v>
      </c>
      <c r="CC5" s="40">
        <f t="shared" ref="CC5:CC39" si="39">IF(CB5&gt;$G5, BW5, CA5)</f>
        <v>0.6050466309</v>
      </c>
      <c r="CD5" s="40">
        <f t="shared" ref="CD5:CD39" si="40">IF(CB5&gt;$G5, CA5, BX5)</f>
        <v>0.6057788086</v>
      </c>
      <c r="CE5" s="7">
        <f>CE$2*(Underlying*EXP(-DividendYield*TimeToExpiration)*_xlfn.NORM.DIST(CE$2*(LN(Underlying/$H5)+(RiskFreeRate-DividendYield+0.5*CC5^2)*TimeToExpiration)/(CC5*TimeToExpiration^0.5), 0, 1, TRUE) - 
       $H5*EXP(-RiskFreeRate*TimeToExpiration)*_xlfn.NORM.DIST(CE$2*(LN(Underlying/$H5)+(RiskFreeRate-DividendYield-0.5*CC5^2)*TimeToExpiration)/(CC5*TimeToExpiration^0.5), 0, 1, TRUE)
)</f>
        <v>45.07375241</v>
      </c>
      <c r="CF5" s="7">
        <f>CF$2*(Underlying*EXP(-DividendYield*TimeToExpiration)*_xlfn.NORM.DIST(CF$2*(LN(Underlying/$H5)+(RiskFreeRate-DividendYield+0.5*CD5^2)*TimeToExpiration)/(CD5*TimeToExpiration^0.5), 0, 1, TRUE) - 
       $H5*EXP(-RiskFreeRate*TimeToExpiration)*_xlfn.NORM.DIST(CF$2*(LN(Underlying/$H5)+(RiskFreeRate-DividendYield-0.5*CD5^2)*TimeToExpiration)/(CD5*TimeToExpiration^0.5), 0, 1, TRUE)
)</f>
        <v>45.07713832</v>
      </c>
      <c r="CG5" s="40">
        <f t="shared" ref="CG5:CG39" si="41">(CC5+CD5)/2</f>
        <v>0.6054127197</v>
      </c>
      <c r="CH5" s="8">
        <f>CH$2*(Underlying*EXP(-DividendYield*TimeToExpiration)*_xlfn.NORM.DIST(CH$2*(LN(Underlying/$H5)+(RiskFreeRate-DividendYield+0.5*CG5^2)*TimeToExpiration)/(CG5*TimeToExpiration^0.5), 0, 1, TRUE) - 
       $H5*EXP(-RiskFreeRate*TimeToExpiration)*_xlfn.NORM.DIST(CH$2*(LN(Underlying/$H5)+(RiskFreeRate-DividendYield-0.5*CG5^2)*TimeToExpiration)/(CG5*TimeToExpiration^0.5), 0, 1, TRUE)
)</f>
        <v>45.07544398</v>
      </c>
      <c r="CI5" s="40">
        <f t="shared" ref="CI5:CI39" si="42">IF(CH5&gt;$G5, CC5, CG5)</f>
        <v>0.6050466309</v>
      </c>
      <c r="CJ5" s="40">
        <f t="shared" ref="CJ5:CJ39" si="43">IF(CH5&gt;$G5, CG5, CD5)</f>
        <v>0.6054127197</v>
      </c>
      <c r="CK5" s="7">
        <f>CK$2*(Underlying*EXP(-DividendYield*TimeToExpiration)*_xlfn.NORM.DIST(CK$2*(LN(Underlying/$H5)+(RiskFreeRate-DividendYield+0.5*CI5^2)*TimeToExpiration)/(CI5*TimeToExpiration^0.5), 0, 1, TRUE) - 
       $H5*EXP(-RiskFreeRate*TimeToExpiration)*_xlfn.NORM.DIST(CK$2*(LN(Underlying/$H5)+(RiskFreeRate-DividendYield-0.5*CI5^2)*TimeToExpiration)/(CI5*TimeToExpiration^0.5), 0, 1, TRUE)
)</f>
        <v>45.07375241</v>
      </c>
      <c r="CL5" s="7">
        <f>CL$2*(Underlying*EXP(-DividendYield*TimeToExpiration)*_xlfn.NORM.DIST(CL$2*(LN(Underlying/$H5)+(RiskFreeRate-DividendYield+0.5*CJ5^2)*TimeToExpiration)/(CJ5*TimeToExpiration^0.5), 0, 1, TRUE) - 
       $H5*EXP(-RiskFreeRate*TimeToExpiration)*_xlfn.NORM.DIST(CL$2*(LN(Underlying/$H5)+(RiskFreeRate-DividendYield-0.5*CJ5^2)*TimeToExpiration)/(CJ5*TimeToExpiration^0.5), 0, 1, TRUE)
)</f>
        <v>45.07544398</v>
      </c>
      <c r="CM5" s="40">
        <f t="shared" ref="CM5:CM39" si="44">(CI5+CJ5)/2</f>
        <v>0.6052296753</v>
      </c>
      <c r="CN5" s="8">
        <f>CN$2*(Underlying*EXP(-DividendYield*TimeToExpiration)*_xlfn.NORM.DIST(CN$2*(LN(Underlying/$H5)+(RiskFreeRate-DividendYield+0.5*CM5^2)*TimeToExpiration)/(CM5*TimeToExpiration^0.5), 0, 1, TRUE) - 
       $H5*EXP(-RiskFreeRate*TimeToExpiration)*_xlfn.NORM.DIST(CN$2*(LN(Underlying/$H5)+(RiskFreeRate-DividendYield-0.5*CM5^2)*TimeToExpiration)/(CM5*TimeToExpiration^0.5), 0, 1, TRUE)
)</f>
        <v>45.07459785</v>
      </c>
      <c r="CO5" s="40">
        <f t="shared" ref="CO5:CO39" si="45">IF(CN5&gt;$G5, CI5, CM5)</f>
        <v>0.6052296753</v>
      </c>
      <c r="CP5" s="40">
        <f t="shared" ref="CP5:CP39" si="46">IF(CN5&gt;$G5, CM5, CJ5)</f>
        <v>0.6054127197</v>
      </c>
      <c r="CQ5" s="7">
        <f>CQ$2*(Underlying*EXP(-DividendYield*TimeToExpiration)*_xlfn.NORM.DIST(CQ$2*(LN(Underlying/$H5)+(RiskFreeRate-DividendYield+0.5*CO5^2)*TimeToExpiration)/(CO5*TimeToExpiration^0.5), 0, 1, TRUE) - 
       $H5*EXP(-RiskFreeRate*TimeToExpiration)*_xlfn.NORM.DIST(CQ$2*(LN(Underlying/$H5)+(RiskFreeRate-DividendYield-0.5*CO5^2)*TimeToExpiration)/(CO5*TimeToExpiration^0.5), 0, 1, TRUE)
)</f>
        <v>45.07459785</v>
      </c>
      <c r="CR5" s="7">
        <f>CR$2*(Underlying*EXP(-DividendYield*TimeToExpiration)*_xlfn.NORM.DIST(CR$2*(LN(Underlying/$H5)+(RiskFreeRate-DividendYield+0.5*CP5^2)*TimeToExpiration)/(CP5*TimeToExpiration^0.5), 0, 1, TRUE) - 
       $H5*EXP(-RiskFreeRate*TimeToExpiration)*_xlfn.NORM.DIST(CR$2*(LN(Underlying/$H5)+(RiskFreeRate-DividendYield-0.5*CP5^2)*TimeToExpiration)/(CP5*TimeToExpiration^0.5), 0, 1, TRUE)
)</f>
        <v>45.07544398</v>
      </c>
      <c r="CS5" s="40">
        <f t="shared" ref="CS5:CS39" si="47">(CO5+CP5)/2</f>
        <v>0.6053211975</v>
      </c>
      <c r="CT5" s="8">
        <f>CT$2*(Underlying*EXP(-DividendYield*TimeToExpiration)*_xlfn.NORM.DIST(CT$2*(LN(Underlying/$H5)+(RiskFreeRate-DividendYield+0.5*CS5^2)*TimeToExpiration)/(CS5*TimeToExpiration^0.5), 0, 1, TRUE) - 
       $H5*EXP(-RiskFreeRate*TimeToExpiration)*_xlfn.NORM.DIST(CT$2*(LN(Underlying/$H5)+(RiskFreeRate-DividendYield-0.5*CS5^2)*TimeToExpiration)/(CS5*TimeToExpiration^0.5), 0, 1, TRUE)
)</f>
        <v>45.07502083</v>
      </c>
      <c r="CU5" s="40">
        <f t="shared" ref="CU5:CU39" si="48">IF(CT5&gt;$G5, CO5, CS5)</f>
        <v>0.6052296753</v>
      </c>
      <c r="CV5" s="40">
        <f t="shared" ref="CV5:CV39" si="49">IF(CT5&gt;$G5, CS5, CP5)</f>
        <v>0.6053211975</v>
      </c>
      <c r="CW5" s="7">
        <f>CW$2*(Underlying*EXP(-DividendYield*TimeToExpiration)*_xlfn.NORM.DIST(CW$2*(LN(Underlying/$H5)+(RiskFreeRate-DividendYield+0.5*CU5^2)*TimeToExpiration)/(CU5*TimeToExpiration^0.5), 0, 1, TRUE) - 
       $H5*EXP(-RiskFreeRate*TimeToExpiration)*_xlfn.NORM.DIST(CW$2*(LN(Underlying/$H5)+(RiskFreeRate-DividendYield-0.5*CU5^2)*TimeToExpiration)/(CU5*TimeToExpiration^0.5), 0, 1, TRUE)
)</f>
        <v>45.07459785</v>
      </c>
      <c r="CX5" s="7">
        <f>CX$2*(Underlying*EXP(-DividendYield*TimeToExpiration)*_xlfn.NORM.DIST(CX$2*(LN(Underlying/$H5)+(RiskFreeRate-DividendYield+0.5*CV5^2)*TimeToExpiration)/(CV5*TimeToExpiration^0.5), 0, 1, TRUE) - 
       $H5*EXP(-RiskFreeRate*TimeToExpiration)*_xlfn.NORM.DIST(CX$2*(LN(Underlying/$H5)+(RiskFreeRate-DividendYield-0.5*CV5^2)*TimeToExpiration)/(CV5*TimeToExpiration^0.5), 0, 1, TRUE)
)</f>
        <v>45.07502083</v>
      </c>
      <c r="CY5" s="40">
        <f t="shared" ref="CY5:CY39" si="50">(CU5+CV5)/2</f>
        <v>0.6052754364</v>
      </c>
      <c r="CZ5" s="8">
        <f>CZ$2*(Underlying*EXP(-DividendYield*TimeToExpiration)*_xlfn.NORM.DIST(CZ$2*(LN(Underlying/$H5)+(RiskFreeRate-DividendYield+0.5*CY5^2)*TimeToExpiration)/(CY5*TimeToExpiration^0.5), 0, 1, TRUE) - 
       $H5*EXP(-RiskFreeRate*TimeToExpiration)*_xlfn.NORM.DIST(CZ$2*(LN(Underlying/$H5)+(RiskFreeRate-DividendYield-0.5*CY5^2)*TimeToExpiration)/(CY5*TimeToExpiration^0.5), 0, 1, TRUE)
)</f>
        <v>45.07480932</v>
      </c>
      <c r="DA5" s="40">
        <f t="shared" ref="DA5:DA39" si="51">IF(CZ5&gt;$G5, CU5, CY5)</f>
        <v>0.6052754364</v>
      </c>
      <c r="DB5" s="40">
        <f t="shared" ref="DB5:DB39" si="52">IF(CZ5&gt;$G5, CY5, CV5)</f>
        <v>0.6053211975</v>
      </c>
      <c r="DC5" s="7">
        <f>DC$2*(Underlying*EXP(-DividendYield*TimeToExpiration)*_xlfn.NORM.DIST(DC$2*(LN(Underlying/$H5)+(RiskFreeRate-DividendYield+0.5*DA5^2)*TimeToExpiration)/(DA5*TimeToExpiration^0.5), 0, 1, TRUE) - 
       $H5*EXP(-RiskFreeRate*TimeToExpiration)*_xlfn.NORM.DIST(DC$2*(LN(Underlying/$H5)+(RiskFreeRate-DividendYield-0.5*DA5^2)*TimeToExpiration)/(DA5*TimeToExpiration^0.5), 0, 1, TRUE)
)</f>
        <v>45.07480932</v>
      </c>
      <c r="DD5" s="7">
        <f>DD$2*(Underlying*EXP(-DividendYield*TimeToExpiration)*_xlfn.NORM.DIST(DD$2*(LN(Underlying/$H5)+(RiskFreeRate-DividendYield+0.5*DB5^2)*TimeToExpiration)/(DB5*TimeToExpiration^0.5), 0, 1, TRUE) - 
       $H5*EXP(-RiskFreeRate*TimeToExpiration)*_xlfn.NORM.DIST(DD$2*(LN(Underlying/$H5)+(RiskFreeRate-DividendYield-0.5*DB5^2)*TimeToExpiration)/(DB5*TimeToExpiration^0.5), 0, 1, TRUE)
)</f>
        <v>45.07502083</v>
      </c>
      <c r="DE5" s="40">
        <f t="shared" ref="DE5:DE39" si="53">(DA5+DB5)/2</f>
        <v>0.605298317</v>
      </c>
      <c r="DF5" s="8">
        <f>DF$2*(Underlying*EXP(-DividendYield*TimeToExpiration)*_xlfn.NORM.DIST(DF$2*(LN(Underlying/$H5)+(RiskFreeRate-DividendYield+0.5*DE5^2)*TimeToExpiration)/(DE5*TimeToExpiration^0.5), 0, 1, TRUE) - 
       $H5*EXP(-RiskFreeRate*TimeToExpiration)*_xlfn.NORM.DIST(DF$2*(LN(Underlying/$H5)+(RiskFreeRate-DividendYield-0.5*DE5^2)*TimeToExpiration)/(DE5*TimeToExpiration^0.5), 0, 1, TRUE)
)</f>
        <v>45.07491507</v>
      </c>
    </row>
    <row r="6">
      <c r="A6" s="20">
        <f>'Option Mkt Data'!A6</f>
        <v>297.5</v>
      </c>
      <c r="B6" s="42">
        <f t="shared" ref="B6:C6" si="2">DE6</f>
        <v>0.001022880554</v>
      </c>
      <c r="C6" s="7">
        <f t="shared" si="2"/>
        <v>42.00940081</v>
      </c>
      <c r="D6" s="7">
        <f t="shared" si="3"/>
        <v>0.2093977561</v>
      </c>
      <c r="E6" s="9">
        <f t="shared" si="4"/>
        <v>0.005009515331</v>
      </c>
      <c r="F6" s="36">
        <f>D6/'Option Mkt Data'!L6</f>
        <v>0.06543654911</v>
      </c>
      <c r="G6" s="5">
        <f>'Option Mkt Data'!J6</f>
        <v>41.80000306</v>
      </c>
      <c r="H6" s="33">
        <f>'Option Mkt Data'!A6</f>
        <v>297.5</v>
      </c>
      <c r="I6" s="37">
        <f>MinSolverVola</f>
        <v>0.001</v>
      </c>
      <c r="J6" s="38">
        <f>MaxSolverVola</f>
        <v>3</v>
      </c>
      <c r="K6" s="39">
        <f>K$2*(Underlying*EXP(-DividendYield*TimeToExpiration)*_xlfn.NORM.DIST(K$2*(LN(Underlying/$H6)+(RiskFreeRate-DividendYield+0.5*I6^2)*TimeToExpiration)/(I6*TimeToExpiration^0.5), 0, 1, TRUE) - 
       $H6*EXP(-RiskFreeRate*TimeToExpiration)*_xlfn.NORM.DIST(K$2*(LN(Underlying/$H6)+(RiskFreeRate-DividendYield-0.5*I6^2)*TimeToExpiration)/(I6*TimeToExpiration^0.5), 0, 1, TRUE)
)</f>
        <v>42.00940081</v>
      </c>
      <c r="L6" s="7">
        <f>L$2*(Underlying*EXP(-DividendYield*TimeToExpiration)*_xlfn.NORM.DIST(L$2*(LN(Underlying/$H6)+(RiskFreeRate-DividendYield+0.5*J6^2)*TimeToExpiration)/(J6*TimeToExpiration^0.5), 0, 1, TRUE) - 
       $H6*EXP(-RiskFreeRate*TimeToExpiration)*_xlfn.NORM.DIST(L$2*(LN(Underlying/$H6)+(RiskFreeRate-DividendYield-0.5*J6^2)*TimeToExpiration)/(J6*TimeToExpiration^0.5), 0, 1, TRUE)
)</f>
        <v>76.99774852</v>
      </c>
      <c r="M6" s="40">
        <f t="shared" si="5"/>
        <v>1.5005</v>
      </c>
      <c r="N6" s="8">
        <f>N$2*(Underlying*EXP(-DividendYield*TimeToExpiration)*_xlfn.NORM.DIST(N$2*(LN(Underlying/$H6)+(RiskFreeRate-DividendYield+0.5*M6^2)*TimeToExpiration)/(M6*TimeToExpiration^0.5), 0, 1, TRUE) - 
       $H6*EXP(-RiskFreeRate*TimeToExpiration)*_xlfn.NORM.DIST(N$2*(LN(Underlying/$H6)+(RiskFreeRate-DividendYield-0.5*M6^2)*TimeToExpiration)/(M6*TimeToExpiration^0.5), 0, 1, TRUE)
)</f>
        <v>52.92233207</v>
      </c>
      <c r="O6" s="41">
        <f t="shared" si="6"/>
        <v>0.001</v>
      </c>
      <c r="P6" s="40">
        <f t="shared" si="7"/>
        <v>1.5005</v>
      </c>
      <c r="Q6" s="7">
        <f>Q$2*(Underlying*EXP(-DividendYield*TimeToExpiration)*_xlfn.NORM.DIST(Q$2*(LN(Underlying/$H6)+(RiskFreeRate-DividendYield+0.5*O6^2)*TimeToExpiration)/(O6*TimeToExpiration^0.5), 0, 1, TRUE) - 
       $H6*EXP(-RiskFreeRate*TimeToExpiration)*_xlfn.NORM.DIST(Q$2*(LN(Underlying/$H6)+(RiskFreeRate-DividendYield-0.5*O6^2)*TimeToExpiration)/(O6*TimeToExpiration^0.5), 0, 1, TRUE))</f>
        <v>42.00940081</v>
      </c>
      <c r="R6" s="7">
        <f>R$2*(Underlying*EXP(-DividendYield*TimeToExpiration)*_xlfn.NORM.DIST(R$2*(LN(Underlying/$H6)+(RiskFreeRate-DividendYield+0.5*P6^2)*TimeToExpiration)/(P6*TimeToExpiration^0.5), 0, 1, TRUE) - 
       $H6*EXP(-RiskFreeRate*TimeToExpiration)*_xlfn.NORM.DIST(R$2*(LN(Underlying/$H6)+(RiskFreeRate-DividendYield-0.5*P6^2)*TimeToExpiration)/(P6*TimeToExpiration^0.5), 0, 1, TRUE)
)</f>
        <v>52.92233207</v>
      </c>
      <c r="S6" s="40">
        <f t="shared" si="8"/>
        <v>0.75075</v>
      </c>
      <c r="T6" s="8">
        <f>T$2*(Underlying*EXP(-DividendYield*TimeToExpiration)*_xlfn.NORM.DIST(T$2*(LN(Underlying/$H6)+(RiskFreeRate-DividendYield+0.5*S6^2)*TimeToExpiration)/(S6*TimeToExpiration^0.5), 0, 1, TRUE) - 
       $H6*EXP(-RiskFreeRate*TimeToExpiration)*_xlfn.NORM.DIST(T$2*(LN(Underlying/$H6)+(RiskFreeRate-DividendYield-0.5*S6^2)*TimeToExpiration)/(S6*TimeToExpiration^0.5), 0, 1, TRUE)
)</f>
        <v>43.73049868</v>
      </c>
      <c r="U6" s="41">
        <f t="shared" si="9"/>
        <v>0.001</v>
      </c>
      <c r="V6" s="40">
        <f t="shared" si="10"/>
        <v>0.75075</v>
      </c>
      <c r="W6" s="7">
        <f>W$2*(Underlying*EXP(-DividendYield*TimeToExpiration)*_xlfn.NORM.DIST(W$2*(LN(Underlying/$H6)+(RiskFreeRate-DividendYield+0.5*U6^2)*TimeToExpiration)/(U6*TimeToExpiration^0.5), 0, 1, TRUE) - 
       $H6*EXP(-RiskFreeRate*TimeToExpiration)*_xlfn.NORM.DIST(W$2*(LN(Underlying/$H6)+(RiskFreeRate-DividendYield-0.5*U6^2)*TimeToExpiration)/(U6*TimeToExpiration^0.5), 0, 1, TRUE)
)</f>
        <v>42.00940081</v>
      </c>
      <c r="X6" s="7">
        <f>X$2*(Underlying*EXP(-DividendYield*TimeToExpiration)*_xlfn.NORM.DIST(X$2*(LN(Underlying/$H6)+(RiskFreeRate-DividendYield+0.5*V6^2)*TimeToExpiration)/(V6*TimeToExpiration^0.5), 0, 1, TRUE) - 
       $H6*EXP(-RiskFreeRate*TimeToExpiration)*_xlfn.NORM.DIST(X$2*(LN(Underlying/$H6)+(RiskFreeRate-DividendYield-0.5*V6^2)*TimeToExpiration)/(V6*TimeToExpiration^0.5), 0, 1, TRUE)
)</f>
        <v>43.73049868</v>
      </c>
      <c r="Y6" s="40">
        <f t="shared" si="11"/>
        <v>0.375875</v>
      </c>
      <c r="Z6" s="8">
        <f>Z$2*(Underlying*EXP(-DividendYield*TimeToExpiration)*_xlfn.NORM.DIST(Z$2*(LN(Underlying/$H6)+(RiskFreeRate-DividendYield+0.5*Y6^2)*TimeToExpiration)/(Y6*TimeToExpiration^0.5), 0, 1, TRUE) - 
       $H6*EXP(-RiskFreeRate*TimeToExpiration)*_xlfn.NORM.DIST(Z$2*(LN(Underlying/$H6)+(RiskFreeRate-DividendYield-0.5*Y6^2)*TimeToExpiration)/(Y6*TimeToExpiration^0.5), 0, 1, TRUE)
)</f>
        <v>42.04460465</v>
      </c>
      <c r="AA6" s="41">
        <f t="shared" si="12"/>
        <v>0.001</v>
      </c>
      <c r="AB6" s="40">
        <f t="shared" si="13"/>
        <v>0.375875</v>
      </c>
      <c r="AC6" s="7">
        <f>AC$2*(Underlying*EXP(-DividendYield*TimeToExpiration)*_xlfn.NORM.DIST(AC$2*(LN(Underlying/$H6)+(RiskFreeRate-DividendYield+0.5*AA6^2)*TimeToExpiration)/(AA6*TimeToExpiration^0.5), 0, 1, TRUE) - 
       $H6*EXP(-RiskFreeRate*TimeToExpiration)*_xlfn.NORM.DIST(AC$2*(LN(Underlying/$H6)+(RiskFreeRate-DividendYield-0.5*AA6^2)*TimeToExpiration)/(AA6*TimeToExpiration^0.5), 0, 1, TRUE)
)</f>
        <v>42.00940081</v>
      </c>
      <c r="AD6" s="7">
        <f>AD$2*(Underlying*EXP(-DividendYield*TimeToExpiration)*_xlfn.NORM.DIST(AD$2*(LN(Underlying/$H6)+(RiskFreeRate-DividendYield+0.5*AB6^2)*TimeToExpiration)/(AB6*TimeToExpiration^0.5), 0, 1, TRUE) - 
       $H6*EXP(-RiskFreeRate*TimeToExpiration)*_xlfn.NORM.DIST(AD$2*(LN(Underlying/$H6)+(RiskFreeRate-DividendYield-0.5*AB6^2)*TimeToExpiration)/(AB6*TimeToExpiration^0.5), 0, 1, TRUE)
)</f>
        <v>42.04460465</v>
      </c>
      <c r="AE6" s="40">
        <f t="shared" si="14"/>
        <v>0.1884375</v>
      </c>
      <c r="AF6" s="8">
        <f>AF$2*(Underlying*EXP(-DividendYield*TimeToExpiration)*_xlfn.NORM.DIST(AF$2*(LN(Underlying/$H6)+(RiskFreeRate-DividendYield+0.5*AE6^2)*TimeToExpiration)/(AE6*TimeToExpiration^0.5), 0, 1, TRUE) - 
       $H6*EXP(-RiskFreeRate*TimeToExpiration)*_xlfn.NORM.DIST(AF$2*(LN(Underlying/$H6)+(RiskFreeRate-DividendYield-0.5*AE6^2)*TimeToExpiration)/(AE6*TimeToExpiration^0.5), 0, 1, TRUE)
)</f>
        <v>42.00940137</v>
      </c>
      <c r="AG6" s="41">
        <f t="shared" si="15"/>
        <v>0.001</v>
      </c>
      <c r="AH6" s="40">
        <f t="shared" si="16"/>
        <v>0.1884375</v>
      </c>
      <c r="AI6" s="7">
        <f>AI$2*(Underlying*EXP(-DividendYield*TimeToExpiration)*_xlfn.NORM.DIST(AI$2*(LN(Underlying/$H6)+(RiskFreeRate-DividendYield+0.5*AG6^2)*TimeToExpiration)/(AG6*TimeToExpiration^0.5), 0, 1, TRUE) - 
       $H6*EXP(-RiskFreeRate*TimeToExpiration)*_xlfn.NORM.DIST(AI$2*(LN(Underlying/$H6)+(RiskFreeRate-DividendYield-0.5*AG6^2)*TimeToExpiration)/(AG6*TimeToExpiration^0.5), 0, 1, TRUE)
)</f>
        <v>42.00940081</v>
      </c>
      <c r="AJ6" s="7">
        <f>AJ$2*(Underlying*EXP(-DividendYield*TimeToExpiration)*_xlfn.NORM.DIST(AJ$2*(LN(Underlying/$H6)+(RiskFreeRate-DividendYield+0.5*AH6^2)*TimeToExpiration)/(AH6*TimeToExpiration^0.5), 0, 1, TRUE) - 
       $H6*EXP(-RiskFreeRate*TimeToExpiration)*_xlfn.NORM.DIST(AJ$2*(LN(Underlying/$H6)+(RiskFreeRate-DividendYield-0.5*AH6^2)*TimeToExpiration)/(AH6*TimeToExpiration^0.5), 0, 1, TRUE)
)</f>
        <v>42.00940137</v>
      </c>
      <c r="AK6" s="40">
        <f t="shared" si="17"/>
        <v>0.09471875</v>
      </c>
      <c r="AL6" s="8">
        <f>AL$2*(Underlying*EXP(-DividendYield*TimeToExpiration)*_xlfn.NORM.DIST(AL$2*(LN(Underlying/$H6)+(RiskFreeRate-DividendYield+0.5*AK6^2)*TimeToExpiration)/(AK6*TimeToExpiration^0.5), 0, 1, TRUE) - 
       $H6*EXP(-RiskFreeRate*TimeToExpiration)*_xlfn.NORM.DIST(AL$2*(LN(Underlying/$H6)+(RiskFreeRate-DividendYield-0.5*AK6^2)*TimeToExpiration)/(AK6*TimeToExpiration^0.5), 0, 1, TRUE)
)</f>
        <v>42.00940081</v>
      </c>
      <c r="AM6" s="41">
        <f t="shared" si="18"/>
        <v>0.001</v>
      </c>
      <c r="AN6" s="40">
        <f t="shared" si="19"/>
        <v>0.09471875</v>
      </c>
      <c r="AO6" s="7">
        <f>AO$2*(Underlying*EXP(-DividendYield*TimeToExpiration)*_xlfn.NORM.DIST(AO$2*(LN(Underlying/$H6)+(RiskFreeRate-DividendYield+0.5*AM6^2)*TimeToExpiration)/(AM6*TimeToExpiration^0.5), 0, 1, TRUE) - 
       $H6*EXP(-RiskFreeRate*TimeToExpiration)*_xlfn.NORM.DIST(AO$2*(LN(Underlying/$H6)+(RiskFreeRate-DividendYield-0.5*AM6^2)*TimeToExpiration)/(AM6*TimeToExpiration^0.5), 0, 1, TRUE)
)</f>
        <v>42.00940081</v>
      </c>
      <c r="AP6" s="7">
        <f>AP$2*(Underlying*EXP(-DividendYield*TimeToExpiration)*_xlfn.NORM.DIST(AP$2*(LN(Underlying/$H6)+(RiskFreeRate-DividendYield+0.5*AN6^2)*TimeToExpiration)/(AN6*TimeToExpiration^0.5), 0, 1, TRUE) - 
       $H6*EXP(-RiskFreeRate*TimeToExpiration)*_xlfn.NORM.DIST(AP$2*(LN(Underlying/$H6)+(RiskFreeRate-DividendYield-0.5*AN6^2)*TimeToExpiration)/(AN6*TimeToExpiration^0.5), 0, 1, TRUE)
)</f>
        <v>42.00940081</v>
      </c>
      <c r="AQ6" s="40">
        <f t="shared" si="20"/>
        <v>0.047859375</v>
      </c>
      <c r="AR6" s="8">
        <f>AR$2*(Underlying*EXP(-DividendYield*TimeToExpiration)*_xlfn.NORM.DIST(AR$2*(LN(Underlying/$H6)+(RiskFreeRate-DividendYield+0.5*AQ6^2)*TimeToExpiration)/(AQ6*TimeToExpiration^0.5), 0, 1, TRUE) - 
       $H6*EXP(-RiskFreeRate*TimeToExpiration)*_xlfn.NORM.DIST(AR$2*(LN(Underlying/$H6)+(RiskFreeRate-DividendYield-0.5*AQ6^2)*TimeToExpiration)/(AQ6*TimeToExpiration^0.5), 0, 1, TRUE)
)</f>
        <v>42.00940081</v>
      </c>
      <c r="AS6" s="41">
        <f t="shared" si="21"/>
        <v>0.001</v>
      </c>
      <c r="AT6" s="40">
        <f t="shared" si="22"/>
        <v>0.047859375</v>
      </c>
      <c r="AU6" s="7">
        <f>AU$2*(Underlying*EXP(-DividendYield*TimeToExpiration)*_xlfn.NORM.DIST(AU$2*(LN(Underlying/$H6)+(RiskFreeRate-DividendYield+0.5*AS6^2)*TimeToExpiration)/(AS6*TimeToExpiration^0.5), 0, 1, TRUE) - 
       $H6*EXP(-RiskFreeRate*TimeToExpiration)*_xlfn.NORM.DIST(AU$2*(LN(Underlying/$H6)+(RiskFreeRate-DividendYield-0.5*AS6^2)*TimeToExpiration)/(AS6*TimeToExpiration^0.5), 0, 1, TRUE)
)</f>
        <v>42.00940081</v>
      </c>
      <c r="AV6" s="7">
        <f>AV$2*(Underlying*EXP(-DividendYield*TimeToExpiration)*_xlfn.NORM.DIST(AV$2*(LN(Underlying/$H6)+(RiskFreeRate-DividendYield+0.5*AT6^2)*TimeToExpiration)/(AT6*TimeToExpiration^0.5), 0, 1, TRUE) - 
       $H6*EXP(-RiskFreeRate*TimeToExpiration)*_xlfn.NORM.DIST(AV$2*(LN(Underlying/$H6)+(RiskFreeRate-DividendYield-0.5*AT6^2)*TimeToExpiration)/(AT6*TimeToExpiration^0.5), 0, 1, TRUE)
)</f>
        <v>42.00940081</v>
      </c>
      <c r="AW6" s="40">
        <f t="shared" si="23"/>
        <v>0.0244296875</v>
      </c>
      <c r="AX6" s="8">
        <f>AX$2*(Underlying*EXP(-DividendYield*TimeToExpiration)*_xlfn.NORM.DIST(AX$2*(LN(Underlying/$H6)+(RiskFreeRate-DividendYield+0.5*AW6^2)*TimeToExpiration)/(AW6*TimeToExpiration^0.5), 0, 1, TRUE) - 
       $H6*EXP(-RiskFreeRate*TimeToExpiration)*_xlfn.NORM.DIST(AX$2*(LN(Underlying/$H6)+(RiskFreeRate-DividendYield-0.5*AW6^2)*TimeToExpiration)/(AW6*TimeToExpiration^0.5), 0, 1, TRUE)
)</f>
        <v>42.00940081</v>
      </c>
      <c r="AY6" s="41">
        <f t="shared" si="24"/>
        <v>0.001</v>
      </c>
      <c r="AZ6" s="40">
        <f t="shared" si="25"/>
        <v>0.0244296875</v>
      </c>
      <c r="BA6" s="7">
        <f>BA$2*(Underlying*EXP(-DividendYield*TimeToExpiration)*_xlfn.NORM.DIST(BA$2*(LN(Underlying/$H6)+(RiskFreeRate-DividendYield+0.5*AY6^2)*TimeToExpiration)/(AY6*TimeToExpiration^0.5), 0, 1, TRUE) - 
       $H6*EXP(-RiskFreeRate*TimeToExpiration)*_xlfn.NORM.DIST(BA$2*(LN(Underlying/$H6)+(RiskFreeRate-DividendYield-0.5*AY6^2)*TimeToExpiration)/(AY6*TimeToExpiration^0.5), 0, 1, TRUE)
)</f>
        <v>42.00940081</v>
      </c>
      <c r="BB6" s="7">
        <f>BB$2*(Underlying*EXP(-DividendYield*TimeToExpiration)*_xlfn.NORM.DIST(BB$2*(LN(Underlying/$H6)+(RiskFreeRate-DividendYield+0.5*AZ6^2)*TimeToExpiration)/(AZ6*TimeToExpiration^0.5), 0, 1, TRUE) - 
       $H6*EXP(-RiskFreeRate*TimeToExpiration)*_xlfn.NORM.DIST(BB$2*(LN(Underlying/$H6)+(RiskFreeRate-DividendYield-0.5*AZ6^2)*TimeToExpiration)/(AZ6*TimeToExpiration^0.5), 0, 1, TRUE)
)</f>
        <v>42.00940081</v>
      </c>
      <c r="BC6" s="40">
        <f t="shared" si="26"/>
        <v>0.01271484375</v>
      </c>
      <c r="BD6" s="8">
        <f>BD$2*(Underlying*EXP(-DividendYield*TimeToExpiration)*_xlfn.NORM.DIST(BD$2*(LN(Underlying/$H6)+(RiskFreeRate-DividendYield+0.5*BC6^2)*TimeToExpiration)/(BC6*TimeToExpiration^0.5), 0, 1, TRUE) - 
       $H6*EXP(-RiskFreeRate*TimeToExpiration)*_xlfn.NORM.DIST(BD$2*(LN(Underlying/$H6)+(RiskFreeRate-DividendYield-0.5*BC6^2)*TimeToExpiration)/(BC6*TimeToExpiration^0.5), 0, 1, TRUE)
)</f>
        <v>42.00940081</v>
      </c>
      <c r="BE6" s="41">
        <f t="shared" si="27"/>
        <v>0.001</v>
      </c>
      <c r="BF6" s="40">
        <f t="shared" si="28"/>
        <v>0.01271484375</v>
      </c>
      <c r="BG6" s="7">
        <f>BG$2*(Underlying*EXP(-DividendYield*TimeToExpiration)*_xlfn.NORM.DIST(BG$2*(LN(Underlying/$H6)+(RiskFreeRate-DividendYield+0.5*BE6^2)*TimeToExpiration)/(BE6*TimeToExpiration^0.5), 0, 1, TRUE) - 
       $H6*EXP(-RiskFreeRate*TimeToExpiration)*_xlfn.NORM.DIST(BG$2*(LN(Underlying/$H6)+(RiskFreeRate-DividendYield-0.5*BE6^2)*TimeToExpiration)/(BE6*TimeToExpiration^0.5), 0, 1, TRUE)
)</f>
        <v>42.00940081</v>
      </c>
      <c r="BH6" s="7">
        <f>BH$2*(Underlying*EXP(-DividendYield*TimeToExpiration)*_xlfn.NORM.DIST(BH$2*(LN(Underlying/$H6)+(RiskFreeRate-DividendYield+0.5*BF6^2)*TimeToExpiration)/(BF6*TimeToExpiration^0.5), 0, 1, TRUE) - 
       $H6*EXP(-RiskFreeRate*TimeToExpiration)*_xlfn.NORM.DIST(BH$2*(LN(Underlying/$H6)+(RiskFreeRate-DividendYield-0.5*BF6^2)*TimeToExpiration)/(BF6*TimeToExpiration^0.5), 0, 1, TRUE)
)</f>
        <v>42.00940081</v>
      </c>
      <c r="BI6" s="40">
        <f t="shared" si="29"/>
        <v>0.006857421875</v>
      </c>
      <c r="BJ6" s="8">
        <f>BJ$2*(Underlying*EXP(-DividendYield*TimeToExpiration)*_xlfn.NORM.DIST(BJ$2*(LN(Underlying/$H6)+(RiskFreeRate-DividendYield+0.5*BI6^2)*TimeToExpiration)/(BI6*TimeToExpiration^0.5), 0, 1, TRUE) - 
       $H6*EXP(-RiskFreeRate*TimeToExpiration)*_xlfn.NORM.DIST(BJ$2*(LN(Underlying/$H6)+(RiskFreeRate-DividendYield-0.5*BI6^2)*TimeToExpiration)/(BI6*TimeToExpiration^0.5), 0, 1, TRUE)
)</f>
        <v>42.00940081</v>
      </c>
      <c r="BK6" s="41">
        <f t="shared" si="30"/>
        <v>0.001</v>
      </c>
      <c r="BL6" s="40">
        <f t="shared" si="31"/>
        <v>0.006857421875</v>
      </c>
      <c r="BM6" s="7">
        <f>BM$2*(Underlying*EXP(-DividendYield*TimeToExpiration)*_xlfn.NORM.DIST(BM$2*(LN(Underlying/$H6)+(RiskFreeRate-DividendYield+0.5*BK6^2)*TimeToExpiration)/(BK6*TimeToExpiration^0.5), 0, 1, TRUE) - 
       $H6*EXP(-RiskFreeRate*TimeToExpiration)*_xlfn.NORM.DIST(BM$2*(LN(Underlying/$H6)+(RiskFreeRate-DividendYield-0.5*BK6^2)*TimeToExpiration)/(BK6*TimeToExpiration^0.5), 0, 1, TRUE)
)</f>
        <v>42.00940081</v>
      </c>
      <c r="BN6" s="7">
        <f>BN$2*(Underlying*EXP(-DividendYield*TimeToExpiration)*_xlfn.NORM.DIST(BN$2*(LN(Underlying/$H6)+(RiskFreeRate-DividendYield+0.5*BL6^2)*TimeToExpiration)/(BL6*TimeToExpiration^0.5), 0, 1, TRUE) - 
       $H6*EXP(-RiskFreeRate*TimeToExpiration)*_xlfn.NORM.DIST(BN$2*(LN(Underlying/$H6)+(RiskFreeRate-DividendYield-0.5*BL6^2)*TimeToExpiration)/(BL6*TimeToExpiration^0.5), 0, 1, TRUE)
)</f>
        <v>42.00940081</v>
      </c>
      <c r="BO6" s="40">
        <f t="shared" si="32"/>
        <v>0.003928710938</v>
      </c>
      <c r="BP6" s="8">
        <f>BP$2*(Underlying*EXP(-DividendYield*TimeToExpiration)*_xlfn.NORM.DIST(BP$2*(LN(Underlying/$H6)+(RiskFreeRate-DividendYield+0.5*BO6^2)*TimeToExpiration)/(BO6*TimeToExpiration^0.5), 0, 1, TRUE) - 
       $H6*EXP(-RiskFreeRate*TimeToExpiration)*_xlfn.NORM.DIST(BP$2*(LN(Underlying/$H6)+(RiskFreeRate-DividendYield-0.5*BO6^2)*TimeToExpiration)/(BO6*TimeToExpiration^0.5), 0, 1, TRUE)
)</f>
        <v>42.00940081</v>
      </c>
      <c r="BQ6" s="41">
        <f t="shared" si="33"/>
        <v>0.001</v>
      </c>
      <c r="BR6" s="40">
        <f t="shared" si="34"/>
        <v>0.003928710938</v>
      </c>
      <c r="BS6" s="7">
        <f>BS$2*(Underlying*EXP(-DividendYield*TimeToExpiration)*_xlfn.NORM.DIST(BS$2*(LN(Underlying/$H6)+(RiskFreeRate-DividendYield+0.5*BQ6^2)*TimeToExpiration)/(BQ6*TimeToExpiration^0.5), 0, 1, TRUE) - 
       $H6*EXP(-RiskFreeRate*TimeToExpiration)*_xlfn.NORM.DIST(BS$2*(LN(Underlying/$H6)+(RiskFreeRate-DividendYield-0.5*BQ6^2)*TimeToExpiration)/(BQ6*TimeToExpiration^0.5), 0, 1, TRUE)
)</f>
        <v>42.00940081</v>
      </c>
      <c r="BT6" s="7">
        <f>BT$2*(Underlying*EXP(-DividendYield*TimeToExpiration)*_xlfn.NORM.DIST(BT$2*(LN(Underlying/$H6)+(RiskFreeRate-DividendYield+0.5*BR6^2)*TimeToExpiration)/(BR6*TimeToExpiration^0.5), 0, 1, TRUE) - 
       $H6*EXP(-RiskFreeRate*TimeToExpiration)*_xlfn.NORM.DIST(BT$2*(LN(Underlying/$H6)+(RiskFreeRate-DividendYield-0.5*BR6^2)*TimeToExpiration)/(BR6*TimeToExpiration^0.5), 0, 1, TRUE)
)</f>
        <v>42.00940081</v>
      </c>
      <c r="BU6" s="40">
        <f t="shared" si="35"/>
        <v>0.002464355469</v>
      </c>
      <c r="BV6" s="8">
        <f>BV$2*(Underlying*EXP(-DividendYield*TimeToExpiration)*_xlfn.NORM.DIST(BV$2*(LN(Underlying/$H6)+(RiskFreeRate-DividendYield+0.5*BU6^2)*TimeToExpiration)/(BU6*TimeToExpiration^0.5), 0, 1, TRUE) - 
       $H6*EXP(-RiskFreeRate*TimeToExpiration)*_xlfn.NORM.DIST(BV$2*(LN(Underlying/$H6)+(RiskFreeRate-DividendYield-0.5*BU6^2)*TimeToExpiration)/(BU6*TimeToExpiration^0.5), 0, 1, TRUE)
)</f>
        <v>42.00940081</v>
      </c>
      <c r="BW6" s="41">
        <f t="shared" si="36"/>
        <v>0.001</v>
      </c>
      <c r="BX6" s="40">
        <f t="shared" si="37"/>
        <v>0.002464355469</v>
      </c>
      <c r="BY6" s="7">
        <f>BY$2*(Underlying*EXP(-DividendYield*TimeToExpiration)*_xlfn.NORM.DIST(BY$2*(LN(Underlying/$H6)+(RiskFreeRate-DividendYield+0.5*BW6^2)*TimeToExpiration)/(BW6*TimeToExpiration^0.5), 0, 1, TRUE) - 
       $H6*EXP(-RiskFreeRate*TimeToExpiration)*_xlfn.NORM.DIST(BY$2*(LN(Underlying/$H6)+(RiskFreeRate-DividendYield-0.5*BW6^2)*TimeToExpiration)/(BW6*TimeToExpiration^0.5), 0, 1, TRUE)
)</f>
        <v>42.00940081</v>
      </c>
      <c r="BZ6" s="7">
        <f>BZ$2*(Underlying*EXP(-DividendYield*TimeToExpiration)*_xlfn.NORM.DIST(BZ$2*(LN(Underlying/$H6)+(RiskFreeRate-DividendYield+0.5*BX6^2)*TimeToExpiration)/(BX6*TimeToExpiration^0.5), 0, 1, TRUE) - 
       $H6*EXP(-RiskFreeRate*TimeToExpiration)*_xlfn.NORM.DIST(BZ$2*(LN(Underlying/$H6)+(RiskFreeRate-DividendYield-0.5*BX6^2)*TimeToExpiration)/(BX6*TimeToExpiration^0.5), 0, 1, TRUE)
)</f>
        <v>42.00940081</v>
      </c>
      <c r="CA6" s="40">
        <f t="shared" si="38"/>
        <v>0.001732177734</v>
      </c>
      <c r="CB6" s="8">
        <f>CB$2*(Underlying*EXP(-DividendYield*TimeToExpiration)*_xlfn.NORM.DIST(CB$2*(LN(Underlying/$H6)+(RiskFreeRate-DividendYield+0.5*CA6^2)*TimeToExpiration)/(CA6*TimeToExpiration^0.5), 0, 1, TRUE) - 
       $H6*EXP(-RiskFreeRate*TimeToExpiration)*_xlfn.NORM.DIST(CB$2*(LN(Underlying/$H6)+(RiskFreeRate-DividendYield-0.5*CA6^2)*TimeToExpiration)/(CA6*TimeToExpiration^0.5), 0, 1, TRUE)
)</f>
        <v>42.00940081</v>
      </c>
      <c r="CC6" s="41">
        <f t="shared" si="39"/>
        <v>0.001</v>
      </c>
      <c r="CD6" s="40">
        <f t="shared" si="40"/>
        <v>0.001732177734</v>
      </c>
      <c r="CE6" s="7">
        <f>CE$2*(Underlying*EXP(-DividendYield*TimeToExpiration)*_xlfn.NORM.DIST(CE$2*(LN(Underlying/$H6)+(RiskFreeRate-DividendYield+0.5*CC6^2)*TimeToExpiration)/(CC6*TimeToExpiration^0.5), 0, 1, TRUE) - 
       $H6*EXP(-RiskFreeRate*TimeToExpiration)*_xlfn.NORM.DIST(CE$2*(LN(Underlying/$H6)+(RiskFreeRate-DividendYield-0.5*CC6^2)*TimeToExpiration)/(CC6*TimeToExpiration^0.5), 0, 1, TRUE)
)</f>
        <v>42.00940081</v>
      </c>
      <c r="CF6" s="7">
        <f>CF$2*(Underlying*EXP(-DividendYield*TimeToExpiration)*_xlfn.NORM.DIST(CF$2*(LN(Underlying/$H6)+(RiskFreeRate-DividendYield+0.5*CD6^2)*TimeToExpiration)/(CD6*TimeToExpiration^0.5), 0, 1, TRUE) - 
       $H6*EXP(-RiskFreeRate*TimeToExpiration)*_xlfn.NORM.DIST(CF$2*(LN(Underlying/$H6)+(RiskFreeRate-DividendYield-0.5*CD6^2)*TimeToExpiration)/(CD6*TimeToExpiration^0.5), 0, 1, TRUE)
)</f>
        <v>42.00940081</v>
      </c>
      <c r="CG6" s="40">
        <f t="shared" si="41"/>
        <v>0.001366088867</v>
      </c>
      <c r="CH6" s="8">
        <f>CH$2*(Underlying*EXP(-DividendYield*TimeToExpiration)*_xlfn.NORM.DIST(CH$2*(LN(Underlying/$H6)+(RiskFreeRate-DividendYield+0.5*CG6^2)*TimeToExpiration)/(CG6*TimeToExpiration^0.5), 0, 1, TRUE) - 
       $H6*EXP(-RiskFreeRate*TimeToExpiration)*_xlfn.NORM.DIST(CH$2*(LN(Underlying/$H6)+(RiskFreeRate-DividendYield-0.5*CG6^2)*TimeToExpiration)/(CG6*TimeToExpiration^0.5), 0, 1, TRUE)
)</f>
        <v>42.00940081</v>
      </c>
      <c r="CI6" s="41">
        <f t="shared" si="42"/>
        <v>0.001</v>
      </c>
      <c r="CJ6" s="40">
        <f t="shared" si="43"/>
        <v>0.001366088867</v>
      </c>
      <c r="CK6" s="7">
        <f>CK$2*(Underlying*EXP(-DividendYield*TimeToExpiration)*_xlfn.NORM.DIST(CK$2*(LN(Underlying/$H6)+(RiskFreeRate-DividendYield+0.5*CI6^2)*TimeToExpiration)/(CI6*TimeToExpiration^0.5), 0, 1, TRUE) - 
       $H6*EXP(-RiskFreeRate*TimeToExpiration)*_xlfn.NORM.DIST(CK$2*(LN(Underlying/$H6)+(RiskFreeRate-DividendYield-0.5*CI6^2)*TimeToExpiration)/(CI6*TimeToExpiration^0.5), 0, 1, TRUE)
)</f>
        <v>42.00940081</v>
      </c>
      <c r="CL6" s="7">
        <f>CL$2*(Underlying*EXP(-DividendYield*TimeToExpiration)*_xlfn.NORM.DIST(CL$2*(LN(Underlying/$H6)+(RiskFreeRate-DividendYield+0.5*CJ6^2)*TimeToExpiration)/(CJ6*TimeToExpiration^0.5), 0, 1, TRUE) - 
       $H6*EXP(-RiskFreeRate*TimeToExpiration)*_xlfn.NORM.DIST(CL$2*(LN(Underlying/$H6)+(RiskFreeRate-DividendYield-0.5*CJ6^2)*TimeToExpiration)/(CJ6*TimeToExpiration^0.5), 0, 1, TRUE)
)</f>
        <v>42.00940081</v>
      </c>
      <c r="CM6" s="40">
        <f t="shared" si="44"/>
        <v>0.001183044434</v>
      </c>
      <c r="CN6" s="8">
        <f>CN$2*(Underlying*EXP(-DividendYield*TimeToExpiration)*_xlfn.NORM.DIST(CN$2*(LN(Underlying/$H6)+(RiskFreeRate-DividendYield+0.5*CM6^2)*TimeToExpiration)/(CM6*TimeToExpiration^0.5), 0, 1, TRUE) - 
       $H6*EXP(-RiskFreeRate*TimeToExpiration)*_xlfn.NORM.DIST(CN$2*(LN(Underlying/$H6)+(RiskFreeRate-DividendYield-0.5*CM6^2)*TimeToExpiration)/(CM6*TimeToExpiration^0.5), 0, 1, TRUE)
)</f>
        <v>42.00940081</v>
      </c>
      <c r="CO6" s="41">
        <f t="shared" si="45"/>
        <v>0.001</v>
      </c>
      <c r="CP6" s="40">
        <f t="shared" si="46"/>
        <v>0.001183044434</v>
      </c>
      <c r="CQ6" s="7">
        <f>CQ$2*(Underlying*EXP(-DividendYield*TimeToExpiration)*_xlfn.NORM.DIST(CQ$2*(LN(Underlying/$H6)+(RiskFreeRate-DividendYield+0.5*CO6^2)*TimeToExpiration)/(CO6*TimeToExpiration^0.5), 0, 1, TRUE) - 
       $H6*EXP(-RiskFreeRate*TimeToExpiration)*_xlfn.NORM.DIST(CQ$2*(LN(Underlying/$H6)+(RiskFreeRate-DividendYield-0.5*CO6^2)*TimeToExpiration)/(CO6*TimeToExpiration^0.5), 0, 1, TRUE)
)</f>
        <v>42.00940081</v>
      </c>
      <c r="CR6" s="7">
        <f>CR$2*(Underlying*EXP(-DividendYield*TimeToExpiration)*_xlfn.NORM.DIST(CR$2*(LN(Underlying/$H6)+(RiskFreeRate-DividendYield+0.5*CP6^2)*TimeToExpiration)/(CP6*TimeToExpiration^0.5), 0, 1, TRUE) - 
       $H6*EXP(-RiskFreeRate*TimeToExpiration)*_xlfn.NORM.DIST(CR$2*(LN(Underlying/$H6)+(RiskFreeRate-DividendYield-0.5*CP6^2)*TimeToExpiration)/(CP6*TimeToExpiration^0.5), 0, 1, TRUE)
)</f>
        <v>42.00940081</v>
      </c>
      <c r="CS6" s="40">
        <f t="shared" si="47"/>
        <v>0.001091522217</v>
      </c>
      <c r="CT6" s="8">
        <f>CT$2*(Underlying*EXP(-DividendYield*TimeToExpiration)*_xlfn.NORM.DIST(CT$2*(LN(Underlying/$H6)+(RiskFreeRate-DividendYield+0.5*CS6^2)*TimeToExpiration)/(CS6*TimeToExpiration^0.5), 0, 1, TRUE) - 
       $H6*EXP(-RiskFreeRate*TimeToExpiration)*_xlfn.NORM.DIST(CT$2*(LN(Underlying/$H6)+(RiskFreeRate-DividendYield-0.5*CS6^2)*TimeToExpiration)/(CS6*TimeToExpiration^0.5), 0, 1, TRUE)
)</f>
        <v>42.00940081</v>
      </c>
      <c r="CU6" s="41">
        <f t="shared" si="48"/>
        <v>0.001</v>
      </c>
      <c r="CV6" s="40">
        <f t="shared" si="49"/>
        <v>0.001091522217</v>
      </c>
      <c r="CW6" s="7">
        <f>CW$2*(Underlying*EXP(-DividendYield*TimeToExpiration)*_xlfn.NORM.DIST(CW$2*(LN(Underlying/$H6)+(RiskFreeRate-DividendYield+0.5*CU6^2)*TimeToExpiration)/(CU6*TimeToExpiration^0.5), 0, 1, TRUE) - 
       $H6*EXP(-RiskFreeRate*TimeToExpiration)*_xlfn.NORM.DIST(CW$2*(LN(Underlying/$H6)+(RiskFreeRate-DividendYield-0.5*CU6^2)*TimeToExpiration)/(CU6*TimeToExpiration^0.5), 0, 1, TRUE)
)</f>
        <v>42.00940081</v>
      </c>
      <c r="CX6" s="7">
        <f>CX$2*(Underlying*EXP(-DividendYield*TimeToExpiration)*_xlfn.NORM.DIST(CX$2*(LN(Underlying/$H6)+(RiskFreeRate-DividendYield+0.5*CV6^2)*TimeToExpiration)/(CV6*TimeToExpiration^0.5), 0, 1, TRUE) - 
       $H6*EXP(-RiskFreeRate*TimeToExpiration)*_xlfn.NORM.DIST(CX$2*(LN(Underlying/$H6)+(RiskFreeRate-DividendYield-0.5*CV6^2)*TimeToExpiration)/(CV6*TimeToExpiration^0.5), 0, 1, TRUE)
)</f>
        <v>42.00940081</v>
      </c>
      <c r="CY6" s="40">
        <f t="shared" si="50"/>
        <v>0.001045761108</v>
      </c>
      <c r="CZ6" s="8">
        <f>CZ$2*(Underlying*EXP(-DividendYield*TimeToExpiration)*_xlfn.NORM.DIST(CZ$2*(LN(Underlying/$H6)+(RiskFreeRate-DividendYield+0.5*CY6^2)*TimeToExpiration)/(CY6*TimeToExpiration^0.5), 0, 1, TRUE) - 
       $H6*EXP(-RiskFreeRate*TimeToExpiration)*_xlfn.NORM.DIST(CZ$2*(LN(Underlying/$H6)+(RiskFreeRate-DividendYield-0.5*CY6^2)*TimeToExpiration)/(CY6*TimeToExpiration^0.5), 0, 1, TRUE)
)</f>
        <v>42.00940081</v>
      </c>
      <c r="DA6" s="41">
        <f t="shared" si="51"/>
        <v>0.001</v>
      </c>
      <c r="DB6" s="40">
        <f t="shared" si="52"/>
        <v>0.001045761108</v>
      </c>
      <c r="DC6" s="7">
        <f>DC$2*(Underlying*EXP(-DividendYield*TimeToExpiration)*_xlfn.NORM.DIST(DC$2*(LN(Underlying/$H6)+(RiskFreeRate-DividendYield+0.5*DA6^2)*TimeToExpiration)/(DA6*TimeToExpiration^0.5), 0, 1, TRUE) - 
       $H6*EXP(-RiskFreeRate*TimeToExpiration)*_xlfn.NORM.DIST(DC$2*(LN(Underlying/$H6)+(RiskFreeRate-DividendYield-0.5*DA6^2)*TimeToExpiration)/(DA6*TimeToExpiration^0.5), 0, 1, TRUE)
)</f>
        <v>42.00940081</v>
      </c>
      <c r="DD6" s="7">
        <f>DD$2*(Underlying*EXP(-DividendYield*TimeToExpiration)*_xlfn.NORM.DIST(DD$2*(LN(Underlying/$H6)+(RiskFreeRate-DividendYield+0.5*DB6^2)*TimeToExpiration)/(DB6*TimeToExpiration^0.5), 0, 1, TRUE) - 
       $H6*EXP(-RiskFreeRate*TimeToExpiration)*_xlfn.NORM.DIST(DD$2*(LN(Underlying/$H6)+(RiskFreeRate-DividendYield-0.5*DB6^2)*TimeToExpiration)/(DB6*TimeToExpiration^0.5), 0, 1, TRUE)
)</f>
        <v>42.00940081</v>
      </c>
      <c r="DE6" s="40">
        <f t="shared" si="53"/>
        <v>0.001022880554</v>
      </c>
      <c r="DF6" s="8">
        <f>DF$2*(Underlying*EXP(-DividendYield*TimeToExpiration)*_xlfn.NORM.DIST(DF$2*(LN(Underlying/$H6)+(RiskFreeRate-DividendYield+0.5*DE6^2)*TimeToExpiration)/(DE6*TimeToExpiration^0.5), 0, 1, TRUE) - 
       $H6*EXP(-RiskFreeRate*TimeToExpiration)*_xlfn.NORM.DIST(DF$2*(LN(Underlying/$H6)+(RiskFreeRate-DividendYield-0.5*DE6^2)*TimeToExpiration)/(DE6*TimeToExpiration^0.5), 0, 1, TRUE)
)</f>
        <v>42.00940081</v>
      </c>
    </row>
    <row r="7">
      <c r="A7" s="20">
        <f>'Option Mkt Data'!A7</f>
        <v>300</v>
      </c>
      <c r="B7" s="35">
        <f t="shared" ref="B7:C7" si="54">DE7</f>
        <v>0.5295636826</v>
      </c>
      <c r="C7" s="7">
        <f t="shared" si="54"/>
        <v>40.00003017</v>
      </c>
      <c r="D7" s="7">
        <f t="shared" si="3"/>
        <v>0.0000378022124</v>
      </c>
      <c r="E7" s="9">
        <f t="shared" si="4"/>
        <v>0.0000009450554904</v>
      </c>
      <c r="F7" s="36">
        <f>D7/'Option Mkt Data'!L7</f>
        <v>0.00009450336688</v>
      </c>
      <c r="G7" s="5">
        <f>'Option Mkt Data'!J7</f>
        <v>39.99999237</v>
      </c>
      <c r="H7" s="33">
        <f>'Option Mkt Data'!A7</f>
        <v>300</v>
      </c>
      <c r="I7" s="37">
        <f>MinSolverVola</f>
        <v>0.001</v>
      </c>
      <c r="J7" s="38">
        <f>MaxSolverVola</f>
        <v>3</v>
      </c>
      <c r="K7" s="39">
        <f>K$2*(Underlying*EXP(-DividendYield*TimeToExpiration)*_xlfn.NORM.DIST(K$2*(LN(Underlying/$H7)+(RiskFreeRate-DividendYield+0.5*I7^2)*TimeToExpiration)/(I7*TimeToExpiration^0.5), 0, 1, TRUE) - 
       $H7*EXP(-RiskFreeRate*TimeToExpiration)*_xlfn.NORM.DIST(K$2*(LN(Underlying/$H7)+(RiskFreeRate-DividendYield-0.5*I7^2)*TimeToExpiration)/(I7*TimeToExpiration^0.5), 0, 1, TRUE)
)</f>
        <v>39.51158065</v>
      </c>
      <c r="L7" s="7">
        <f>L$2*(Underlying*EXP(-DividendYield*TimeToExpiration)*_xlfn.NORM.DIST(L$2*(LN(Underlying/$H7)+(RiskFreeRate-DividendYield+0.5*J7^2)*TimeToExpiration)/(J7*TimeToExpiration^0.5), 0, 1, TRUE) - 
       $H7*EXP(-RiskFreeRate*TimeToExpiration)*_xlfn.NORM.DIST(L$2*(LN(Underlying/$H7)+(RiskFreeRate-DividendYield-0.5*J7^2)*TimeToExpiration)/(J7*TimeToExpiration^0.5), 0, 1, TRUE)
)</f>
        <v>75.65966965</v>
      </c>
      <c r="M7" s="40">
        <f t="shared" si="5"/>
        <v>1.5005</v>
      </c>
      <c r="N7" s="8">
        <f>N$2*(Underlying*EXP(-DividendYield*TimeToExpiration)*_xlfn.NORM.DIST(N$2*(LN(Underlying/$H7)+(RiskFreeRate-DividendYield+0.5*M7^2)*TimeToExpiration)/(M7*TimeToExpiration^0.5), 0, 1, TRUE) - 
       $H7*EXP(-RiskFreeRate*TimeToExpiration)*_xlfn.NORM.DIST(N$2*(LN(Underlying/$H7)+(RiskFreeRate-DividendYield-0.5*M7^2)*TimeToExpiration)/(M7*TimeToExpiration^0.5), 0, 1, TRUE)
)</f>
        <v>51.19771509</v>
      </c>
      <c r="O7" s="41">
        <f t="shared" si="6"/>
        <v>0.001</v>
      </c>
      <c r="P7" s="40">
        <f t="shared" si="7"/>
        <v>1.5005</v>
      </c>
      <c r="Q7" s="7">
        <f>Q$2*(Underlying*EXP(-DividendYield*TimeToExpiration)*_xlfn.NORM.DIST(Q$2*(LN(Underlying/$H7)+(RiskFreeRate-DividendYield+0.5*O7^2)*TimeToExpiration)/(O7*TimeToExpiration^0.5), 0, 1, TRUE) - 
       $H7*EXP(-RiskFreeRate*TimeToExpiration)*_xlfn.NORM.DIST(Q$2*(LN(Underlying/$H7)+(RiskFreeRate-DividendYield-0.5*O7^2)*TimeToExpiration)/(O7*TimeToExpiration^0.5), 0, 1, TRUE))</f>
        <v>39.51158065</v>
      </c>
      <c r="R7" s="7">
        <f>R$2*(Underlying*EXP(-DividendYield*TimeToExpiration)*_xlfn.NORM.DIST(R$2*(LN(Underlying/$H7)+(RiskFreeRate-DividendYield+0.5*P7^2)*TimeToExpiration)/(P7*TimeToExpiration^0.5), 0, 1, TRUE) - 
       $H7*EXP(-RiskFreeRate*TimeToExpiration)*_xlfn.NORM.DIST(R$2*(LN(Underlying/$H7)+(RiskFreeRate-DividendYield-0.5*P7^2)*TimeToExpiration)/(P7*TimeToExpiration^0.5), 0, 1, TRUE)
)</f>
        <v>51.19771509</v>
      </c>
      <c r="S7" s="40">
        <f t="shared" si="8"/>
        <v>0.75075</v>
      </c>
      <c r="T7" s="8">
        <f>T$2*(Underlying*EXP(-DividendYield*TimeToExpiration)*_xlfn.NORM.DIST(T$2*(LN(Underlying/$H7)+(RiskFreeRate-DividendYield+0.5*S7^2)*TimeToExpiration)/(S7*TimeToExpiration^0.5), 0, 1, TRUE) - 
       $H7*EXP(-RiskFreeRate*TimeToExpiration)*_xlfn.NORM.DIST(T$2*(LN(Underlying/$H7)+(RiskFreeRate-DividendYield-0.5*S7^2)*TimeToExpiration)/(S7*TimeToExpiration^0.5), 0, 1, TRUE)
)</f>
        <v>41.5438952</v>
      </c>
      <c r="U7" s="41">
        <f t="shared" si="9"/>
        <v>0.001</v>
      </c>
      <c r="V7" s="40">
        <f t="shared" si="10"/>
        <v>0.75075</v>
      </c>
      <c r="W7" s="7">
        <f>W$2*(Underlying*EXP(-DividendYield*TimeToExpiration)*_xlfn.NORM.DIST(W$2*(LN(Underlying/$H7)+(RiskFreeRate-DividendYield+0.5*U7^2)*TimeToExpiration)/(U7*TimeToExpiration^0.5), 0, 1, TRUE) - 
       $H7*EXP(-RiskFreeRate*TimeToExpiration)*_xlfn.NORM.DIST(W$2*(LN(Underlying/$H7)+(RiskFreeRate-DividendYield-0.5*U7^2)*TimeToExpiration)/(U7*TimeToExpiration^0.5), 0, 1, TRUE)
)</f>
        <v>39.51158065</v>
      </c>
      <c r="X7" s="7">
        <f>X$2*(Underlying*EXP(-DividendYield*TimeToExpiration)*_xlfn.NORM.DIST(X$2*(LN(Underlying/$H7)+(RiskFreeRate-DividendYield+0.5*V7^2)*TimeToExpiration)/(V7*TimeToExpiration^0.5), 0, 1, TRUE) - 
       $H7*EXP(-RiskFreeRate*TimeToExpiration)*_xlfn.NORM.DIST(X$2*(LN(Underlying/$H7)+(RiskFreeRate-DividendYield-0.5*V7^2)*TimeToExpiration)/(V7*TimeToExpiration^0.5), 0, 1, TRUE)
)</f>
        <v>41.5438952</v>
      </c>
      <c r="Y7" s="40">
        <f t="shared" si="11"/>
        <v>0.375875</v>
      </c>
      <c r="Z7" s="8">
        <f>Z$2*(Underlying*EXP(-DividendYield*TimeToExpiration)*_xlfn.NORM.DIST(Z$2*(LN(Underlying/$H7)+(RiskFreeRate-DividendYield+0.5*Y7^2)*TimeToExpiration)/(Y7*TimeToExpiration^0.5), 0, 1, TRUE) - 
       $H7*EXP(-RiskFreeRate*TimeToExpiration)*_xlfn.NORM.DIST(Z$2*(LN(Underlying/$H7)+(RiskFreeRate-DividendYield-0.5*Y7^2)*TimeToExpiration)/(Y7*TimeToExpiration^0.5), 0, 1, TRUE)
)</f>
        <v>39.56845578</v>
      </c>
      <c r="AA7" s="40">
        <f t="shared" si="12"/>
        <v>0.375875</v>
      </c>
      <c r="AB7" s="40">
        <f t="shared" si="13"/>
        <v>0.75075</v>
      </c>
      <c r="AC7" s="7">
        <f>AC$2*(Underlying*EXP(-DividendYield*TimeToExpiration)*_xlfn.NORM.DIST(AC$2*(LN(Underlying/$H7)+(RiskFreeRate-DividendYield+0.5*AA7^2)*TimeToExpiration)/(AA7*TimeToExpiration^0.5), 0, 1, TRUE) - 
       $H7*EXP(-RiskFreeRate*TimeToExpiration)*_xlfn.NORM.DIST(AC$2*(LN(Underlying/$H7)+(RiskFreeRate-DividendYield-0.5*AA7^2)*TimeToExpiration)/(AA7*TimeToExpiration^0.5), 0, 1, TRUE)
)</f>
        <v>39.56845578</v>
      </c>
      <c r="AD7" s="7">
        <f>AD$2*(Underlying*EXP(-DividendYield*TimeToExpiration)*_xlfn.NORM.DIST(AD$2*(LN(Underlying/$H7)+(RiskFreeRate-DividendYield+0.5*AB7^2)*TimeToExpiration)/(AB7*TimeToExpiration^0.5), 0, 1, TRUE) - 
       $H7*EXP(-RiskFreeRate*TimeToExpiration)*_xlfn.NORM.DIST(AD$2*(LN(Underlying/$H7)+(RiskFreeRate-DividendYield-0.5*AB7^2)*TimeToExpiration)/(AB7*TimeToExpiration^0.5), 0, 1, TRUE)
)</f>
        <v>41.5438952</v>
      </c>
      <c r="AE7" s="40">
        <f t="shared" si="14"/>
        <v>0.5633125</v>
      </c>
      <c r="AF7" s="8">
        <f>AF$2*(Underlying*EXP(-DividendYield*TimeToExpiration)*_xlfn.NORM.DIST(AF$2*(LN(Underlying/$H7)+(RiskFreeRate-DividendYield+0.5*AE7^2)*TimeToExpiration)/(AE7*TimeToExpiration^0.5), 0, 1, TRUE) - 
       $H7*EXP(-RiskFreeRate*TimeToExpiration)*_xlfn.NORM.DIST(AF$2*(LN(Underlying/$H7)+(RiskFreeRate-DividendYield-0.5*AE7^2)*TimeToExpiration)/(AE7*TimeToExpiration^0.5), 0, 1, TRUE)
)</f>
        <v>40.16802712</v>
      </c>
      <c r="AG7" s="40">
        <f t="shared" si="15"/>
        <v>0.375875</v>
      </c>
      <c r="AH7" s="40">
        <f t="shared" si="16"/>
        <v>0.5633125</v>
      </c>
      <c r="AI7" s="7">
        <f>AI$2*(Underlying*EXP(-DividendYield*TimeToExpiration)*_xlfn.NORM.DIST(AI$2*(LN(Underlying/$H7)+(RiskFreeRate-DividendYield+0.5*AG7^2)*TimeToExpiration)/(AG7*TimeToExpiration^0.5), 0, 1, TRUE) - 
       $H7*EXP(-RiskFreeRate*TimeToExpiration)*_xlfn.NORM.DIST(AI$2*(LN(Underlying/$H7)+(RiskFreeRate-DividendYield-0.5*AG7^2)*TimeToExpiration)/(AG7*TimeToExpiration^0.5), 0, 1, TRUE)
)</f>
        <v>39.56845578</v>
      </c>
      <c r="AJ7" s="7">
        <f>AJ$2*(Underlying*EXP(-DividendYield*TimeToExpiration)*_xlfn.NORM.DIST(AJ$2*(LN(Underlying/$H7)+(RiskFreeRate-DividendYield+0.5*AH7^2)*TimeToExpiration)/(AH7*TimeToExpiration^0.5), 0, 1, TRUE) - 
       $H7*EXP(-RiskFreeRate*TimeToExpiration)*_xlfn.NORM.DIST(AJ$2*(LN(Underlying/$H7)+(RiskFreeRate-DividendYield-0.5*AH7^2)*TimeToExpiration)/(AH7*TimeToExpiration^0.5), 0, 1, TRUE)
)</f>
        <v>40.16802712</v>
      </c>
      <c r="AK7" s="40">
        <f t="shared" si="17"/>
        <v>0.46959375</v>
      </c>
      <c r="AL7" s="8">
        <f>AL$2*(Underlying*EXP(-DividendYield*TimeToExpiration)*_xlfn.NORM.DIST(AL$2*(LN(Underlying/$H7)+(RiskFreeRate-DividendYield+0.5*AK7^2)*TimeToExpiration)/(AK7*TimeToExpiration^0.5), 0, 1, TRUE) - 
       $H7*EXP(-RiskFreeRate*TimeToExpiration)*_xlfn.NORM.DIST(AL$2*(LN(Underlying/$H7)+(RiskFreeRate-DividendYield-0.5*AK7^2)*TimeToExpiration)/(AK7*TimeToExpiration^0.5), 0, 1, TRUE)
)</f>
        <v>39.76793883</v>
      </c>
      <c r="AM7" s="40">
        <f t="shared" si="18"/>
        <v>0.46959375</v>
      </c>
      <c r="AN7" s="40">
        <f t="shared" si="19"/>
        <v>0.5633125</v>
      </c>
      <c r="AO7" s="7">
        <f>AO$2*(Underlying*EXP(-DividendYield*TimeToExpiration)*_xlfn.NORM.DIST(AO$2*(LN(Underlying/$H7)+(RiskFreeRate-DividendYield+0.5*AM7^2)*TimeToExpiration)/(AM7*TimeToExpiration^0.5), 0, 1, TRUE) - 
       $H7*EXP(-RiskFreeRate*TimeToExpiration)*_xlfn.NORM.DIST(AO$2*(LN(Underlying/$H7)+(RiskFreeRate-DividendYield-0.5*AM7^2)*TimeToExpiration)/(AM7*TimeToExpiration^0.5), 0, 1, TRUE)
)</f>
        <v>39.76793883</v>
      </c>
      <c r="AP7" s="7">
        <f>AP$2*(Underlying*EXP(-DividendYield*TimeToExpiration)*_xlfn.NORM.DIST(AP$2*(LN(Underlying/$H7)+(RiskFreeRate-DividendYield+0.5*AN7^2)*TimeToExpiration)/(AN7*TimeToExpiration^0.5), 0, 1, TRUE) - 
       $H7*EXP(-RiskFreeRate*TimeToExpiration)*_xlfn.NORM.DIST(AP$2*(LN(Underlying/$H7)+(RiskFreeRate-DividendYield-0.5*AN7^2)*TimeToExpiration)/(AN7*TimeToExpiration^0.5), 0, 1, TRUE)
)</f>
        <v>40.16802712</v>
      </c>
      <c r="AQ7" s="40">
        <f t="shared" si="20"/>
        <v>0.516453125</v>
      </c>
      <c r="AR7" s="8">
        <f>AR$2*(Underlying*EXP(-DividendYield*TimeToExpiration)*_xlfn.NORM.DIST(AR$2*(LN(Underlying/$H7)+(RiskFreeRate-DividendYield+0.5*AQ7^2)*TimeToExpiration)/(AQ7*TimeToExpiration^0.5), 0, 1, TRUE) - 
       $H7*EXP(-RiskFreeRate*TimeToExpiration)*_xlfn.NORM.DIST(AR$2*(LN(Underlying/$H7)+(RiskFreeRate-DividendYield-0.5*AQ7^2)*TimeToExpiration)/(AQ7*TimeToExpiration^0.5), 0, 1, TRUE)
)</f>
        <v>39.94199584</v>
      </c>
      <c r="AS7" s="40">
        <f t="shared" si="21"/>
        <v>0.516453125</v>
      </c>
      <c r="AT7" s="40">
        <f t="shared" si="22"/>
        <v>0.5633125</v>
      </c>
      <c r="AU7" s="7">
        <f>AU$2*(Underlying*EXP(-DividendYield*TimeToExpiration)*_xlfn.NORM.DIST(AU$2*(LN(Underlying/$H7)+(RiskFreeRate-DividendYield+0.5*AS7^2)*TimeToExpiration)/(AS7*TimeToExpiration^0.5), 0, 1, TRUE) - 
       $H7*EXP(-RiskFreeRate*TimeToExpiration)*_xlfn.NORM.DIST(AU$2*(LN(Underlying/$H7)+(RiskFreeRate-DividendYield-0.5*AS7^2)*TimeToExpiration)/(AS7*TimeToExpiration^0.5), 0, 1, TRUE)
)</f>
        <v>39.94199584</v>
      </c>
      <c r="AV7" s="7">
        <f>AV$2*(Underlying*EXP(-DividendYield*TimeToExpiration)*_xlfn.NORM.DIST(AV$2*(LN(Underlying/$H7)+(RiskFreeRate-DividendYield+0.5*AT7^2)*TimeToExpiration)/(AT7*TimeToExpiration^0.5), 0, 1, TRUE) - 
       $H7*EXP(-RiskFreeRate*TimeToExpiration)*_xlfn.NORM.DIST(AV$2*(LN(Underlying/$H7)+(RiskFreeRate-DividendYield-0.5*AT7^2)*TimeToExpiration)/(AT7*TimeToExpiration^0.5), 0, 1, TRUE)
)</f>
        <v>40.16802712</v>
      </c>
      <c r="AW7" s="40">
        <f t="shared" si="23"/>
        <v>0.5398828125</v>
      </c>
      <c r="AX7" s="8">
        <f>AX$2*(Underlying*EXP(-DividendYield*TimeToExpiration)*_xlfn.NORM.DIST(AX$2*(LN(Underlying/$H7)+(RiskFreeRate-DividendYield+0.5*AW7^2)*TimeToExpiration)/(AW7*TimeToExpiration^0.5), 0, 1, TRUE) - 
       $H7*EXP(-RiskFreeRate*TimeToExpiration)*_xlfn.NORM.DIST(AX$2*(LN(Underlying/$H7)+(RiskFreeRate-DividendYield-0.5*AW7^2)*TimeToExpiration)/(AW7*TimeToExpiration^0.5), 0, 1, TRUE)
)</f>
        <v>40.04856702</v>
      </c>
      <c r="AY7" s="40">
        <f t="shared" si="24"/>
        <v>0.516453125</v>
      </c>
      <c r="AZ7" s="40">
        <f t="shared" si="25"/>
        <v>0.5398828125</v>
      </c>
      <c r="BA7" s="7">
        <f>BA$2*(Underlying*EXP(-DividendYield*TimeToExpiration)*_xlfn.NORM.DIST(BA$2*(LN(Underlying/$H7)+(RiskFreeRate-DividendYield+0.5*AY7^2)*TimeToExpiration)/(AY7*TimeToExpiration^0.5), 0, 1, TRUE) - 
       $H7*EXP(-RiskFreeRate*TimeToExpiration)*_xlfn.NORM.DIST(BA$2*(LN(Underlying/$H7)+(RiskFreeRate-DividendYield-0.5*AY7^2)*TimeToExpiration)/(AY7*TimeToExpiration^0.5), 0, 1, TRUE)
)</f>
        <v>39.94199584</v>
      </c>
      <c r="BB7" s="7">
        <f>BB$2*(Underlying*EXP(-DividendYield*TimeToExpiration)*_xlfn.NORM.DIST(BB$2*(LN(Underlying/$H7)+(RiskFreeRate-DividendYield+0.5*AZ7^2)*TimeToExpiration)/(AZ7*TimeToExpiration^0.5), 0, 1, TRUE) - 
       $H7*EXP(-RiskFreeRate*TimeToExpiration)*_xlfn.NORM.DIST(BB$2*(LN(Underlying/$H7)+(RiskFreeRate-DividendYield-0.5*AZ7^2)*TimeToExpiration)/(AZ7*TimeToExpiration^0.5), 0, 1, TRUE)
)</f>
        <v>40.04856702</v>
      </c>
      <c r="BC7" s="40">
        <f t="shared" si="26"/>
        <v>0.5281679688</v>
      </c>
      <c r="BD7" s="8">
        <f>BD$2*(Underlying*EXP(-DividendYield*TimeToExpiration)*_xlfn.NORM.DIST(BD$2*(LN(Underlying/$H7)+(RiskFreeRate-DividendYield+0.5*BC7^2)*TimeToExpiration)/(BC7*TimeToExpiration^0.5), 0, 1, TRUE) - 
       $H7*EXP(-RiskFreeRate*TimeToExpiration)*_xlfn.NORM.DIST(BD$2*(LN(Underlying/$H7)+(RiskFreeRate-DividendYield-0.5*BC7^2)*TimeToExpiration)/(BC7*TimeToExpiration^0.5), 0, 1, TRUE)
)</f>
        <v>39.99365829</v>
      </c>
      <c r="BE7" s="40">
        <f t="shared" si="27"/>
        <v>0.5281679688</v>
      </c>
      <c r="BF7" s="40">
        <f t="shared" si="28"/>
        <v>0.5398828125</v>
      </c>
      <c r="BG7" s="7">
        <f>BG$2*(Underlying*EXP(-DividendYield*TimeToExpiration)*_xlfn.NORM.DIST(BG$2*(LN(Underlying/$H7)+(RiskFreeRate-DividendYield+0.5*BE7^2)*TimeToExpiration)/(BE7*TimeToExpiration^0.5), 0, 1, TRUE) - 
       $H7*EXP(-RiskFreeRate*TimeToExpiration)*_xlfn.NORM.DIST(BG$2*(LN(Underlying/$H7)+(RiskFreeRate-DividendYield-0.5*BE7^2)*TimeToExpiration)/(BE7*TimeToExpiration^0.5), 0, 1, TRUE)
)</f>
        <v>39.99365829</v>
      </c>
      <c r="BH7" s="7">
        <f>BH$2*(Underlying*EXP(-DividendYield*TimeToExpiration)*_xlfn.NORM.DIST(BH$2*(LN(Underlying/$H7)+(RiskFreeRate-DividendYield+0.5*BF7^2)*TimeToExpiration)/(BF7*TimeToExpiration^0.5), 0, 1, TRUE) - 
       $H7*EXP(-RiskFreeRate*TimeToExpiration)*_xlfn.NORM.DIST(BH$2*(LN(Underlying/$H7)+(RiskFreeRate-DividendYield-0.5*BF7^2)*TimeToExpiration)/(BF7*TimeToExpiration^0.5), 0, 1, TRUE)
)</f>
        <v>40.04856702</v>
      </c>
      <c r="BI7" s="40">
        <f t="shared" si="29"/>
        <v>0.5340253906</v>
      </c>
      <c r="BJ7" s="8">
        <f>BJ$2*(Underlying*EXP(-DividendYield*TimeToExpiration)*_xlfn.NORM.DIST(BJ$2*(LN(Underlying/$H7)+(RiskFreeRate-DividendYield+0.5*BI7^2)*TimeToExpiration)/(BI7*TimeToExpiration^0.5), 0, 1, TRUE) - 
       $H7*EXP(-RiskFreeRate*TimeToExpiration)*_xlfn.NORM.DIST(BJ$2*(LN(Underlying/$H7)+(RiskFreeRate-DividendYield-0.5*BI7^2)*TimeToExpiration)/(BI7*TimeToExpiration^0.5), 0, 1, TRUE)
)</f>
        <v>40.02070808</v>
      </c>
      <c r="BK7" s="40">
        <f t="shared" si="30"/>
        <v>0.5281679688</v>
      </c>
      <c r="BL7" s="40">
        <f t="shared" si="31"/>
        <v>0.5340253906</v>
      </c>
      <c r="BM7" s="7">
        <f>BM$2*(Underlying*EXP(-DividendYield*TimeToExpiration)*_xlfn.NORM.DIST(BM$2*(LN(Underlying/$H7)+(RiskFreeRate-DividendYield+0.5*BK7^2)*TimeToExpiration)/(BK7*TimeToExpiration^0.5), 0, 1, TRUE) - 
       $H7*EXP(-RiskFreeRate*TimeToExpiration)*_xlfn.NORM.DIST(BM$2*(LN(Underlying/$H7)+(RiskFreeRate-DividendYield-0.5*BK7^2)*TimeToExpiration)/(BK7*TimeToExpiration^0.5), 0, 1, TRUE)
)</f>
        <v>39.99365829</v>
      </c>
      <c r="BN7" s="7">
        <f>BN$2*(Underlying*EXP(-DividendYield*TimeToExpiration)*_xlfn.NORM.DIST(BN$2*(LN(Underlying/$H7)+(RiskFreeRate-DividendYield+0.5*BL7^2)*TimeToExpiration)/(BL7*TimeToExpiration^0.5), 0, 1, TRUE) - 
       $H7*EXP(-RiskFreeRate*TimeToExpiration)*_xlfn.NORM.DIST(BN$2*(LN(Underlying/$H7)+(RiskFreeRate-DividendYield-0.5*BL7^2)*TimeToExpiration)/(BL7*TimeToExpiration^0.5), 0, 1, TRUE)
)</f>
        <v>40.02070808</v>
      </c>
      <c r="BO7" s="40">
        <f t="shared" si="32"/>
        <v>0.5310966797</v>
      </c>
      <c r="BP7" s="8">
        <f>BP$2*(Underlying*EXP(-DividendYield*TimeToExpiration)*_xlfn.NORM.DIST(BP$2*(LN(Underlying/$H7)+(RiskFreeRate-DividendYield+0.5*BO7^2)*TimeToExpiration)/(BO7*TimeToExpiration^0.5), 0, 1, TRUE) - 
       $H7*EXP(-RiskFreeRate*TimeToExpiration)*_xlfn.NORM.DIST(BP$2*(LN(Underlying/$H7)+(RiskFreeRate-DividendYield-0.5*BO7^2)*TimeToExpiration)/(BO7*TimeToExpiration^0.5), 0, 1, TRUE)
)</f>
        <v>40.00708187</v>
      </c>
      <c r="BQ7" s="40">
        <f t="shared" si="33"/>
        <v>0.5281679688</v>
      </c>
      <c r="BR7" s="40">
        <f t="shared" si="34"/>
        <v>0.5310966797</v>
      </c>
      <c r="BS7" s="7">
        <f>BS$2*(Underlying*EXP(-DividendYield*TimeToExpiration)*_xlfn.NORM.DIST(BS$2*(LN(Underlying/$H7)+(RiskFreeRate-DividendYield+0.5*BQ7^2)*TimeToExpiration)/(BQ7*TimeToExpiration^0.5), 0, 1, TRUE) - 
       $H7*EXP(-RiskFreeRate*TimeToExpiration)*_xlfn.NORM.DIST(BS$2*(LN(Underlying/$H7)+(RiskFreeRate-DividendYield-0.5*BQ7^2)*TimeToExpiration)/(BQ7*TimeToExpiration^0.5), 0, 1, TRUE)
)</f>
        <v>39.99365829</v>
      </c>
      <c r="BT7" s="7">
        <f>BT$2*(Underlying*EXP(-DividendYield*TimeToExpiration)*_xlfn.NORM.DIST(BT$2*(LN(Underlying/$H7)+(RiskFreeRate-DividendYield+0.5*BR7^2)*TimeToExpiration)/(BR7*TimeToExpiration^0.5), 0, 1, TRUE) - 
       $H7*EXP(-RiskFreeRate*TimeToExpiration)*_xlfn.NORM.DIST(BT$2*(LN(Underlying/$H7)+(RiskFreeRate-DividendYield-0.5*BR7^2)*TimeToExpiration)/(BR7*TimeToExpiration^0.5), 0, 1, TRUE)
)</f>
        <v>40.00708187</v>
      </c>
      <c r="BU7" s="40">
        <f t="shared" si="35"/>
        <v>0.5296323242</v>
      </c>
      <c r="BV7" s="8">
        <f>BV$2*(Underlying*EXP(-DividendYield*TimeToExpiration)*_xlfn.NORM.DIST(BV$2*(LN(Underlying/$H7)+(RiskFreeRate-DividendYield+0.5*BU7^2)*TimeToExpiration)/(BU7*TimeToExpiration^0.5), 0, 1, TRUE) - 
       $H7*EXP(-RiskFreeRate*TimeToExpiration)*_xlfn.NORM.DIST(BV$2*(LN(Underlying/$H7)+(RiskFreeRate-DividendYield-0.5*BU7^2)*TimeToExpiration)/(BU7*TimeToExpiration^0.5), 0, 1, TRUE)
)</f>
        <v>40.00034473</v>
      </c>
      <c r="BW7" s="40">
        <f t="shared" si="36"/>
        <v>0.5281679688</v>
      </c>
      <c r="BX7" s="40">
        <f t="shared" si="37"/>
        <v>0.5296323242</v>
      </c>
      <c r="BY7" s="7">
        <f>BY$2*(Underlying*EXP(-DividendYield*TimeToExpiration)*_xlfn.NORM.DIST(BY$2*(LN(Underlying/$H7)+(RiskFreeRate-DividendYield+0.5*BW7^2)*TimeToExpiration)/(BW7*TimeToExpiration^0.5), 0, 1, TRUE) - 
       $H7*EXP(-RiskFreeRate*TimeToExpiration)*_xlfn.NORM.DIST(BY$2*(LN(Underlying/$H7)+(RiskFreeRate-DividendYield-0.5*BW7^2)*TimeToExpiration)/(BW7*TimeToExpiration^0.5), 0, 1, TRUE)
)</f>
        <v>39.99365829</v>
      </c>
      <c r="BZ7" s="7">
        <f>BZ$2*(Underlying*EXP(-DividendYield*TimeToExpiration)*_xlfn.NORM.DIST(BZ$2*(LN(Underlying/$H7)+(RiskFreeRate-DividendYield+0.5*BX7^2)*TimeToExpiration)/(BX7*TimeToExpiration^0.5), 0, 1, TRUE) - 
       $H7*EXP(-RiskFreeRate*TimeToExpiration)*_xlfn.NORM.DIST(BZ$2*(LN(Underlying/$H7)+(RiskFreeRate-DividendYield-0.5*BX7^2)*TimeToExpiration)/(BX7*TimeToExpiration^0.5), 0, 1, TRUE)
)</f>
        <v>40.00034473</v>
      </c>
      <c r="CA7" s="40">
        <f t="shared" si="38"/>
        <v>0.5289001465</v>
      </c>
      <c r="CB7" s="8">
        <f>CB$2*(Underlying*EXP(-DividendYield*TimeToExpiration)*_xlfn.NORM.DIST(CB$2*(LN(Underlying/$H7)+(RiskFreeRate-DividendYield+0.5*CA7^2)*TimeToExpiration)/(CA7*TimeToExpiration^0.5), 0, 1, TRUE) - 
       $H7*EXP(-RiskFreeRate*TimeToExpiration)*_xlfn.NORM.DIST(CB$2*(LN(Underlying/$H7)+(RiskFreeRate-DividendYield-0.5*CA7^2)*TimeToExpiration)/(CA7*TimeToExpiration^0.5), 0, 1, TRUE)
)</f>
        <v>39.99699517</v>
      </c>
      <c r="CC7" s="40">
        <f t="shared" si="39"/>
        <v>0.5289001465</v>
      </c>
      <c r="CD7" s="40">
        <f t="shared" si="40"/>
        <v>0.5296323242</v>
      </c>
      <c r="CE7" s="7">
        <f>CE$2*(Underlying*EXP(-DividendYield*TimeToExpiration)*_xlfn.NORM.DIST(CE$2*(LN(Underlying/$H7)+(RiskFreeRate-DividendYield+0.5*CC7^2)*TimeToExpiration)/(CC7*TimeToExpiration^0.5), 0, 1, TRUE) - 
       $H7*EXP(-RiskFreeRate*TimeToExpiration)*_xlfn.NORM.DIST(CE$2*(LN(Underlying/$H7)+(RiskFreeRate-DividendYield-0.5*CC7^2)*TimeToExpiration)/(CC7*TimeToExpiration^0.5), 0, 1, TRUE)
)</f>
        <v>39.99699517</v>
      </c>
      <c r="CF7" s="7">
        <f>CF$2*(Underlying*EXP(-DividendYield*TimeToExpiration)*_xlfn.NORM.DIST(CF$2*(LN(Underlying/$H7)+(RiskFreeRate-DividendYield+0.5*CD7^2)*TimeToExpiration)/(CD7*TimeToExpiration^0.5), 0, 1, TRUE) - 
       $H7*EXP(-RiskFreeRate*TimeToExpiration)*_xlfn.NORM.DIST(CF$2*(LN(Underlying/$H7)+(RiskFreeRate-DividendYield-0.5*CD7^2)*TimeToExpiration)/(CD7*TimeToExpiration^0.5), 0, 1, TRUE)
)</f>
        <v>40.00034473</v>
      </c>
      <c r="CG7" s="40">
        <f t="shared" si="41"/>
        <v>0.5292662354</v>
      </c>
      <c r="CH7" s="8">
        <f>CH$2*(Underlying*EXP(-DividendYield*TimeToExpiration)*_xlfn.NORM.DIST(CH$2*(LN(Underlying/$H7)+(RiskFreeRate-DividendYield+0.5*CG7^2)*TimeToExpiration)/(CG7*TimeToExpiration^0.5), 0, 1, TRUE) - 
       $H7*EXP(-RiskFreeRate*TimeToExpiration)*_xlfn.NORM.DIST(CH$2*(LN(Underlying/$H7)+(RiskFreeRate-DividendYield-0.5*CG7^2)*TimeToExpiration)/(CG7*TimeToExpiration^0.5), 0, 1, TRUE)
)</f>
        <v>39.99866837</v>
      </c>
      <c r="CI7" s="40">
        <f t="shared" si="42"/>
        <v>0.5292662354</v>
      </c>
      <c r="CJ7" s="40">
        <f t="shared" si="43"/>
        <v>0.5296323242</v>
      </c>
      <c r="CK7" s="7">
        <f>CK$2*(Underlying*EXP(-DividendYield*TimeToExpiration)*_xlfn.NORM.DIST(CK$2*(LN(Underlying/$H7)+(RiskFreeRate-DividendYield+0.5*CI7^2)*TimeToExpiration)/(CI7*TimeToExpiration^0.5), 0, 1, TRUE) - 
       $H7*EXP(-RiskFreeRate*TimeToExpiration)*_xlfn.NORM.DIST(CK$2*(LN(Underlying/$H7)+(RiskFreeRate-DividendYield-0.5*CI7^2)*TimeToExpiration)/(CI7*TimeToExpiration^0.5), 0, 1, TRUE)
)</f>
        <v>39.99866837</v>
      </c>
      <c r="CL7" s="7">
        <f>CL$2*(Underlying*EXP(-DividendYield*TimeToExpiration)*_xlfn.NORM.DIST(CL$2*(LN(Underlying/$H7)+(RiskFreeRate-DividendYield+0.5*CJ7^2)*TimeToExpiration)/(CJ7*TimeToExpiration^0.5), 0, 1, TRUE) - 
       $H7*EXP(-RiskFreeRate*TimeToExpiration)*_xlfn.NORM.DIST(CL$2*(LN(Underlying/$H7)+(RiskFreeRate-DividendYield-0.5*CJ7^2)*TimeToExpiration)/(CJ7*TimeToExpiration^0.5), 0, 1, TRUE)
)</f>
        <v>40.00034473</v>
      </c>
      <c r="CM7" s="40">
        <f t="shared" si="44"/>
        <v>0.5294492798</v>
      </c>
      <c r="CN7" s="8">
        <f>CN$2*(Underlying*EXP(-DividendYield*TimeToExpiration)*_xlfn.NORM.DIST(CN$2*(LN(Underlying/$H7)+(RiskFreeRate-DividendYield+0.5*CM7^2)*TimeToExpiration)/(CM7*TimeToExpiration^0.5), 0, 1, TRUE) - 
       $H7*EXP(-RiskFreeRate*TimeToExpiration)*_xlfn.NORM.DIST(CN$2*(LN(Underlying/$H7)+(RiskFreeRate-DividendYield-0.5*CM7^2)*TimeToExpiration)/(CM7*TimeToExpiration^0.5), 0, 1, TRUE)
)</f>
        <v>39.99950615</v>
      </c>
      <c r="CO7" s="40">
        <f t="shared" si="45"/>
        <v>0.5294492798</v>
      </c>
      <c r="CP7" s="40">
        <f t="shared" si="46"/>
        <v>0.5296323242</v>
      </c>
      <c r="CQ7" s="7">
        <f>CQ$2*(Underlying*EXP(-DividendYield*TimeToExpiration)*_xlfn.NORM.DIST(CQ$2*(LN(Underlying/$H7)+(RiskFreeRate-DividendYield+0.5*CO7^2)*TimeToExpiration)/(CO7*TimeToExpiration^0.5), 0, 1, TRUE) - 
       $H7*EXP(-RiskFreeRate*TimeToExpiration)*_xlfn.NORM.DIST(CQ$2*(LN(Underlying/$H7)+(RiskFreeRate-DividendYield-0.5*CO7^2)*TimeToExpiration)/(CO7*TimeToExpiration^0.5), 0, 1, TRUE)
)</f>
        <v>39.99950615</v>
      </c>
      <c r="CR7" s="7">
        <f>CR$2*(Underlying*EXP(-DividendYield*TimeToExpiration)*_xlfn.NORM.DIST(CR$2*(LN(Underlying/$H7)+(RiskFreeRate-DividendYield+0.5*CP7^2)*TimeToExpiration)/(CP7*TimeToExpiration^0.5), 0, 1, TRUE) - 
       $H7*EXP(-RiskFreeRate*TimeToExpiration)*_xlfn.NORM.DIST(CR$2*(LN(Underlying/$H7)+(RiskFreeRate-DividendYield-0.5*CP7^2)*TimeToExpiration)/(CP7*TimeToExpiration^0.5), 0, 1, TRUE)
)</f>
        <v>40.00034473</v>
      </c>
      <c r="CS7" s="40">
        <f t="shared" si="47"/>
        <v>0.529540802</v>
      </c>
      <c r="CT7" s="8">
        <f>CT$2*(Underlying*EXP(-DividendYield*TimeToExpiration)*_xlfn.NORM.DIST(CT$2*(LN(Underlying/$H7)+(RiskFreeRate-DividendYield+0.5*CS7^2)*TimeToExpiration)/(CS7*TimeToExpiration^0.5), 0, 1, TRUE) - 
       $H7*EXP(-RiskFreeRate*TimeToExpiration)*_xlfn.NORM.DIST(CT$2*(LN(Underlying/$H7)+(RiskFreeRate-DividendYield-0.5*CS7^2)*TimeToExpiration)/(CS7*TimeToExpiration^0.5), 0, 1, TRUE)
)</f>
        <v>39.99992534</v>
      </c>
      <c r="CU7" s="40">
        <f t="shared" si="48"/>
        <v>0.529540802</v>
      </c>
      <c r="CV7" s="40">
        <f t="shared" si="49"/>
        <v>0.5296323242</v>
      </c>
      <c r="CW7" s="7">
        <f>CW$2*(Underlying*EXP(-DividendYield*TimeToExpiration)*_xlfn.NORM.DIST(CW$2*(LN(Underlying/$H7)+(RiskFreeRate-DividendYield+0.5*CU7^2)*TimeToExpiration)/(CU7*TimeToExpiration^0.5), 0, 1, TRUE) - 
       $H7*EXP(-RiskFreeRate*TimeToExpiration)*_xlfn.NORM.DIST(CW$2*(LN(Underlying/$H7)+(RiskFreeRate-DividendYield-0.5*CU7^2)*TimeToExpiration)/(CU7*TimeToExpiration^0.5), 0, 1, TRUE)
)</f>
        <v>39.99992534</v>
      </c>
      <c r="CX7" s="7">
        <f>CX$2*(Underlying*EXP(-DividendYield*TimeToExpiration)*_xlfn.NORM.DIST(CX$2*(LN(Underlying/$H7)+(RiskFreeRate-DividendYield+0.5*CV7^2)*TimeToExpiration)/(CV7*TimeToExpiration^0.5), 0, 1, TRUE) - 
       $H7*EXP(-RiskFreeRate*TimeToExpiration)*_xlfn.NORM.DIST(CX$2*(LN(Underlying/$H7)+(RiskFreeRate-DividendYield-0.5*CV7^2)*TimeToExpiration)/(CV7*TimeToExpiration^0.5), 0, 1, TRUE)
)</f>
        <v>40.00034473</v>
      </c>
      <c r="CY7" s="40">
        <f t="shared" si="50"/>
        <v>0.5295865631</v>
      </c>
      <c r="CZ7" s="8">
        <f>CZ$2*(Underlying*EXP(-DividendYield*TimeToExpiration)*_xlfn.NORM.DIST(CZ$2*(LN(Underlying/$H7)+(RiskFreeRate-DividendYield+0.5*CY7^2)*TimeToExpiration)/(CY7*TimeToExpiration^0.5), 0, 1, TRUE) - 
       $H7*EXP(-RiskFreeRate*TimeToExpiration)*_xlfn.NORM.DIST(CZ$2*(LN(Underlying/$H7)+(RiskFreeRate-DividendYield-0.5*CY7^2)*TimeToExpiration)/(CY7*TimeToExpiration^0.5), 0, 1, TRUE)
)</f>
        <v>40.00013501</v>
      </c>
      <c r="DA7" s="40">
        <f t="shared" si="51"/>
        <v>0.529540802</v>
      </c>
      <c r="DB7" s="40">
        <f t="shared" si="52"/>
        <v>0.5295865631</v>
      </c>
      <c r="DC7" s="7">
        <f>DC$2*(Underlying*EXP(-DividendYield*TimeToExpiration)*_xlfn.NORM.DIST(DC$2*(LN(Underlying/$H7)+(RiskFreeRate-DividendYield+0.5*DA7^2)*TimeToExpiration)/(DA7*TimeToExpiration^0.5), 0, 1, TRUE) - 
       $H7*EXP(-RiskFreeRate*TimeToExpiration)*_xlfn.NORM.DIST(DC$2*(LN(Underlying/$H7)+(RiskFreeRate-DividendYield-0.5*DA7^2)*TimeToExpiration)/(DA7*TimeToExpiration^0.5), 0, 1, TRUE)
)</f>
        <v>39.99992534</v>
      </c>
      <c r="DD7" s="7">
        <f>DD$2*(Underlying*EXP(-DividendYield*TimeToExpiration)*_xlfn.NORM.DIST(DD$2*(LN(Underlying/$H7)+(RiskFreeRate-DividendYield+0.5*DB7^2)*TimeToExpiration)/(DB7*TimeToExpiration^0.5), 0, 1, TRUE) - 
       $H7*EXP(-RiskFreeRate*TimeToExpiration)*_xlfn.NORM.DIST(DD$2*(LN(Underlying/$H7)+(RiskFreeRate-DividendYield-0.5*DB7^2)*TimeToExpiration)/(DB7*TimeToExpiration^0.5), 0, 1, TRUE)
)</f>
        <v>40.00013501</v>
      </c>
      <c r="DE7" s="40">
        <f t="shared" si="53"/>
        <v>0.5295636826</v>
      </c>
      <c r="DF7" s="8">
        <f>DF$2*(Underlying*EXP(-DividendYield*TimeToExpiration)*_xlfn.NORM.DIST(DF$2*(LN(Underlying/$H7)+(RiskFreeRate-DividendYield+0.5*DE7^2)*TimeToExpiration)/(DE7*TimeToExpiration^0.5), 0, 1, TRUE) - 
       $H7*EXP(-RiskFreeRate*TimeToExpiration)*_xlfn.NORM.DIST(DF$2*(LN(Underlying/$H7)+(RiskFreeRate-DividendYield-0.5*DE7^2)*TimeToExpiration)/(DE7*TimeToExpiration^0.5), 0, 1, TRUE)
)</f>
        <v>40.00003017</v>
      </c>
    </row>
    <row r="8">
      <c r="A8" s="20">
        <f>'Option Mkt Data'!A8</f>
        <v>302.5</v>
      </c>
      <c r="B8" s="42">
        <f t="shared" ref="B8:C8" si="55">DE8</f>
        <v>0.001022880554</v>
      </c>
      <c r="C8" s="7">
        <f t="shared" si="55"/>
        <v>37.01376049</v>
      </c>
      <c r="D8" s="7">
        <f t="shared" si="3"/>
        <v>0.1887559136</v>
      </c>
      <c r="E8" s="9">
        <f t="shared" si="4"/>
        <v>0.005125753976</v>
      </c>
      <c r="F8" s="36">
        <f>D8/'Option Mkt Data'!L8</f>
        <v>0.07704332596</v>
      </c>
      <c r="G8" s="5">
        <f>'Option Mkt Data'!J8</f>
        <v>36.82500458</v>
      </c>
      <c r="H8" s="33">
        <f>'Option Mkt Data'!A8</f>
        <v>302.5</v>
      </c>
      <c r="I8" s="37">
        <f>MinSolverVola</f>
        <v>0.001</v>
      </c>
      <c r="J8" s="38">
        <f>MaxSolverVola</f>
        <v>3</v>
      </c>
      <c r="K8" s="39">
        <f>K$2*(Underlying*EXP(-DividendYield*TimeToExpiration)*_xlfn.NORM.DIST(K$2*(LN(Underlying/$H8)+(RiskFreeRate-DividendYield+0.5*I8^2)*TimeToExpiration)/(I8*TimeToExpiration^0.5), 0, 1, TRUE) - 
       $H8*EXP(-RiskFreeRate*TimeToExpiration)*_xlfn.NORM.DIST(K$2*(LN(Underlying/$H8)+(RiskFreeRate-DividendYield-0.5*I8^2)*TimeToExpiration)/(I8*TimeToExpiration^0.5), 0, 1, TRUE)
)</f>
        <v>37.01376049</v>
      </c>
      <c r="L8" s="7">
        <f>L$2*(Underlying*EXP(-DividendYield*TimeToExpiration)*_xlfn.NORM.DIST(L$2*(LN(Underlying/$H8)+(RiskFreeRate-DividendYield+0.5*J8^2)*TimeToExpiration)/(J8*TimeToExpiration^0.5), 0, 1, TRUE) - 
       $H8*EXP(-RiskFreeRate*TimeToExpiration)*_xlfn.NORM.DIST(L$2*(LN(Underlying/$H8)+(RiskFreeRate-DividendYield-0.5*J8^2)*TimeToExpiration)/(J8*TimeToExpiration^0.5), 0, 1, TRUE)
)</f>
        <v>74.34110194</v>
      </c>
      <c r="M8" s="40">
        <f t="shared" si="5"/>
        <v>1.5005</v>
      </c>
      <c r="N8" s="8">
        <f>N$2*(Underlying*EXP(-DividendYield*TimeToExpiration)*_xlfn.NORM.DIST(N$2*(LN(Underlying/$H8)+(RiskFreeRate-DividendYield+0.5*M8^2)*TimeToExpiration)/(M8*TimeToExpiration^0.5), 0, 1, TRUE) - 
       $H8*EXP(-RiskFreeRate*TimeToExpiration)*_xlfn.NORM.DIST(N$2*(LN(Underlying/$H8)+(RiskFreeRate-DividendYield-0.5*M8^2)*TimeToExpiration)/(M8*TimeToExpiration^0.5), 0, 1, TRUE)
)</f>
        <v>49.50801226</v>
      </c>
      <c r="O8" s="41">
        <f t="shared" si="6"/>
        <v>0.001</v>
      </c>
      <c r="P8" s="40">
        <f t="shared" si="7"/>
        <v>1.5005</v>
      </c>
      <c r="Q8" s="7">
        <f>Q$2*(Underlying*EXP(-DividendYield*TimeToExpiration)*_xlfn.NORM.DIST(Q$2*(LN(Underlying/$H8)+(RiskFreeRate-DividendYield+0.5*O8^2)*TimeToExpiration)/(O8*TimeToExpiration^0.5), 0, 1, TRUE) - 
       $H8*EXP(-RiskFreeRate*TimeToExpiration)*_xlfn.NORM.DIST(Q$2*(LN(Underlying/$H8)+(RiskFreeRate-DividendYield-0.5*O8^2)*TimeToExpiration)/(O8*TimeToExpiration^0.5), 0, 1, TRUE))</f>
        <v>37.01376049</v>
      </c>
      <c r="R8" s="7">
        <f>R$2*(Underlying*EXP(-DividendYield*TimeToExpiration)*_xlfn.NORM.DIST(R$2*(LN(Underlying/$H8)+(RiskFreeRate-DividendYield+0.5*P8^2)*TimeToExpiration)/(P8*TimeToExpiration^0.5), 0, 1, TRUE) - 
       $H8*EXP(-RiskFreeRate*TimeToExpiration)*_xlfn.NORM.DIST(R$2*(LN(Underlying/$H8)+(RiskFreeRate-DividendYield-0.5*P8^2)*TimeToExpiration)/(P8*TimeToExpiration^0.5), 0, 1, TRUE)
)</f>
        <v>49.50801226</v>
      </c>
      <c r="S8" s="40">
        <f t="shared" si="8"/>
        <v>0.75075</v>
      </c>
      <c r="T8" s="8">
        <f>T$2*(Underlying*EXP(-DividendYield*TimeToExpiration)*_xlfn.NORM.DIST(T$2*(LN(Underlying/$H8)+(RiskFreeRate-DividendYield+0.5*S8^2)*TimeToExpiration)/(S8*TimeToExpiration^0.5), 0, 1, TRUE) - 
       $H8*EXP(-RiskFreeRate*TimeToExpiration)*_xlfn.NORM.DIST(T$2*(LN(Underlying/$H8)+(RiskFreeRate-DividendYield-0.5*S8^2)*TimeToExpiration)/(S8*TimeToExpiration^0.5), 0, 1, TRUE)
)</f>
        <v>39.39937979</v>
      </c>
      <c r="U8" s="41">
        <f t="shared" si="9"/>
        <v>0.001</v>
      </c>
      <c r="V8" s="40">
        <f t="shared" si="10"/>
        <v>0.75075</v>
      </c>
      <c r="W8" s="7">
        <f>W$2*(Underlying*EXP(-DividendYield*TimeToExpiration)*_xlfn.NORM.DIST(W$2*(LN(Underlying/$H8)+(RiskFreeRate-DividendYield+0.5*U8^2)*TimeToExpiration)/(U8*TimeToExpiration^0.5), 0, 1, TRUE) - 
       $H8*EXP(-RiskFreeRate*TimeToExpiration)*_xlfn.NORM.DIST(W$2*(LN(Underlying/$H8)+(RiskFreeRate-DividendYield-0.5*U8^2)*TimeToExpiration)/(U8*TimeToExpiration^0.5), 0, 1, TRUE)
)</f>
        <v>37.01376049</v>
      </c>
      <c r="X8" s="7">
        <f>X$2*(Underlying*EXP(-DividendYield*TimeToExpiration)*_xlfn.NORM.DIST(X$2*(LN(Underlying/$H8)+(RiskFreeRate-DividendYield+0.5*V8^2)*TimeToExpiration)/(V8*TimeToExpiration^0.5), 0, 1, TRUE) - 
       $H8*EXP(-RiskFreeRate*TimeToExpiration)*_xlfn.NORM.DIST(X$2*(LN(Underlying/$H8)+(RiskFreeRate-DividendYield-0.5*V8^2)*TimeToExpiration)/(V8*TimeToExpiration^0.5), 0, 1, TRUE)
)</f>
        <v>39.39937979</v>
      </c>
      <c r="Y8" s="40">
        <f t="shared" si="11"/>
        <v>0.375875</v>
      </c>
      <c r="Z8" s="8">
        <f>Z$2*(Underlying*EXP(-DividendYield*TimeToExpiration)*_xlfn.NORM.DIST(Z$2*(LN(Underlying/$H8)+(RiskFreeRate-DividendYield+0.5*Y8^2)*TimeToExpiration)/(Y8*TimeToExpiration^0.5), 0, 1, TRUE) - 
       $H8*EXP(-RiskFreeRate*TimeToExpiration)*_xlfn.NORM.DIST(Z$2*(LN(Underlying/$H8)+(RiskFreeRate-DividendYield-0.5*Y8^2)*TimeToExpiration)/(Y8*TimeToExpiration^0.5), 0, 1, TRUE)
)</f>
        <v>37.10341217</v>
      </c>
      <c r="AA8" s="41">
        <f t="shared" si="12"/>
        <v>0.001</v>
      </c>
      <c r="AB8" s="40">
        <f t="shared" si="13"/>
        <v>0.375875</v>
      </c>
      <c r="AC8" s="7">
        <f>AC$2*(Underlying*EXP(-DividendYield*TimeToExpiration)*_xlfn.NORM.DIST(AC$2*(LN(Underlying/$H8)+(RiskFreeRate-DividendYield+0.5*AA8^2)*TimeToExpiration)/(AA8*TimeToExpiration^0.5), 0, 1, TRUE) - 
       $H8*EXP(-RiskFreeRate*TimeToExpiration)*_xlfn.NORM.DIST(AC$2*(LN(Underlying/$H8)+(RiskFreeRate-DividendYield-0.5*AA8^2)*TimeToExpiration)/(AA8*TimeToExpiration^0.5), 0, 1, TRUE)
)</f>
        <v>37.01376049</v>
      </c>
      <c r="AD8" s="7">
        <f>AD$2*(Underlying*EXP(-DividendYield*TimeToExpiration)*_xlfn.NORM.DIST(AD$2*(LN(Underlying/$H8)+(RiskFreeRate-DividendYield+0.5*AB8^2)*TimeToExpiration)/(AB8*TimeToExpiration^0.5), 0, 1, TRUE) - 
       $H8*EXP(-RiskFreeRate*TimeToExpiration)*_xlfn.NORM.DIST(AD$2*(LN(Underlying/$H8)+(RiskFreeRate-DividendYield-0.5*AB8^2)*TimeToExpiration)/(AB8*TimeToExpiration^0.5), 0, 1, TRUE)
)</f>
        <v>37.10341217</v>
      </c>
      <c r="AE8" s="40">
        <f t="shared" si="14"/>
        <v>0.1884375</v>
      </c>
      <c r="AF8" s="8">
        <f>AF$2*(Underlying*EXP(-DividendYield*TimeToExpiration)*_xlfn.NORM.DIST(AF$2*(LN(Underlying/$H8)+(RiskFreeRate-DividendYield+0.5*AE8^2)*TimeToExpiration)/(AE8*TimeToExpiration^0.5), 0, 1, TRUE) - 
       $H8*EXP(-RiskFreeRate*TimeToExpiration)*_xlfn.NORM.DIST(AF$2*(LN(Underlying/$H8)+(RiskFreeRate-DividendYield-0.5*AE8^2)*TimeToExpiration)/(AE8*TimeToExpiration^0.5), 0, 1, TRUE)
)</f>
        <v>37.01377358</v>
      </c>
      <c r="AG8" s="41">
        <f t="shared" si="15"/>
        <v>0.001</v>
      </c>
      <c r="AH8" s="40">
        <f t="shared" si="16"/>
        <v>0.1884375</v>
      </c>
      <c r="AI8" s="7">
        <f>AI$2*(Underlying*EXP(-DividendYield*TimeToExpiration)*_xlfn.NORM.DIST(AI$2*(LN(Underlying/$H8)+(RiskFreeRate-DividendYield+0.5*AG8^2)*TimeToExpiration)/(AG8*TimeToExpiration^0.5), 0, 1, TRUE) - 
       $H8*EXP(-RiskFreeRate*TimeToExpiration)*_xlfn.NORM.DIST(AI$2*(LN(Underlying/$H8)+(RiskFreeRate-DividendYield-0.5*AG8^2)*TimeToExpiration)/(AG8*TimeToExpiration^0.5), 0, 1, TRUE)
)</f>
        <v>37.01376049</v>
      </c>
      <c r="AJ8" s="7">
        <f>AJ$2*(Underlying*EXP(-DividendYield*TimeToExpiration)*_xlfn.NORM.DIST(AJ$2*(LN(Underlying/$H8)+(RiskFreeRate-DividendYield+0.5*AH8^2)*TimeToExpiration)/(AH8*TimeToExpiration^0.5), 0, 1, TRUE) - 
       $H8*EXP(-RiskFreeRate*TimeToExpiration)*_xlfn.NORM.DIST(AJ$2*(LN(Underlying/$H8)+(RiskFreeRate-DividendYield-0.5*AH8^2)*TimeToExpiration)/(AH8*TimeToExpiration^0.5), 0, 1, TRUE)
)</f>
        <v>37.01377358</v>
      </c>
      <c r="AK8" s="40">
        <f t="shared" si="17"/>
        <v>0.09471875</v>
      </c>
      <c r="AL8" s="8">
        <f>AL$2*(Underlying*EXP(-DividendYield*TimeToExpiration)*_xlfn.NORM.DIST(AL$2*(LN(Underlying/$H8)+(RiskFreeRate-DividendYield+0.5*AK8^2)*TimeToExpiration)/(AK8*TimeToExpiration^0.5), 0, 1, TRUE) - 
       $H8*EXP(-RiskFreeRate*TimeToExpiration)*_xlfn.NORM.DIST(AL$2*(LN(Underlying/$H8)+(RiskFreeRate-DividendYield-0.5*AK8^2)*TimeToExpiration)/(AK8*TimeToExpiration^0.5), 0, 1, TRUE)
)</f>
        <v>37.01376049</v>
      </c>
      <c r="AM8" s="41">
        <f t="shared" si="18"/>
        <v>0.001</v>
      </c>
      <c r="AN8" s="40">
        <f t="shared" si="19"/>
        <v>0.09471875</v>
      </c>
      <c r="AO8" s="7">
        <f>AO$2*(Underlying*EXP(-DividendYield*TimeToExpiration)*_xlfn.NORM.DIST(AO$2*(LN(Underlying/$H8)+(RiskFreeRate-DividendYield+0.5*AM8^2)*TimeToExpiration)/(AM8*TimeToExpiration^0.5), 0, 1, TRUE) - 
       $H8*EXP(-RiskFreeRate*TimeToExpiration)*_xlfn.NORM.DIST(AO$2*(LN(Underlying/$H8)+(RiskFreeRate-DividendYield-0.5*AM8^2)*TimeToExpiration)/(AM8*TimeToExpiration^0.5), 0, 1, TRUE)
)</f>
        <v>37.01376049</v>
      </c>
      <c r="AP8" s="7">
        <f>AP$2*(Underlying*EXP(-DividendYield*TimeToExpiration)*_xlfn.NORM.DIST(AP$2*(LN(Underlying/$H8)+(RiskFreeRate-DividendYield+0.5*AN8^2)*TimeToExpiration)/(AN8*TimeToExpiration^0.5), 0, 1, TRUE) - 
       $H8*EXP(-RiskFreeRate*TimeToExpiration)*_xlfn.NORM.DIST(AP$2*(LN(Underlying/$H8)+(RiskFreeRate-DividendYield-0.5*AN8^2)*TimeToExpiration)/(AN8*TimeToExpiration^0.5), 0, 1, TRUE)
)</f>
        <v>37.01376049</v>
      </c>
      <c r="AQ8" s="40">
        <f t="shared" si="20"/>
        <v>0.047859375</v>
      </c>
      <c r="AR8" s="8">
        <f>AR$2*(Underlying*EXP(-DividendYield*TimeToExpiration)*_xlfn.NORM.DIST(AR$2*(LN(Underlying/$H8)+(RiskFreeRate-DividendYield+0.5*AQ8^2)*TimeToExpiration)/(AQ8*TimeToExpiration^0.5), 0, 1, TRUE) - 
       $H8*EXP(-RiskFreeRate*TimeToExpiration)*_xlfn.NORM.DIST(AR$2*(LN(Underlying/$H8)+(RiskFreeRate-DividendYield-0.5*AQ8^2)*TimeToExpiration)/(AQ8*TimeToExpiration^0.5), 0, 1, TRUE)
)</f>
        <v>37.01376049</v>
      </c>
      <c r="AS8" s="41">
        <f t="shared" si="21"/>
        <v>0.001</v>
      </c>
      <c r="AT8" s="40">
        <f t="shared" si="22"/>
        <v>0.047859375</v>
      </c>
      <c r="AU8" s="7">
        <f>AU$2*(Underlying*EXP(-DividendYield*TimeToExpiration)*_xlfn.NORM.DIST(AU$2*(LN(Underlying/$H8)+(RiskFreeRate-DividendYield+0.5*AS8^2)*TimeToExpiration)/(AS8*TimeToExpiration^0.5), 0, 1, TRUE) - 
       $H8*EXP(-RiskFreeRate*TimeToExpiration)*_xlfn.NORM.DIST(AU$2*(LN(Underlying/$H8)+(RiskFreeRate-DividendYield-0.5*AS8^2)*TimeToExpiration)/(AS8*TimeToExpiration^0.5), 0, 1, TRUE)
)</f>
        <v>37.01376049</v>
      </c>
      <c r="AV8" s="7">
        <f>AV$2*(Underlying*EXP(-DividendYield*TimeToExpiration)*_xlfn.NORM.DIST(AV$2*(LN(Underlying/$H8)+(RiskFreeRate-DividendYield+0.5*AT8^2)*TimeToExpiration)/(AT8*TimeToExpiration^0.5), 0, 1, TRUE) - 
       $H8*EXP(-RiskFreeRate*TimeToExpiration)*_xlfn.NORM.DIST(AV$2*(LN(Underlying/$H8)+(RiskFreeRate-DividendYield-0.5*AT8^2)*TimeToExpiration)/(AT8*TimeToExpiration^0.5), 0, 1, TRUE)
)</f>
        <v>37.01376049</v>
      </c>
      <c r="AW8" s="40">
        <f t="shared" si="23"/>
        <v>0.0244296875</v>
      </c>
      <c r="AX8" s="8">
        <f>AX$2*(Underlying*EXP(-DividendYield*TimeToExpiration)*_xlfn.NORM.DIST(AX$2*(LN(Underlying/$H8)+(RiskFreeRate-DividendYield+0.5*AW8^2)*TimeToExpiration)/(AW8*TimeToExpiration^0.5), 0, 1, TRUE) - 
       $H8*EXP(-RiskFreeRate*TimeToExpiration)*_xlfn.NORM.DIST(AX$2*(LN(Underlying/$H8)+(RiskFreeRate-DividendYield-0.5*AW8^2)*TimeToExpiration)/(AW8*TimeToExpiration^0.5), 0, 1, TRUE)
)</f>
        <v>37.01376049</v>
      </c>
      <c r="AY8" s="41">
        <f t="shared" si="24"/>
        <v>0.001</v>
      </c>
      <c r="AZ8" s="40">
        <f t="shared" si="25"/>
        <v>0.0244296875</v>
      </c>
      <c r="BA8" s="7">
        <f>BA$2*(Underlying*EXP(-DividendYield*TimeToExpiration)*_xlfn.NORM.DIST(BA$2*(LN(Underlying/$H8)+(RiskFreeRate-DividendYield+0.5*AY8^2)*TimeToExpiration)/(AY8*TimeToExpiration^0.5), 0, 1, TRUE) - 
       $H8*EXP(-RiskFreeRate*TimeToExpiration)*_xlfn.NORM.DIST(BA$2*(LN(Underlying/$H8)+(RiskFreeRate-DividendYield-0.5*AY8^2)*TimeToExpiration)/(AY8*TimeToExpiration^0.5), 0, 1, TRUE)
)</f>
        <v>37.01376049</v>
      </c>
      <c r="BB8" s="7">
        <f>BB$2*(Underlying*EXP(-DividendYield*TimeToExpiration)*_xlfn.NORM.DIST(BB$2*(LN(Underlying/$H8)+(RiskFreeRate-DividendYield+0.5*AZ8^2)*TimeToExpiration)/(AZ8*TimeToExpiration^0.5), 0, 1, TRUE) - 
       $H8*EXP(-RiskFreeRate*TimeToExpiration)*_xlfn.NORM.DIST(BB$2*(LN(Underlying/$H8)+(RiskFreeRate-DividendYield-0.5*AZ8^2)*TimeToExpiration)/(AZ8*TimeToExpiration^0.5), 0, 1, TRUE)
)</f>
        <v>37.01376049</v>
      </c>
      <c r="BC8" s="40">
        <f t="shared" si="26"/>
        <v>0.01271484375</v>
      </c>
      <c r="BD8" s="8">
        <f>BD$2*(Underlying*EXP(-DividendYield*TimeToExpiration)*_xlfn.NORM.DIST(BD$2*(LN(Underlying/$H8)+(RiskFreeRate-DividendYield+0.5*BC8^2)*TimeToExpiration)/(BC8*TimeToExpiration^0.5), 0, 1, TRUE) - 
       $H8*EXP(-RiskFreeRate*TimeToExpiration)*_xlfn.NORM.DIST(BD$2*(LN(Underlying/$H8)+(RiskFreeRate-DividendYield-0.5*BC8^2)*TimeToExpiration)/(BC8*TimeToExpiration^0.5), 0, 1, TRUE)
)</f>
        <v>37.01376049</v>
      </c>
      <c r="BE8" s="41">
        <f t="shared" si="27"/>
        <v>0.001</v>
      </c>
      <c r="BF8" s="40">
        <f t="shared" si="28"/>
        <v>0.01271484375</v>
      </c>
      <c r="BG8" s="7">
        <f>BG$2*(Underlying*EXP(-DividendYield*TimeToExpiration)*_xlfn.NORM.DIST(BG$2*(LN(Underlying/$H8)+(RiskFreeRate-DividendYield+0.5*BE8^2)*TimeToExpiration)/(BE8*TimeToExpiration^0.5), 0, 1, TRUE) - 
       $H8*EXP(-RiskFreeRate*TimeToExpiration)*_xlfn.NORM.DIST(BG$2*(LN(Underlying/$H8)+(RiskFreeRate-DividendYield-0.5*BE8^2)*TimeToExpiration)/(BE8*TimeToExpiration^0.5), 0, 1, TRUE)
)</f>
        <v>37.01376049</v>
      </c>
      <c r="BH8" s="7">
        <f>BH$2*(Underlying*EXP(-DividendYield*TimeToExpiration)*_xlfn.NORM.DIST(BH$2*(LN(Underlying/$H8)+(RiskFreeRate-DividendYield+0.5*BF8^2)*TimeToExpiration)/(BF8*TimeToExpiration^0.5), 0, 1, TRUE) - 
       $H8*EXP(-RiskFreeRate*TimeToExpiration)*_xlfn.NORM.DIST(BH$2*(LN(Underlying/$H8)+(RiskFreeRate-DividendYield-0.5*BF8^2)*TimeToExpiration)/(BF8*TimeToExpiration^0.5), 0, 1, TRUE)
)</f>
        <v>37.01376049</v>
      </c>
      <c r="BI8" s="40">
        <f t="shared" si="29"/>
        <v>0.006857421875</v>
      </c>
      <c r="BJ8" s="8">
        <f>BJ$2*(Underlying*EXP(-DividendYield*TimeToExpiration)*_xlfn.NORM.DIST(BJ$2*(LN(Underlying/$H8)+(RiskFreeRate-DividendYield+0.5*BI8^2)*TimeToExpiration)/(BI8*TimeToExpiration^0.5), 0, 1, TRUE) - 
       $H8*EXP(-RiskFreeRate*TimeToExpiration)*_xlfn.NORM.DIST(BJ$2*(LN(Underlying/$H8)+(RiskFreeRate-DividendYield-0.5*BI8^2)*TimeToExpiration)/(BI8*TimeToExpiration^0.5), 0, 1, TRUE)
)</f>
        <v>37.01376049</v>
      </c>
      <c r="BK8" s="41">
        <f t="shared" si="30"/>
        <v>0.001</v>
      </c>
      <c r="BL8" s="40">
        <f t="shared" si="31"/>
        <v>0.006857421875</v>
      </c>
      <c r="BM8" s="7">
        <f>BM$2*(Underlying*EXP(-DividendYield*TimeToExpiration)*_xlfn.NORM.DIST(BM$2*(LN(Underlying/$H8)+(RiskFreeRate-DividendYield+0.5*BK8^2)*TimeToExpiration)/(BK8*TimeToExpiration^0.5), 0, 1, TRUE) - 
       $H8*EXP(-RiskFreeRate*TimeToExpiration)*_xlfn.NORM.DIST(BM$2*(LN(Underlying/$H8)+(RiskFreeRate-DividendYield-0.5*BK8^2)*TimeToExpiration)/(BK8*TimeToExpiration^0.5), 0, 1, TRUE)
)</f>
        <v>37.01376049</v>
      </c>
      <c r="BN8" s="7">
        <f>BN$2*(Underlying*EXP(-DividendYield*TimeToExpiration)*_xlfn.NORM.DIST(BN$2*(LN(Underlying/$H8)+(RiskFreeRate-DividendYield+0.5*BL8^2)*TimeToExpiration)/(BL8*TimeToExpiration^0.5), 0, 1, TRUE) - 
       $H8*EXP(-RiskFreeRate*TimeToExpiration)*_xlfn.NORM.DIST(BN$2*(LN(Underlying/$H8)+(RiskFreeRate-DividendYield-0.5*BL8^2)*TimeToExpiration)/(BL8*TimeToExpiration^0.5), 0, 1, TRUE)
)</f>
        <v>37.01376049</v>
      </c>
      <c r="BO8" s="40">
        <f t="shared" si="32"/>
        <v>0.003928710938</v>
      </c>
      <c r="BP8" s="8">
        <f>BP$2*(Underlying*EXP(-DividendYield*TimeToExpiration)*_xlfn.NORM.DIST(BP$2*(LN(Underlying/$H8)+(RiskFreeRate-DividendYield+0.5*BO8^2)*TimeToExpiration)/(BO8*TimeToExpiration^0.5), 0, 1, TRUE) - 
       $H8*EXP(-RiskFreeRate*TimeToExpiration)*_xlfn.NORM.DIST(BP$2*(LN(Underlying/$H8)+(RiskFreeRate-DividendYield-0.5*BO8^2)*TimeToExpiration)/(BO8*TimeToExpiration^0.5), 0, 1, TRUE)
)</f>
        <v>37.01376049</v>
      </c>
      <c r="BQ8" s="41">
        <f t="shared" si="33"/>
        <v>0.001</v>
      </c>
      <c r="BR8" s="40">
        <f t="shared" si="34"/>
        <v>0.003928710938</v>
      </c>
      <c r="BS8" s="7">
        <f>BS$2*(Underlying*EXP(-DividendYield*TimeToExpiration)*_xlfn.NORM.DIST(BS$2*(LN(Underlying/$H8)+(RiskFreeRate-DividendYield+0.5*BQ8^2)*TimeToExpiration)/(BQ8*TimeToExpiration^0.5), 0, 1, TRUE) - 
       $H8*EXP(-RiskFreeRate*TimeToExpiration)*_xlfn.NORM.DIST(BS$2*(LN(Underlying/$H8)+(RiskFreeRate-DividendYield-0.5*BQ8^2)*TimeToExpiration)/(BQ8*TimeToExpiration^0.5), 0, 1, TRUE)
)</f>
        <v>37.01376049</v>
      </c>
      <c r="BT8" s="7">
        <f>BT$2*(Underlying*EXP(-DividendYield*TimeToExpiration)*_xlfn.NORM.DIST(BT$2*(LN(Underlying/$H8)+(RiskFreeRate-DividendYield+0.5*BR8^2)*TimeToExpiration)/(BR8*TimeToExpiration^0.5), 0, 1, TRUE) - 
       $H8*EXP(-RiskFreeRate*TimeToExpiration)*_xlfn.NORM.DIST(BT$2*(LN(Underlying/$H8)+(RiskFreeRate-DividendYield-0.5*BR8^2)*TimeToExpiration)/(BR8*TimeToExpiration^0.5), 0, 1, TRUE)
)</f>
        <v>37.01376049</v>
      </c>
      <c r="BU8" s="40">
        <f t="shared" si="35"/>
        <v>0.002464355469</v>
      </c>
      <c r="BV8" s="8">
        <f>BV$2*(Underlying*EXP(-DividendYield*TimeToExpiration)*_xlfn.NORM.DIST(BV$2*(LN(Underlying/$H8)+(RiskFreeRate-DividendYield+0.5*BU8^2)*TimeToExpiration)/(BU8*TimeToExpiration^0.5), 0, 1, TRUE) - 
       $H8*EXP(-RiskFreeRate*TimeToExpiration)*_xlfn.NORM.DIST(BV$2*(LN(Underlying/$H8)+(RiskFreeRate-DividendYield-0.5*BU8^2)*TimeToExpiration)/(BU8*TimeToExpiration^0.5), 0, 1, TRUE)
)</f>
        <v>37.01376049</v>
      </c>
      <c r="BW8" s="41">
        <f t="shared" si="36"/>
        <v>0.001</v>
      </c>
      <c r="BX8" s="40">
        <f t="shared" si="37"/>
        <v>0.002464355469</v>
      </c>
      <c r="BY8" s="7">
        <f>BY$2*(Underlying*EXP(-DividendYield*TimeToExpiration)*_xlfn.NORM.DIST(BY$2*(LN(Underlying/$H8)+(RiskFreeRate-DividendYield+0.5*BW8^2)*TimeToExpiration)/(BW8*TimeToExpiration^0.5), 0, 1, TRUE) - 
       $H8*EXP(-RiskFreeRate*TimeToExpiration)*_xlfn.NORM.DIST(BY$2*(LN(Underlying/$H8)+(RiskFreeRate-DividendYield-0.5*BW8^2)*TimeToExpiration)/(BW8*TimeToExpiration^0.5), 0, 1, TRUE)
)</f>
        <v>37.01376049</v>
      </c>
      <c r="BZ8" s="7">
        <f>BZ$2*(Underlying*EXP(-DividendYield*TimeToExpiration)*_xlfn.NORM.DIST(BZ$2*(LN(Underlying/$H8)+(RiskFreeRate-DividendYield+0.5*BX8^2)*TimeToExpiration)/(BX8*TimeToExpiration^0.5), 0, 1, TRUE) - 
       $H8*EXP(-RiskFreeRate*TimeToExpiration)*_xlfn.NORM.DIST(BZ$2*(LN(Underlying/$H8)+(RiskFreeRate-DividendYield-0.5*BX8^2)*TimeToExpiration)/(BX8*TimeToExpiration^0.5), 0, 1, TRUE)
)</f>
        <v>37.01376049</v>
      </c>
      <c r="CA8" s="40">
        <f t="shared" si="38"/>
        <v>0.001732177734</v>
      </c>
      <c r="CB8" s="8">
        <f>CB$2*(Underlying*EXP(-DividendYield*TimeToExpiration)*_xlfn.NORM.DIST(CB$2*(LN(Underlying/$H8)+(RiskFreeRate-DividendYield+0.5*CA8^2)*TimeToExpiration)/(CA8*TimeToExpiration^0.5), 0, 1, TRUE) - 
       $H8*EXP(-RiskFreeRate*TimeToExpiration)*_xlfn.NORM.DIST(CB$2*(LN(Underlying/$H8)+(RiskFreeRate-DividendYield-0.5*CA8^2)*TimeToExpiration)/(CA8*TimeToExpiration^0.5), 0, 1, TRUE)
)</f>
        <v>37.01376049</v>
      </c>
      <c r="CC8" s="41">
        <f t="shared" si="39"/>
        <v>0.001</v>
      </c>
      <c r="CD8" s="40">
        <f t="shared" si="40"/>
        <v>0.001732177734</v>
      </c>
      <c r="CE8" s="7">
        <f>CE$2*(Underlying*EXP(-DividendYield*TimeToExpiration)*_xlfn.NORM.DIST(CE$2*(LN(Underlying/$H8)+(RiskFreeRate-DividendYield+0.5*CC8^2)*TimeToExpiration)/(CC8*TimeToExpiration^0.5), 0, 1, TRUE) - 
       $H8*EXP(-RiskFreeRate*TimeToExpiration)*_xlfn.NORM.DIST(CE$2*(LN(Underlying/$H8)+(RiskFreeRate-DividendYield-0.5*CC8^2)*TimeToExpiration)/(CC8*TimeToExpiration^0.5), 0, 1, TRUE)
)</f>
        <v>37.01376049</v>
      </c>
      <c r="CF8" s="7">
        <f>CF$2*(Underlying*EXP(-DividendYield*TimeToExpiration)*_xlfn.NORM.DIST(CF$2*(LN(Underlying/$H8)+(RiskFreeRate-DividendYield+0.5*CD8^2)*TimeToExpiration)/(CD8*TimeToExpiration^0.5), 0, 1, TRUE) - 
       $H8*EXP(-RiskFreeRate*TimeToExpiration)*_xlfn.NORM.DIST(CF$2*(LN(Underlying/$H8)+(RiskFreeRate-DividendYield-0.5*CD8^2)*TimeToExpiration)/(CD8*TimeToExpiration^0.5), 0, 1, TRUE)
)</f>
        <v>37.01376049</v>
      </c>
      <c r="CG8" s="40">
        <f t="shared" si="41"/>
        <v>0.001366088867</v>
      </c>
      <c r="CH8" s="8">
        <f>CH$2*(Underlying*EXP(-DividendYield*TimeToExpiration)*_xlfn.NORM.DIST(CH$2*(LN(Underlying/$H8)+(RiskFreeRate-DividendYield+0.5*CG8^2)*TimeToExpiration)/(CG8*TimeToExpiration^0.5), 0, 1, TRUE) - 
       $H8*EXP(-RiskFreeRate*TimeToExpiration)*_xlfn.NORM.DIST(CH$2*(LN(Underlying/$H8)+(RiskFreeRate-DividendYield-0.5*CG8^2)*TimeToExpiration)/(CG8*TimeToExpiration^0.5), 0, 1, TRUE)
)</f>
        <v>37.01376049</v>
      </c>
      <c r="CI8" s="41">
        <f t="shared" si="42"/>
        <v>0.001</v>
      </c>
      <c r="CJ8" s="40">
        <f t="shared" si="43"/>
        <v>0.001366088867</v>
      </c>
      <c r="CK8" s="7">
        <f>CK$2*(Underlying*EXP(-DividendYield*TimeToExpiration)*_xlfn.NORM.DIST(CK$2*(LN(Underlying/$H8)+(RiskFreeRate-DividendYield+0.5*CI8^2)*TimeToExpiration)/(CI8*TimeToExpiration^0.5), 0, 1, TRUE) - 
       $H8*EXP(-RiskFreeRate*TimeToExpiration)*_xlfn.NORM.DIST(CK$2*(LN(Underlying/$H8)+(RiskFreeRate-DividendYield-0.5*CI8^2)*TimeToExpiration)/(CI8*TimeToExpiration^0.5), 0, 1, TRUE)
)</f>
        <v>37.01376049</v>
      </c>
      <c r="CL8" s="7">
        <f>CL$2*(Underlying*EXP(-DividendYield*TimeToExpiration)*_xlfn.NORM.DIST(CL$2*(LN(Underlying/$H8)+(RiskFreeRate-DividendYield+0.5*CJ8^2)*TimeToExpiration)/(CJ8*TimeToExpiration^0.5), 0, 1, TRUE) - 
       $H8*EXP(-RiskFreeRate*TimeToExpiration)*_xlfn.NORM.DIST(CL$2*(LN(Underlying/$H8)+(RiskFreeRate-DividendYield-0.5*CJ8^2)*TimeToExpiration)/(CJ8*TimeToExpiration^0.5), 0, 1, TRUE)
)</f>
        <v>37.01376049</v>
      </c>
      <c r="CM8" s="40">
        <f t="shared" si="44"/>
        <v>0.001183044434</v>
      </c>
      <c r="CN8" s="8">
        <f>CN$2*(Underlying*EXP(-DividendYield*TimeToExpiration)*_xlfn.NORM.DIST(CN$2*(LN(Underlying/$H8)+(RiskFreeRate-DividendYield+0.5*CM8^2)*TimeToExpiration)/(CM8*TimeToExpiration^0.5), 0, 1, TRUE) - 
       $H8*EXP(-RiskFreeRate*TimeToExpiration)*_xlfn.NORM.DIST(CN$2*(LN(Underlying/$H8)+(RiskFreeRate-DividendYield-0.5*CM8^2)*TimeToExpiration)/(CM8*TimeToExpiration^0.5), 0, 1, TRUE)
)</f>
        <v>37.01376049</v>
      </c>
      <c r="CO8" s="41">
        <f t="shared" si="45"/>
        <v>0.001</v>
      </c>
      <c r="CP8" s="40">
        <f t="shared" si="46"/>
        <v>0.001183044434</v>
      </c>
      <c r="CQ8" s="7">
        <f>CQ$2*(Underlying*EXP(-DividendYield*TimeToExpiration)*_xlfn.NORM.DIST(CQ$2*(LN(Underlying/$H8)+(RiskFreeRate-DividendYield+0.5*CO8^2)*TimeToExpiration)/(CO8*TimeToExpiration^0.5), 0, 1, TRUE) - 
       $H8*EXP(-RiskFreeRate*TimeToExpiration)*_xlfn.NORM.DIST(CQ$2*(LN(Underlying/$H8)+(RiskFreeRate-DividendYield-0.5*CO8^2)*TimeToExpiration)/(CO8*TimeToExpiration^0.5), 0, 1, TRUE)
)</f>
        <v>37.01376049</v>
      </c>
      <c r="CR8" s="7">
        <f>CR$2*(Underlying*EXP(-DividendYield*TimeToExpiration)*_xlfn.NORM.DIST(CR$2*(LN(Underlying/$H8)+(RiskFreeRate-DividendYield+0.5*CP8^2)*TimeToExpiration)/(CP8*TimeToExpiration^0.5), 0, 1, TRUE) - 
       $H8*EXP(-RiskFreeRate*TimeToExpiration)*_xlfn.NORM.DIST(CR$2*(LN(Underlying/$H8)+(RiskFreeRate-DividendYield-0.5*CP8^2)*TimeToExpiration)/(CP8*TimeToExpiration^0.5), 0, 1, TRUE)
)</f>
        <v>37.01376049</v>
      </c>
      <c r="CS8" s="40">
        <f t="shared" si="47"/>
        <v>0.001091522217</v>
      </c>
      <c r="CT8" s="8">
        <f>CT$2*(Underlying*EXP(-DividendYield*TimeToExpiration)*_xlfn.NORM.DIST(CT$2*(LN(Underlying/$H8)+(RiskFreeRate-DividendYield+0.5*CS8^2)*TimeToExpiration)/(CS8*TimeToExpiration^0.5), 0, 1, TRUE) - 
       $H8*EXP(-RiskFreeRate*TimeToExpiration)*_xlfn.NORM.DIST(CT$2*(LN(Underlying/$H8)+(RiskFreeRate-DividendYield-0.5*CS8^2)*TimeToExpiration)/(CS8*TimeToExpiration^0.5), 0, 1, TRUE)
)</f>
        <v>37.01376049</v>
      </c>
      <c r="CU8" s="41">
        <f t="shared" si="48"/>
        <v>0.001</v>
      </c>
      <c r="CV8" s="40">
        <f t="shared" si="49"/>
        <v>0.001091522217</v>
      </c>
      <c r="CW8" s="7">
        <f>CW$2*(Underlying*EXP(-DividendYield*TimeToExpiration)*_xlfn.NORM.DIST(CW$2*(LN(Underlying/$H8)+(RiskFreeRate-DividendYield+0.5*CU8^2)*TimeToExpiration)/(CU8*TimeToExpiration^0.5), 0, 1, TRUE) - 
       $H8*EXP(-RiskFreeRate*TimeToExpiration)*_xlfn.NORM.DIST(CW$2*(LN(Underlying/$H8)+(RiskFreeRate-DividendYield-0.5*CU8^2)*TimeToExpiration)/(CU8*TimeToExpiration^0.5), 0, 1, TRUE)
)</f>
        <v>37.01376049</v>
      </c>
      <c r="CX8" s="7">
        <f>CX$2*(Underlying*EXP(-DividendYield*TimeToExpiration)*_xlfn.NORM.DIST(CX$2*(LN(Underlying/$H8)+(RiskFreeRate-DividendYield+0.5*CV8^2)*TimeToExpiration)/(CV8*TimeToExpiration^0.5), 0, 1, TRUE) - 
       $H8*EXP(-RiskFreeRate*TimeToExpiration)*_xlfn.NORM.DIST(CX$2*(LN(Underlying/$H8)+(RiskFreeRate-DividendYield-0.5*CV8^2)*TimeToExpiration)/(CV8*TimeToExpiration^0.5), 0, 1, TRUE)
)</f>
        <v>37.01376049</v>
      </c>
      <c r="CY8" s="40">
        <f t="shared" si="50"/>
        <v>0.001045761108</v>
      </c>
      <c r="CZ8" s="8">
        <f>CZ$2*(Underlying*EXP(-DividendYield*TimeToExpiration)*_xlfn.NORM.DIST(CZ$2*(LN(Underlying/$H8)+(RiskFreeRate-DividendYield+0.5*CY8^2)*TimeToExpiration)/(CY8*TimeToExpiration^0.5), 0, 1, TRUE) - 
       $H8*EXP(-RiskFreeRate*TimeToExpiration)*_xlfn.NORM.DIST(CZ$2*(LN(Underlying/$H8)+(RiskFreeRate-DividendYield-0.5*CY8^2)*TimeToExpiration)/(CY8*TimeToExpiration^0.5), 0, 1, TRUE)
)</f>
        <v>37.01376049</v>
      </c>
      <c r="DA8" s="41">
        <f t="shared" si="51"/>
        <v>0.001</v>
      </c>
      <c r="DB8" s="40">
        <f t="shared" si="52"/>
        <v>0.001045761108</v>
      </c>
      <c r="DC8" s="7">
        <f>DC$2*(Underlying*EXP(-DividendYield*TimeToExpiration)*_xlfn.NORM.DIST(DC$2*(LN(Underlying/$H8)+(RiskFreeRate-DividendYield+0.5*DA8^2)*TimeToExpiration)/(DA8*TimeToExpiration^0.5), 0, 1, TRUE) - 
       $H8*EXP(-RiskFreeRate*TimeToExpiration)*_xlfn.NORM.DIST(DC$2*(LN(Underlying/$H8)+(RiskFreeRate-DividendYield-0.5*DA8^2)*TimeToExpiration)/(DA8*TimeToExpiration^0.5), 0, 1, TRUE)
)</f>
        <v>37.01376049</v>
      </c>
      <c r="DD8" s="7">
        <f>DD$2*(Underlying*EXP(-DividendYield*TimeToExpiration)*_xlfn.NORM.DIST(DD$2*(LN(Underlying/$H8)+(RiskFreeRate-DividendYield+0.5*DB8^2)*TimeToExpiration)/(DB8*TimeToExpiration^0.5), 0, 1, TRUE) - 
       $H8*EXP(-RiskFreeRate*TimeToExpiration)*_xlfn.NORM.DIST(DD$2*(LN(Underlying/$H8)+(RiskFreeRate-DividendYield-0.5*DB8^2)*TimeToExpiration)/(DB8*TimeToExpiration^0.5), 0, 1, TRUE)
)</f>
        <v>37.01376049</v>
      </c>
      <c r="DE8" s="40">
        <f t="shared" si="53"/>
        <v>0.001022880554</v>
      </c>
      <c r="DF8" s="8">
        <f>DF$2*(Underlying*EXP(-DividendYield*TimeToExpiration)*_xlfn.NORM.DIST(DF$2*(LN(Underlying/$H8)+(RiskFreeRate-DividendYield+0.5*DE8^2)*TimeToExpiration)/(DE8*TimeToExpiration^0.5), 0, 1, TRUE) - 
       $H8*EXP(-RiskFreeRate*TimeToExpiration)*_xlfn.NORM.DIST(DF$2*(LN(Underlying/$H8)+(RiskFreeRate-DividendYield-0.5*DE8^2)*TimeToExpiration)/(DE8*TimeToExpiration^0.5), 0, 1, TRUE)
)</f>
        <v>37.01376049</v>
      </c>
    </row>
    <row r="9">
      <c r="A9" s="20">
        <f>'Option Mkt Data'!A9</f>
        <v>305</v>
      </c>
      <c r="B9" s="35">
        <f t="shared" ref="B9:C9" si="56">DE9</f>
        <v>0.485404213</v>
      </c>
      <c r="C9" s="7">
        <f t="shared" si="56"/>
        <v>35.07496593</v>
      </c>
      <c r="D9" s="7">
        <f t="shared" si="3"/>
        <v>0.00003865380877</v>
      </c>
      <c r="E9" s="9">
        <f t="shared" si="4"/>
        <v>0.000001102032893</v>
      </c>
      <c r="F9" s="36">
        <f>D9/'Option Mkt Data'!L9</f>
        <v>0.0001104423441</v>
      </c>
      <c r="G9" s="5">
        <f>'Option Mkt Data'!J9</f>
        <v>35.07500458</v>
      </c>
      <c r="H9" s="33">
        <f>'Option Mkt Data'!A9</f>
        <v>305</v>
      </c>
      <c r="I9" s="37">
        <f>MinSolverVola</f>
        <v>0.001</v>
      </c>
      <c r="J9" s="38">
        <f>MaxSolverVola</f>
        <v>3</v>
      </c>
      <c r="K9" s="39">
        <f>K$2*(Underlying*EXP(-DividendYield*TimeToExpiration)*_xlfn.NORM.DIST(K$2*(LN(Underlying/$H9)+(RiskFreeRate-DividendYield+0.5*I9^2)*TimeToExpiration)/(I9*TimeToExpiration^0.5), 0, 1, TRUE) - 
       $H9*EXP(-RiskFreeRate*TimeToExpiration)*_xlfn.NORM.DIST(K$2*(LN(Underlying/$H9)+(RiskFreeRate-DividendYield-0.5*I9^2)*TimeToExpiration)/(I9*TimeToExpiration^0.5), 0, 1, TRUE)
)</f>
        <v>34.51594033</v>
      </c>
      <c r="L9" s="7">
        <f>L$2*(Underlying*EXP(-DividendYield*TimeToExpiration)*_xlfn.NORM.DIST(L$2*(LN(Underlying/$H9)+(RiskFreeRate-DividendYield+0.5*J9^2)*TimeToExpiration)/(J9*TimeToExpiration^0.5), 0, 1, TRUE) - 
       $H9*EXP(-RiskFreeRate*TimeToExpiration)*_xlfn.NORM.DIST(L$2*(LN(Underlying/$H9)+(RiskFreeRate-DividendYield-0.5*J9^2)*TimeToExpiration)/(J9*TimeToExpiration^0.5), 0, 1, TRUE)
)</f>
        <v>73.04191067</v>
      </c>
      <c r="M9" s="40">
        <f t="shared" si="5"/>
        <v>1.5005</v>
      </c>
      <c r="N9" s="8">
        <f>N$2*(Underlying*EXP(-DividendYield*TimeToExpiration)*_xlfn.NORM.DIST(N$2*(LN(Underlying/$H9)+(RiskFreeRate-DividendYield+0.5*M9^2)*TimeToExpiration)/(M9*TimeToExpiration^0.5), 0, 1, TRUE) - 
       $H9*EXP(-RiskFreeRate*TimeToExpiration)*_xlfn.NORM.DIST(N$2*(LN(Underlying/$H9)+(RiskFreeRate-DividendYield-0.5*M9^2)*TimeToExpiration)/(M9*TimeToExpiration^0.5), 0, 1, TRUE)
)</f>
        <v>47.85356075</v>
      </c>
      <c r="O9" s="41">
        <f t="shared" si="6"/>
        <v>0.001</v>
      </c>
      <c r="P9" s="40">
        <f t="shared" si="7"/>
        <v>1.5005</v>
      </c>
      <c r="Q9" s="7">
        <f>Q$2*(Underlying*EXP(-DividendYield*TimeToExpiration)*_xlfn.NORM.DIST(Q$2*(LN(Underlying/$H9)+(RiskFreeRate-DividendYield+0.5*O9^2)*TimeToExpiration)/(O9*TimeToExpiration^0.5), 0, 1, TRUE) - 
       $H9*EXP(-RiskFreeRate*TimeToExpiration)*_xlfn.NORM.DIST(Q$2*(LN(Underlying/$H9)+(RiskFreeRate-DividendYield-0.5*O9^2)*TimeToExpiration)/(O9*TimeToExpiration^0.5), 0, 1, TRUE))</f>
        <v>34.51594033</v>
      </c>
      <c r="R9" s="7">
        <f>R$2*(Underlying*EXP(-DividendYield*TimeToExpiration)*_xlfn.NORM.DIST(R$2*(LN(Underlying/$H9)+(RiskFreeRate-DividendYield+0.5*P9^2)*TimeToExpiration)/(P9*TimeToExpiration^0.5), 0, 1, TRUE) - 
       $H9*EXP(-RiskFreeRate*TimeToExpiration)*_xlfn.NORM.DIST(R$2*(LN(Underlying/$H9)+(RiskFreeRate-DividendYield-0.5*P9^2)*TimeToExpiration)/(P9*TimeToExpiration^0.5), 0, 1, TRUE)
)</f>
        <v>47.85356075</v>
      </c>
      <c r="S9" s="40">
        <f t="shared" si="8"/>
        <v>0.75075</v>
      </c>
      <c r="T9" s="8">
        <f>T$2*(Underlying*EXP(-DividendYield*TimeToExpiration)*_xlfn.NORM.DIST(T$2*(LN(Underlying/$H9)+(RiskFreeRate-DividendYield+0.5*S9^2)*TimeToExpiration)/(S9*TimeToExpiration^0.5), 0, 1, TRUE) - 
       $H9*EXP(-RiskFreeRate*TimeToExpiration)*_xlfn.NORM.DIST(T$2*(LN(Underlying/$H9)+(RiskFreeRate-DividendYield-0.5*S9^2)*TimeToExpiration)/(S9*TimeToExpiration^0.5), 0, 1, TRUE)
)</f>
        <v>37.30025746</v>
      </c>
      <c r="U9" s="41">
        <f t="shared" si="9"/>
        <v>0.001</v>
      </c>
      <c r="V9" s="40">
        <f t="shared" si="10"/>
        <v>0.75075</v>
      </c>
      <c r="W9" s="7">
        <f>W$2*(Underlying*EXP(-DividendYield*TimeToExpiration)*_xlfn.NORM.DIST(W$2*(LN(Underlying/$H9)+(RiskFreeRate-DividendYield+0.5*U9^2)*TimeToExpiration)/(U9*TimeToExpiration^0.5), 0, 1, TRUE) - 
       $H9*EXP(-RiskFreeRate*TimeToExpiration)*_xlfn.NORM.DIST(W$2*(LN(Underlying/$H9)+(RiskFreeRate-DividendYield-0.5*U9^2)*TimeToExpiration)/(U9*TimeToExpiration^0.5), 0, 1, TRUE)
)</f>
        <v>34.51594033</v>
      </c>
      <c r="X9" s="7">
        <f>X$2*(Underlying*EXP(-DividendYield*TimeToExpiration)*_xlfn.NORM.DIST(X$2*(LN(Underlying/$H9)+(RiskFreeRate-DividendYield+0.5*V9^2)*TimeToExpiration)/(V9*TimeToExpiration^0.5), 0, 1, TRUE) - 
       $H9*EXP(-RiskFreeRate*TimeToExpiration)*_xlfn.NORM.DIST(X$2*(LN(Underlying/$H9)+(RiskFreeRate-DividendYield-0.5*V9^2)*TimeToExpiration)/(V9*TimeToExpiration^0.5), 0, 1, TRUE)
)</f>
        <v>37.30025746</v>
      </c>
      <c r="Y9" s="40">
        <f t="shared" si="11"/>
        <v>0.375875</v>
      </c>
      <c r="Z9" s="8">
        <f>Z$2*(Underlying*EXP(-DividendYield*TimeToExpiration)*_xlfn.NORM.DIST(Z$2*(LN(Underlying/$H9)+(RiskFreeRate-DividendYield+0.5*Y9^2)*TimeToExpiration)/(Y9*TimeToExpiration^0.5), 0, 1, TRUE) - 
       $H9*EXP(-RiskFreeRate*TimeToExpiration)*_xlfn.NORM.DIST(Z$2*(LN(Underlying/$H9)+(RiskFreeRate-DividendYield-0.5*Y9^2)*TimeToExpiration)/(Y9*TimeToExpiration^0.5), 0, 1, TRUE)
)</f>
        <v>34.65393348</v>
      </c>
      <c r="AA9" s="40">
        <f t="shared" si="12"/>
        <v>0.375875</v>
      </c>
      <c r="AB9" s="40">
        <f t="shared" si="13"/>
        <v>0.75075</v>
      </c>
      <c r="AC9" s="7">
        <f>AC$2*(Underlying*EXP(-DividendYield*TimeToExpiration)*_xlfn.NORM.DIST(AC$2*(LN(Underlying/$H9)+(RiskFreeRate-DividendYield+0.5*AA9^2)*TimeToExpiration)/(AA9*TimeToExpiration^0.5), 0, 1, TRUE) - 
       $H9*EXP(-RiskFreeRate*TimeToExpiration)*_xlfn.NORM.DIST(AC$2*(LN(Underlying/$H9)+(RiskFreeRate-DividendYield-0.5*AA9^2)*TimeToExpiration)/(AA9*TimeToExpiration^0.5), 0, 1, TRUE)
)</f>
        <v>34.65393348</v>
      </c>
      <c r="AD9" s="7">
        <f>AD$2*(Underlying*EXP(-DividendYield*TimeToExpiration)*_xlfn.NORM.DIST(AD$2*(LN(Underlying/$H9)+(RiskFreeRate-DividendYield+0.5*AB9^2)*TimeToExpiration)/(AB9*TimeToExpiration^0.5), 0, 1, TRUE) - 
       $H9*EXP(-RiskFreeRate*TimeToExpiration)*_xlfn.NORM.DIST(AD$2*(LN(Underlying/$H9)+(RiskFreeRate-DividendYield-0.5*AB9^2)*TimeToExpiration)/(AB9*TimeToExpiration^0.5), 0, 1, TRUE)
)</f>
        <v>37.30025746</v>
      </c>
      <c r="AE9" s="40">
        <f t="shared" si="14"/>
        <v>0.5633125</v>
      </c>
      <c r="AF9" s="8">
        <f>AF$2*(Underlying*EXP(-DividendYield*TimeToExpiration)*_xlfn.NORM.DIST(AF$2*(LN(Underlying/$H9)+(RiskFreeRate-DividendYield+0.5*AE9^2)*TimeToExpiration)/(AE9*TimeToExpiration^0.5), 0, 1, TRUE) - 
       $H9*EXP(-RiskFreeRate*TimeToExpiration)*_xlfn.NORM.DIST(AF$2*(LN(Underlying/$H9)+(RiskFreeRate-DividendYield-0.5*AE9^2)*TimeToExpiration)/(AE9*TimeToExpiration^0.5), 0, 1, TRUE)
)</f>
        <v>35.56983387</v>
      </c>
      <c r="AG9" s="40">
        <f t="shared" si="15"/>
        <v>0.375875</v>
      </c>
      <c r="AH9" s="40">
        <f t="shared" si="16"/>
        <v>0.5633125</v>
      </c>
      <c r="AI9" s="7">
        <f>AI$2*(Underlying*EXP(-DividendYield*TimeToExpiration)*_xlfn.NORM.DIST(AI$2*(LN(Underlying/$H9)+(RiskFreeRate-DividendYield+0.5*AG9^2)*TimeToExpiration)/(AG9*TimeToExpiration^0.5), 0, 1, TRUE) - 
       $H9*EXP(-RiskFreeRate*TimeToExpiration)*_xlfn.NORM.DIST(AI$2*(LN(Underlying/$H9)+(RiskFreeRate-DividendYield-0.5*AG9^2)*TimeToExpiration)/(AG9*TimeToExpiration^0.5), 0, 1, TRUE)
)</f>
        <v>34.65393348</v>
      </c>
      <c r="AJ9" s="7">
        <f>AJ$2*(Underlying*EXP(-DividendYield*TimeToExpiration)*_xlfn.NORM.DIST(AJ$2*(LN(Underlying/$H9)+(RiskFreeRate-DividendYield+0.5*AH9^2)*TimeToExpiration)/(AH9*TimeToExpiration^0.5), 0, 1, TRUE) - 
       $H9*EXP(-RiskFreeRate*TimeToExpiration)*_xlfn.NORM.DIST(AJ$2*(LN(Underlying/$H9)+(RiskFreeRate-DividendYield-0.5*AH9^2)*TimeToExpiration)/(AH9*TimeToExpiration^0.5), 0, 1, TRUE)
)</f>
        <v>35.56983387</v>
      </c>
      <c r="AK9" s="40">
        <f t="shared" si="17"/>
        <v>0.46959375</v>
      </c>
      <c r="AL9" s="8">
        <f>AL$2*(Underlying*EXP(-DividendYield*TimeToExpiration)*_xlfn.NORM.DIST(AL$2*(LN(Underlying/$H9)+(RiskFreeRate-DividendYield+0.5*AK9^2)*TimeToExpiration)/(AK9*TimeToExpiration^0.5), 0, 1, TRUE) - 
       $H9*EXP(-RiskFreeRate*TimeToExpiration)*_xlfn.NORM.DIST(AL$2*(LN(Underlying/$H9)+(RiskFreeRate-DividendYield-0.5*AK9^2)*TimeToExpiration)/(AK9*TimeToExpiration^0.5), 0, 1, TRUE)
)</f>
        <v>34.99386672</v>
      </c>
      <c r="AM9" s="40">
        <f t="shared" si="18"/>
        <v>0.46959375</v>
      </c>
      <c r="AN9" s="40">
        <f t="shared" si="19"/>
        <v>0.5633125</v>
      </c>
      <c r="AO9" s="7">
        <f>AO$2*(Underlying*EXP(-DividendYield*TimeToExpiration)*_xlfn.NORM.DIST(AO$2*(LN(Underlying/$H9)+(RiskFreeRate-DividendYield+0.5*AM9^2)*TimeToExpiration)/(AM9*TimeToExpiration^0.5), 0, 1, TRUE) - 
       $H9*EXP(-RiskFreeRate*TimeToExpiration)*_xlfn.NORM.DIST(AO$2*(LN(Underlying/$H9)+(RiskFreeRate-DividendYield-0.5*AM9^2)*TimeToExpiration)/(AM9*TimeToExpiration^0.5), 0, 1, TRUE)
)</f>
        <v>34.99386672</v>
      </c>
      <c r="AP9" s="7">
        <f>AP$2*(Underlying*EXP(-DividendYield*TimeToExpiration)*_xlfn.NORM.DIST(AP$2*(LN(Underlying/$H9)+(RiskFreeRate-DividendYield+0.5*AN9^2)*TimeToExpiration)/(AN9*TimeToExpiration^0.5), 0, 1, TRUE) - 
       $H9*EXP(-RiskFreeRate*TimeToExpiration)*_xlfn.NORM.DIST(AP$2*(LN(Underlying/$H9)+(RiskFreeRate-DividendYield-0.5*AN9^2)*TimeToExpiration)/(AN9*TimeToExpiration^0.5), 0, 1, TRUE)
)</f>
        <v>35.56983387</v>
      </c>
      <c r="AQ9" s="40">
        <f t="shared" si="20"/>
        <v>0.516453125</v>
      </c>
      <c r="AR9" s="8">
        <f>AR$2*(Underlying*EXP(-DividendYield*TimeToExpiration)*_xlfn.NORM.DIST(AR$2*(LN(Underlying/$H9)+(RiskFreeRate-DividendYield+0.5*AQ9^2)*TimeToExpiration)/(AQ9*TimeToExpiration^0.5), 0, 1, TRUE) - 
       $H9*EXP(-RiskFreeRate*TimeToExpiration)*_xlfn.NORM.DIST(AR$2*(LN(Underlying/$H9)+(RiskFreeRate-DividendYield-0.5*AQ9^2)*TimeToExpiration)/(AQ9*TimeToExpiration^0.5), 0, 1, TRUE)
)</f>
        <v>35.2536534</v>
      </c>
      <c r="AS9" s="40">
        <f t="shared" si="21"/>
        <v>0.46959375</v>
      </c>
      <c r="AT9" s="40">
        <f t="shared" si="22"/>
        <v>0.516453125</v>
      </c>
      <c r="AU9" s="7">
        <f>AU$2*(Underlying*EXP(-DividendYield*TimeToExpiration)*_xlfn.NORM.DIST(AU$2*(LN(Underlying/$H9)+(RiskFreeRate-DividendYield+0.5*AS9^2)*TimeToExpiration)/(AS9*TimeToExpiration^0.5), 0, 1, TRUE) - 
       $H9*EXP(-RiskFreeRate*TimeToExpiration)*_xlfn.NORM.DIST(AU$2*(LN(Underlying/$H9)+(RiskFreeRate-DividendYield-0.5*AS9^2)*TimeToExpiration)/(AS9*TimeToExpiration^0.5), 0, 1, TRUE)
)</f>
        <v>34.99386672</v>
      </c>
      <c r="AV9" s="7">
        <f>AV$2*(Underlying*EXP(-DividendYield*TimeToExpiration)*_xlfn.NORM.DIST(AV$2*(LN(Underlying/$H9)+(RiskFreeRate-DividendYield+0.5*AT9^2)*TimeToExpiration)/(AT9*TimeToExpiration^0.5), 0, 1, TRUE) - 
       $H9*EXP(-RiskFreeRate*TimeToExpiration)*_xlfn.NORM.DIST(AV$2*(LN(Underlying/$H9)+(RiskFreeRate-DividendYield-0.5*AT9^2)*TimeToExpiration)/(AT9*TimeToExpiration^0.5), 0, 1, TRUE)
)</f>
        <v>35.2536534</v>
      </c>
      <c r="AW9" s="40">
        <f t="shared" si="23"/>
        <v>0.4930234375</v>
      </c>
      <c r="AX9" s="8">
        <f>AX$2*(Underlying*EXP(-DividendYield*TimeToExpiration)*_xlfn.NORM.DIST(AX$2*(LN(Underlying/$H9)+(RiskFreeRate-DividendYield+0.5*AW9^2)*TimeToExpiration)/(AW9*TimeToExpiration^0.5), 0, 1, TRUE) - 
       $H9*EXP(-RiskFreeRate*TimeToExpiration)*_xlfn.NORM.DIST(AX$2*(LN(Underlying/$H9)+(RiskFreeRate-DividendYield-0.5*AW9^2)*TimeToExpiration)/(AW9*TimeToExpiration^0.5), 0, 1, TRUE)
)</f>
        <v>35.11645486</v>
      </c>
      <c r="AY9" s="40">
        <f t="shared" si="24"/>
        <v>0.46959375</v>
      </c>
      <c r="AZ9" s="40">
        <f t="shared" si="25"/>
        <v>0.4930234375</v>
      </c>
      <c r="BA9" s="7">
        <f>BA$2*(Underlying*EXP(-DividendYield*TimeToExpiration)*_xlfn.NORM.DIST(BA$2*(LN(Underlying/$H9)+(RiskFreeRate-DividendYield+0.5*AY9^2)*TimeToExpiration)/(AY9*TimeToExpiration^0.5), 0, 1, TRUE) - 
       $H9*EXP(-RiskFreeRate*TimeToExpiration)*_xlfn.NORM.DIST(BA$2*(LN(Underlying/$H9)+(RiskFreeRate-DividendYield-0.5*AY9^2)*TimeToExpiration)/(AY9*TimeToExpiration^0.5), 0, 1, TRUE)
)</f>
        <v>34.99386672</v>
      </c>
      <c r="BB9" s="7">
        <f>BB$2*(Underlying*EXP(-DividendYield*TimeToExpiration)*_xlfn.NORM.DIST(BB$2*(LN(Underlying/$H9)+(RiskFreeRate-DividendYield+0.5*AZ9^2)*TimeToExpiration)/(AZ9*TimeToExpiration^0.5), 0, 1, TRUE) - 
       $H9*EXP(-RiskFreeRate*TimeToExpiration)*_xlfn.NORM.DIST(BB$2*(LN(Underlying/$H9)+(RiskFreeRate-DividendYield-0.5*AZ9^2)*TimeToExpiration)/(AZ9*TimeToExpiration^0.5), 0, 1, TRUE)
)</f>
        <v>35.11645486</v>
      </c>
      <c r="BC9" s="40">
        <f t="shared" si="26"/>
        <v>0.4813085938</v>
      </c>
      <c r="BD9" s="8">
        <f>BD$2*(Underlying*EXP(-DividendYield*TimeToExpiration)*_xlfn.NORM.DIST(BD$2*(LN(Underlying/$H9)+(RiskFreeRate-DividendYield+0.5*BC9^2)*TimeToExpiration)/(BC9*TimeToExpiration^0.5), 0, 1, TRUE) - 
       $H9*EXP(-RiskFreeRate*TimeToExpiration)*_xlfn.NORM.DIST(BD$2*(LN(Underlying/$H9)+(RiskFreeRate-DividendYield-0.5*BC9^2)*TimeToExpiration)/(BC9*TimeToExpiration^0.5), 0, 1, TRUE)
)</f>
        <v>35.05330807</v>
      </c>
      <c r="BE9" s="40">
        <f t="shared" si="27"/>
        <v>0.4813085938</v>
      </c>
      <c r="BF9" s="40">
        <f t="shared" si="28"/>
        <v>0.4930234375</v>
      </c>
      <c r="BG9" s="7">
        <f>BG$2*(Underlying*EXP(-DividendYield*TimeToExpiration)*_xlfn.NORM.DIST(BG$2*(LN(Underlying/$H9)+(RiskFreeRate-DividendYield+0.5*BE9^2)*TimeToExpiration)/(BE9*TimeToExpiration^0.5), 0, 1, TRUE) - 
       $H9*EXP(-RiskFreeRate*TimeToExpiration)*_xlfn.NORM.DIST(BG$2*(LN(Underlying/$H9)+(RiskFreeRate-DividendYield-0.5*BE9^2)*TimeToExpiration)/(BE9*TimeToExpiration^0.5), 0, 1, TRUE)
)</f>
        <v>35.05330807</v>
      </c>
      <c r="BH9" s="7">
        <f>BH$2*(Underlying*EXP(-DividendYield*TimeToExpiration)*_xlfn.NORM.DIST(BH$2*(LN(Underlying/$H9)+(RiskFreeRate-DividendYield+0.5*BF9^2)*TimeToExpiration)/(BF9*TimeToExpiration^0.5), 0, 1, TRUE) - 
       $H9*EXP(-RiskFreeRate*TimeToExpiration)*_xlfn.NORM.DIST(BH$2*(LN(Underlying/$H9)+(RiskFreeRate-DividendYield-0.5*BF9^2)*TimeToExpiration)/(BF9*TimeToExpiration^0.5), 0, 1, TRUE)
)</f>
        <v>35.11645486</v>
      </c>
      <c r="BI9" s="40">
        <f t="shared" si="29"/>
        <v>0.4871660156</v>
      </c>
      <c r="BJ9" s="8">
        <f>BJ$2*(Underlying*EXP(-DividendYield*TimeToExpiration)*_xlfn.NORM.DIST(BJ$2*(LN(Underlying/$H9)+(RiskFreeRate-DividendYield+0.5*BI9^2)*TimeToExpiration)/(BI9*TimeToExpiration^0.5), 0, 1, TRUE) - 
       $H9*EXP(-RiskFreeRate*TimeToExpiration)*_xlfn.NORM.DIST(BJ$2*(LN(Underlying/$H9)+(RiskFreeRate-DividendYield-0.5*BI9^2)*TimeToExpiration)/(BI9*TimeToExpiration^0.5), 0, 1, TRUE)
)</f>
        <v>35.08442127</v>
      </c>
      <c r="BK9" s="40">
        <f t="shared" si="30"/>
        <v>0.4813085938</v>
      </c>
      <c r="BL9" s="40">
        <f t="shared" si="31"/>
        <v>0.4871660156</v>
      </c>
      <c r="BM9" s="7">
        <f>BM$2*(Underlying*EXP(-DividendYield*TimeToExpiration)*_xlfn.NORM.DIST(BM$2*(LN(Underlying/$H9)+(RiskFreeRate-DividendYield+0.5*BK9^2)*TimeToExpiration)/(BK9*TimeToExpiration^0.5), 0, 1, TRUE) - 
       $H9*EXP(-RiskFreeRate*TimeToExpiration)*_xlfn.NORM.DIST(BM$2*(LN(Underlying/$H9)+(RiskFreeRate-DividendYield-0.5*BK9^2)*TimeToExpiration)/(BK9*TimeToExpiration^0.5), 0, 1, TRUE)
)</f>
        <v>35.05330807</v>
      </c>
      <c r="BN9" s="7">
        <f>BN$2*(Underlying*EXP(-DividendYield*TimeToExpiration)*_xlfn.NORM.DIST(BN$2*(LN(Underlying/$H9)+(RiskFreeRate-DividendYield+0.5*BL9^2)*TimeToExpiration)/(BL9*TimeToExpiration^0.5), 0, 1, TRUE) - 
       $H9*EXP(-RiskFreeRate*TimeToExpiration)*_xlfn.NORM.DIST(BN$2*(LN(Underlying/$H9)+(RiskFreeRate-DividendYield-0.5*BL9^2)*TimeToExpiration)/(BL9*TimeToExpiration^0.5), 0, 1, TRUE)
)</f>
        <v>35.08442127</v>
      </c>
      <c r="BO9" s="40">
        <f t="shared" si="32"/>
        <v>0.4842373047</v>
      </c>
      <c r="BP9" s="8">
        <f>BP$2*(Underlying*EXP(-DividendYield*TimeToExpiration)*_xlfn.NORM.DIST(BP$2*(LN(Underlying/$H9)+(RiskFreeRate-DividendYield+0.5*BO9^2)*TimeToExpiration)/(BO9*TimeToExpiration^0.5), 0, 1, TRUE) - 
       $H9*EXP(-RiskFreeRate*TimeToExpiration)*_xlfn.NORM.DIST(BP$2*(LN(Underlying/$H9)+(RiskFreeRate-DividendYield-0.5*BO9^2)*TimeToExpiration)/(BO9*TimeToExpiration^0.5), 0, 1, TRUE)
)</f>
        <v>35.06874922</v>
      </c>
      <c r="BQ9" s="40">
        <f t="shared" si="33"/>
        <v>0.4842373047</v>
      </c>
      <c r="BR9" s="40">
        <f t="shared" si="34"/>
        <v>0.4871660156</v>
      </c>
      <c r="BS9" s="7">
        <f>BS$2*(Underlying*EXP(-DividendYield*TimeToExpiration)*_xlfn.NORM.DIST(BS$2*(LN(Underlying/$H9)+(RiskFreeRate-DividendYield+0.5*BQ9^2)*TimeToExpiration)/(BQ9*TimeToExpiration^0.5), 0, 1, TRUE) - 
       $H9*EXP(-RiskFreeRate*TimeToExpiration)*_xlfn.NORM.DIST(BS$2*(LN(Underlying/$H9)+(RiskFreeRate-DividendYield-0.5*BQ9^2)*TimeToExpiration)/(BQ9*TimeToExpiration^0.5), 0, 1, TRUE)
)</f>
        <v>35.06874922</v>
      </c>
      <c r="BT9" s="7">
        <f>BT$2*(Underlying*EXP(-DividendYield*TimeToExpiration)*_xlfn.NORM.DIST(BT$2*(LN(Underlying/$H9)+(RiskFreeRate-DividendYield+0.5*BR9^2)*TimeToExpiration)/(BR9*TimeToExpiration^0.5), 0, 1, TRUE) - 
       $H9*EXP(-RiskFreeRate*TimeToExpiration)*_xlfn.NORM.DIST(BT$2*(LN(Underlying/$H9)+(RiskFreeRate-DividendYield-0.5*BR9^2)*TimeToExpiration)/(BR9*TimeToExpiration^0.5), 0, 1, TRUE)
)</f>
        <v>35.08442127</v>
      </c>
      <c r="BU9" s="40">
        <f t="shared" si="35"/>
        <v>0.4857016602</v>
      </c>
      <c r="BV9" s="8">
        <f>BV$2*(Underlying*EXP(-DividendYield*TimeToExpiration)*_xlfn.NORM.DIST(BV$2*(LN(Underlying/$H9)+(RiskFreeRate-DividendYield+0.5*BU9^2)*TimeToExpiration)/(BU9*TimeToExpiration^0.5), 0, 1, TRUE) - 
       $H9*EXP(-RiskFreeRate*TimeToExpiration)*_xlfn.NORM.DIST(BV$2*(LN(Underlying/$H9)+(RiskFreeRate-DividendYield-0.5*BU9^2)*TimeToExpiration)/(BU9*TimeToExpiration^0.5), 0, 1, TRUE)
)</f>
        <v>35.07655643</v>
      </c>
      <c r="BW9" s="40">
        <f t="shared" si="36"/>
        <v>0.4842373047</v>
      </c>
      <c r="BX9" s="40">
        <f t="shared" si="37"/>
        <v>0.4857016602</v>
      </c>
      <c r="BY9" s="7">
        <f>BY$2*(Underlying*EXP(-DividendYield*TimeToExpiration)*_xlfn.NORM.DIST(BY$2*(LN(Underlying/$H9)+(RiskFreeRate-DividendYield+0.5*BW9^2)*TimeToExpiration)/(BW9*TimeToExpiration^0.5), 0, 1, TRUE) - 
       $H9*EXP(-RiskFreeRate*TimeToExpiration)*_xlfn.NORM.DIST(BY$2*(LN(Underlying/$H9)+(RiskFreeRate-DividendYield-0.5*BW9^2)*TimeToExpiration)/(BW9*TimeToExpiration^0.5), 0, 1, TRUE)
)</f>
        <v>35.06874922</v>
      </c>
      <c r="BZ9" s="7">
        <f>BZ$2*(Underlying*EXP(-DividendYield*TimeToExpiration)*_xlfn.NORM.DIST(BZ$2*(LN(Underlying/$H9)+(RiskFreeRate-DividendYield+0.5*BX9^2)*TimeToExpiration)/(BX9*TimeToExpiration^0.5), 0, 1, TRUE) - 
       $H9*EXP(-RiskFreeRate*TimeToExpiration)*_xlfn.NORM.DIST(BZ$2*(LN(Underlying/$H9)+(RiskFreeRate-DividendYield-0.5*BX9^2)*TimeToExpiration)/(BX9*TimeToExpiration^0.5), 0, 1, TRUE)
)</f>
        <v>35.07655643</v>
      </c>
      <c r="CA9" s="40">
        <f t="shared" si="38"/>
        <v>0.4849694824</v>
      </c>
      <c r="CB9" s="8">
        <f>CB$2*(Underlying*EXP(-DividendYield*TimeToExpiration)*_xlfn.NORM.DIST(CB$2*(LN(Underlying/$H9)+(RiskFreeRate-DividendYield+0.5*CA9^2)*TimeToExpiration)/(CA9*TimeToExpiration^0.5), 0, 1, TRUE) - 
       $H9*EXP(-RiskFreeRate*TimeToExpiration)*_xlfn.NORM.DIST(CB$2*(LN(Underlying/$H9)+(RiskFreeRate-DividendYield-0.5*CA9^2)*TimeToExpiration)/(CA9*TimeToExpiration^0.5), 0, 1, TRUE)
)</f>
        <v>35.07264562</v>
      </c>
      <c r="CC9" s="40">
        <f t="shared" si="39"/>
        <v>0.4849694824</v>
      </c>
      <c r="CD9" s="40">
        <f t="shared" si="40"/>
        <v>0.4857016602</v>
      </c>
      <c r="CE9" s="7">
        <f>CE$2*(Underlying*EXP(-DividendYield*TimeToExpiration)*_xlfn.NORM.DIST(CE$2*(LN(Underlying/$H9)+(RiskFreeRate-DividendYield+0.5*CC9^2)*TimeToExpiration)/(CC9*TimeToExpiration^0.5), 0, 1, TRUE) - 
       $H9*EXP(-RiskFreeRate*TimeToExpiration)*_xlfn.NORM.DIST(CE$2*(LN(Underlying/$H9)+(RiskFreeRate-DividendYield-0.5*CC9^2)*TimeToExpiration)/(CC9*TimeToExpiration^0.5), 0, 1, TRUE)
)</f>
        <v>35.07264562</v>
      </c>
      <c r="CF9" s="7">
        <f>CF$2*(Underlying*EXP(-DividendYield*TimeToExpiration)*_xlfn.NORM.DIST(CF$2*(LN(Underlying/$H9)+(RiskFreeRate-DividendYield+0.5*CD9^2)*TimeToExpiration)/(CD9*TimeToExpiration^0.5), 0, 1, TRUE) - 
       $H9*EXP(-RiskFreeRate*TimeToExpiration)*_xlfn.NORM.DIST(CF$2*(LN(Underlying/$H9)+(RiskFreeRate-DividendYield-0.5*CD9^2)*TimeToExpiration)/(CD9*TimeToExpiration^0.5), 0, 1, TRUE)
)</f>
        <v>35.07655643</v>
      </c>
      <c r="CG9" s="40">
        <f t="shared" si="41"/>
        <v>0.4853355713</v>
      </c>
      <c r="CH9" s="8">
        <f>CH$2*(Underlying*EXP(-DividendYield*TimeToExpiration)*_xlfn.NORM.DIST(CH$2*(LN(Underlying/$H9)+(RiskFreeRate-DividendYield+0.5*CG9^2)*TimeToExpiration)/(CG9*TimeToExpiration^0.5), 0, 1, TRUE) - 
       $H9*EXP(-RiskFreeRate*TimeToExpiration)*_xlfn.NORM.DIST(CH$2*(LN(Underlying/$H9)+(RiskFreeRate-DividendYield-0.5*CG9^2)*TimeToExpiration)/(CG9*TimeToExpiration^0.5), 0, 1, TRUE)
)</f>
        <v>35.07459922</v>
      </c>
      <c r="CI9" s="40">
        <f t="shared" si="42"/>
        <v>0.4853355713</v>
      </c>
      <c r="CJ9" s="40">
        <f t="shared" si="43"/>
        <v>0.4857016602</v>
      </c>
      <c r="CK9" s="7">
        <f>CK$2*(Underlying*EXP(-DividendYield*TimeToExpiration)*_xlfn.NORM.DIST(CK$2*(LN(Underlying/$H9)+(RiskFreeRate-DividendYield+0.5*CI9^2)*TimeToExpiration)/(CI9*TimeToExpiration^0.5), 0, 1, TRUE) - 
       $H9*EXP(-RiskFreeRate*TimeToExpiration)*_xlfn.NORM.DIST(CK$2*(LN(Underlying/$H9)+(RiskFreeRate-DividendYield-0.5*CI9^2)*TimeToExpiration)/(CI9*TimeToExpiration^0.5), 0, 1, TRUE)
)</f>
        <v>35.07459922</v>
      </c>
      <c r="CL9" s="7">
        <f>CL$2*(Underlying*EXP(-DividendYield*TimeToExpiration)*_xlfn.NORM.DIST(CL$2*(LN(Underlying/$H9)+(RiskFreeRate-DividendYield+0.5*CJ9^2)*TimeToExpiration)/(CJ9*TimeToExpiration^0.5), 0, 1, TRUE) - 
       $H9*EXP(-RiskFreeRate*TimeToExpiration)*_xlfn.NORM.DIST(CL$2*(LN(Underlying/$H9)+(RiskFreeRate-DividendYield-0.5*CJ9^2)*TimeToExpiration)/(CJ9*TimeToExpiration^0.5), 0, 1, TRUE)
)</f>
        <v>35.07655643</v>
      </c>
      <c r="CM9" s="40">
        <f t="shared" si="44"/>
        <v>0.4855186157</v>
      </c>
      <c r="CN9" s="8">
        <f>CN$2*(Underlying*EXP(-DividendYield*TimeToExpiration)*_xlfn.NORM.DIST(CN$2*(LN(Underlying/$H9)+(RiskFreeRate-DividendYield+0.5*CM9^2)*TimeToExpiration)/(CM9*TimeToExpiration^0.5), 0, 1, TRUE) - 
       $H9*EXP(-RiskFreeRate*TimeToExpiration)*_xlfn.NORM.DIST(CN$2*(LN(Underlying/$H9)+(RiskFreeRate-DividendYield-0.5*CM9^2)*TimeToExpiration)/(CM9*TimeToExpiration^0.5), 0, 1, TRUE)
)</f>
        <v>35.07557738</v>
      </c>
      <c r="CO9" s="40">
        <f t="shared" si="45"/>
        <v>0.4853355713</v>
      </c>
      <c r="CP9" s="40">
        <f t="shared" si="46"/>
        <v>0.4855186157</v>
      </c>
      <c r="CQ9" s="7">
        <f>CQ$2*(Underlying*EXP(-DividendYield*TimeToExpiration)*_xlfn.NORM.DIST(CQ$2*(LN(Underlying/$H9)+(RiskFreeRate-DividendYield+0.5*CO9^2)*TimeToExpiration)/(CO9*TimeToExpiration^0.5), 0, 1, TRUE) - 
       $H9*EXP(-RiskFreeRate*TimeToExpiration)*_xlfn.NORM.DIST(CQ$2*(LN(Underlying/$H9)+(RiskFreeRate-DividendYield-0.5*CO9^2)*TimeToExpiration)/(CO9*TimeToExpiration^0.5), 0, 1, TRUE)
)</f>
        <v>35.07459922</v>
      </c>
      <c r="CR9" s="7">
        <f>CR$2*(Underlying*EXP(-DividendYield*TimeToExpiration)*_xlfn.NORM.DIST(CR$2*(LN(Underlying/$H9)+(RiskFreeRate-DividendYield+0.5*CP9^2)*TimeToExpiration)/(CP9*TimeToExpiration^0.5), 0, 1, TRUE) - 
       $H9*EXP(-RiskFreeRate*TimeToExpiration)*_xlfn.NORM.DIST(CR$2*(LN(Underlying/$H9)+(RiskFreeRate-DividendYield-0.5*CP9^2)*TimeToExpiration)/(CP9*TimeToExpiration^0.5), 0, 1, TRUE)
)</f>
        <v>35.07557738</v>
      </c>
      <c r="CS9" s="40">
        <f t="shared" si="47"/>
        <v>0.4854270935</v>
      </c>
      <c r="CT9" s="8">
        <f>CT$2*(Underlying*EXP(-DividendYield*TimeToExpiration)*_xlfn.NORM.DIST(CT$2*(LN(Underlying/$H9)+(RiskFreeRate-DividendYield+0.5*CS9^2)*TimeToExpiration)/(CS9*TimeToExpiration^0.5), 0, 1, TRUE) - 
       $H9*EXP(-RiskFreeRate*TimeToExpiration)*_xlfn.NORM.DIST(CT$2*(LN(Underlying/$H9)+(RiskFreeRate-DividendYield-0.5*CS9^2)*TimeToExpiration)/(CS9*TimeToExpiration^0.5), 0, 1, TRUE)
)</f>
        <v>35.07508819</v>
      </c>
      <c r="CU9" s="40">
        <f t="shared" si="48"/>
        <v>0.4853355713</v>
      </c>
      <c r="CV9" s="40">
        <f t="shared" si="49"/>
        <v>0.4854270935</v>
      </c>
      <c r="CW9" s="7">
        <f>CW$2*(Underlying*EXP(-DividendYield*TimeToExpiration)*_xlfn.NORM.DIST(CW$2*(LN(Underlying/$H9)+(RiskFreeRate-DividendYield+0.5*CU9^2)*TimeToExpiration)/(CU9*TimeToExpiration^0.5), 0, 1, TRUE) - 
       $H9*EXP(-RiskFreeRate*TimeToExpiration)*_xlfn.NORM.DIST(CW$2*(LN(Underlying/$H9)+(RiskFreeRate-DividendYield-0.5*CU9^2)*TimeToExpiration)/(CU9*TimeToExpiration^0.5), 0, 1, TRUE)
)</f>
        <v>35.07459922</v>
      </c>
      <c r="CX9" s="7">
        <f>CX$2*(Underlying*EXP(-DividendYield*TimeToExpiration)*_xlfn.NORM.DIST(CX$2*(LN(Underlying/$H9)+(RiskFreeRate-DividendYield+0.5*CV9^2)*TimeToExpiration)/(CV9*TimeToExpiration^0.5), 0, 1, TRUE) - 
       $H9*EXP(-RiskFreeRate*TimeToExpiration)*_xlfn.NORM.DIST(CX$2*(LN(Underlying/$H9)+(RiskFreeRate-DividendYield-0.5*CV9^2)*TimeToExpiration)/(CV9*TimeToExpiration^0.5), 0, 1, TRUE)
)</f>
        <v>35.07508819</v>
      </c>
      <c r="CY9" s="40">
        <f t="shared" si="50"/>
        <v>0.4853813324</v>
      </c>
      <c r="CZ9" s="8">
        <f>CZ$2*(Underlying*EXP(-DividendYield*TimeToExpiration)*_xlfn.NORM.DIST(CZ$2*(LN(Underlying/$H9)+(RiskFreeRate-DividendYield+0.5*CY9^2)*TimeToExpiration)/(CY9*TimeToExpiration^0.5), 0, 1, TRUE) - 
       $H9*EXP(-RiskFreeRate*TimeToExpiration)*_xlfn.NORM.DIST(CZ$2*(LN(Underlying/$H9)+(RiskFreeRate-DividendYield-0.5*CY9^2)*TimeToExpiration)/(CY9*TimeToExpiration^0.5), 0, 1, TRUE)
)</f>
        <v>35.07484368</v>
      </c>
      <c r="DA9" s="40">
        <f t="shared" si="51"/>
        <v>0.4853813324</v>
      </c>
      <c r="DB9" s="40">
        <f t="shared" si="52"/>
        <v>0.4854270935</v>
      </c>
      <c r="DC9" s="7">
        <f>DC$2*(Underlying*EXP(-DividendYield*TimeToExpiration)*_xlfn.NORM.DIST(DC$2*(LN(Underlying/$H9)+(RiskFreeRate-DividendYield+0.5*DA9^2)*TimeToExpiration)/(DA9*TimeToExpiration^0.5), 0, 1, TRUE) - 
       $H9*EXP(-RiskFreeRate*TimeToExpiration)*_xlfn.NORM.DIST(DC$2*(LN(Underlying/$H9)+(RiskFreeRate-DividendYield-0.5*DA9^2)*TimeToExpiration)/(DA9*TimeToExpiration^0.5), 0, 1, TRUE)
)</f>
        <v>35.07484368</v>
      </c>
      <c r="DD9" s="7">
        <f>DD$2*(Underlying*EXP(-DividendYield*TimeToExpiration)*_xlfn.NORM.DIST(DD$2*(LN(Underlying/$H9)+(RiskFreeRate-DividendYield+0.5*DB9^2)*TimeToExpiration)/(DB9*TimeToExpiration^0.5), 0, 1, TRUE) - 
       $H9*EXP(-RiskFreeRate*TimeToExpiration)*_xlfn.NORM.DIST(DD$2*(LN(Underlying/$H9)+(RiskFreeRate-DividendYield-0.5*DB9^2)*TimeToExpiration)/(DB9*TimeToExpiration^0.5), 0, 1, TRUE)
)</f>
        <v>35.07508819</v>
      </c>
      <c r="DE9" s="40">
        <f t="shared" si="53"/>
        <v>0.485404213</v>
      </c>
      <c r="DF9" s="8">
        <f>DF$2*(Underlying*EXP(-DividendYield*TimeToExpiration)*_xlfn.NORM.DIST(DF$2*(LN(Underlying/$H9)+(RiskFreeRate-DividendYield+0.5*DE9^2)*TimeToExpiration)/(DE9*TimeToExpiration^0.5), 0, 1, TRUE) - 
       $H9*EXP(-RiskFreeRate*TimeToExpiration)*_xlfn.NORM.DIST(DF$2*(LN(Underlying/$H9)+(RiskFreeRate-DividendYield-0.5*DE9^2)*TimeToExpiration)/(DE9*TimeToExpiration^0.5), 0, 1, TRUE)
)</f>
        <v>35.07496593</v>
      </c>
    </row>
    <row r="10">
      <c r="A10" s="20">
        <f>'Option Mkt Data'!A10</f>
        <v>307.5</v>
      </c>
      <c r="B10" s="35">
        <f t="shared" ref="B10:C10" si="57">DE10</f>
        <v>0.2448380661</v>
      </c>
      <c r="C10" s="7">
        <f t="shared" si="57"/>
        <v>32.0249883</v>
      </c>
      <c r="D10" s="7">
        <f t="shared" si="3"/>
        <v>0.000005592751826</v>
      </c>
      <c r="E10" s="9">
        <f t="shared" si="4"/>
        <v>0.0000001746370927</v>
      </c>
      <c r="F10" s="36">
        <f>D10/'Option Mkt Data'!L10</f>
        <v>0.000001669475112</v>
      </c>
      <c r="G10" s="5">
        <f>'Option Mkt Data'!J10</f>
        <v>32.0249939</v>
      </c>
      <c r="H10" s="33">
        <f>'Option Mkt Data'!A10</f>
        <v>307.5</v>
      </c>
      <c r="I10" s="37">
        <f>MinSolverVola</f>
        <v>0.001</v>
      </c>
      <c r="J10" s="38">
        <f>MaxSolverVola</f>
        <v>3</v>
      </c>
      <c r="K10" s="39">
        <f>K$2*(Underlying*EXP(-DividendYield*TimeToExpiration)*_xlfn.NORM.DIST(K$2*(LN(Underlying/$H10)+(RiskFreeRate-DividendYield+0.5*I10^2)*TimeToExpiration)/(I10*TimeToExpiration^0.5), 0, 1, TRUE) - 
       $H10*EXP(-RiskFreeRate*TimeToExpiration)*_xlfn.NORM.DIST(K$2*(LN(Underlying/$H10)+(RiskFreeRate-DividendYield-0.5*I10^2)*TimeToExpiration)/(I10*TimeToExpiration^0.5), 0, 1, TRUE)
)</f>
        <v>32.01812017</v>
      </c>
      <c r="L10" s="7">
        <f>L$2*(Underlying*EXP(-DividendYield*TimeToExpiration)*_xlfn.NORM.DIST(L$2*(LN(Underlying/$H10)+(RiskFreeRate-DividendYield+0.5*J10^2)*TimeToExpiration)/(J10*TimeToExpiration^0.5), 0, 1, TRUE) - 
       $H10*EXP(-RiskFreeRate*TimeToExpiration)*_xlfn.NORM.DIST(L$2*(LN(Underlying/$H10)+(RiskFreeRate-DividendYield-0.5*J10^2)*TimeToExpiration)/(J10*TimeToExpiration^0.5), 0, 1, TRUE)
)</f>
        <v>71.76195587</v>
      </c>
      <c r="M10" s="40">
        <f t="shared" si="5"/>
        <v>1.5005</v>
      </c>
      <c r="N10" s="8">
        <f>N$2*(Underlying*EXP(-DividendYield*TimeToExpiration)*_xlfn.NORM.DIST(N$2*(LN(Underlying/$H10)+(RiskFreeRate-DividendYield+0.5*M10^2)*TimeToExpiration)/(M10*TimeToExpiration^0.5), 0, 1, TRUE) - 
       $H10*EXP(-RiskFreeRate*TimeToExpiration)*_xlfn.NORM.DIST(N$2*(LN(Underlying/$H10)+(RiskFreeRate-DividendYield-0.5*M10^2)*TimeToExpiration)/(M10*TimeToExpiration^0.5), 0, 1, TRUE)
)</f>
        <v>46.23464443</v>
      </c>
      <c r="O10" s="41">
        <f t="shared" si="6"/>
        <v>0.001</v>
      </c>
      <c r="P10" s="40">
        <f t="shared" si="7"/>
        <v>1.5005</v>
      </c>
      <c r="Q10" s="7">
        <f>Q$2*(Underlying*EXP(-DividendYield*TimeToExpiration)*_xlfn.NORM.DIST(Q$2*(LN(Underlying/$H10)+(RiskFreeRate-DividendYield+0.5*O10^2)*TimeToExpiration)/(O10*TimeToExpiration^0.5), 0, 1, TRUE) - 
       $H10*EXP(-RiskFreeRate*TimeToExpiration)*_xlfn.NORM.DIST(Q$2*(LN(Underlying/$H10)+(RiskFreeRate-DividendYield-0.5*O10^2)*TimeToExpiration)/(O10*TimeToExpiration^0.5), 0, 1, TRUE))</f>
        <v>32.01812017</v>
      </c>
      <c r="R10" s="7">
        <f>R$2*(Underlying*EXP(-DividendYield*TimeToExpiration)*_xlfn.NORM.DIST(R$2*(LN(Underlying/$H10)+(RiskFreeRate-DividendYield+0.5*P10^2)*TimeToExpiration)/(P10*TimeToExpiration^0.5), 0, 1, TRUE) - 
       $H10*EXP(-RiskFreeRate*TimeToExpiration)*_xlfn.NORM.DIST(R$2*(LN(Underlying/$H10)+(RiskFreeRate-DividendYield-0.5*P10^2)*TimeToExpiration)/(P10*TimeToExpiration^0.5), 0, 1, TRUE)
)</f>
        <v>46.23464443</v>
      </c>
      <c r="S10" s="40">
        <f t="shared" si="8"/>
        <v>0.75075</v>
      </c>
      <c r="T10" s="8">
        <f>T$2*(Underlying*EXP(-DividendYield*TimeToExpiration)*_xlfn.NORM.DIST(T$2*(LN(Underlying/$H10)+(RiskFreeRate-DividendYield+0.5*S10^2)*TimeToExpiration)/(S10*TimeToExpiration^0.5), 0, 1, TRUE) - 
       $H10*EXP(-RiskFreeRate*TimeToExpiration)*_xlfn.NORM.DIST(T$2*(LN(Underlying/$H10)+(RiskFreeRate-DividendYield-0.5*S10^2)*TimeToExpiration)/(S10*TimeToExpiration^0.5), 0, 1, TRUE)
)</f>
        <v>35.24976832</v>
      </c>
      <c r="U10" s="41">
        <f t="shared" si="9"/>
        <v>0.001</v>
      </c>
      <c r="V10" s="40">
        <f t="shared" si="10"/>
        <v>0.75075</v>
      </c>
      <c r="W10" s="7">
        <f>W$2*(Underlying*EXP(-DividendYield*TimeToExpiration)*_xlfn.NORM.DIST(W$2*(LN(Underlying/$H10)+(RiskFreeRate-DividendYield+0.5*U10^2)*TimeToExpiration)/(U10*TimeToExpiration^0.5), 0, 1, TRUE) - 
       $H10*EXP(-RiskFreeRate*TimeToExpiration)*_xlfn.NORM.DIST(W$2*(LN(Underlying/$H10)+(RiskFreeRate-DividendYield-0.5*U10^2)*TimeToExpiration)/(U10*TimeToExpiration^0.5), 0, 1, TRUE)
)</f>
        <v>32.01812017</v>
      </c>
      <c r="X10" s="7">
        <f>X$2*(Underlying*EXP(-DividendYield*TimeToExpiration)*_xlfn.NORM.DIST(X$2*(LN(Underlying/$H10)+(RiskFreeRate-DividendYield+0.5*V10^2)*TimeToExpiration)/(V10*TimeToExpiration^0.5), 0, 1, TRUE) - 
       $H10*EXP(-RiskFreeRate*TimeToExpiration)*_xlfn.NORM.DIST(X$2*(LN(Underlying/$H10)+(RiskFreeRate-DividendYield-0.5*V10^2)*TimeToExpiration)/(V10*TimeToExpiration^0.5), 0, 1, TRUE)
)</f>
        <v>35.24976832</v>
      </c>
      <c r="Y10" s="40">
        <f t="shared" si="11"/>
        <v>0.375875</v>
      </c>
      <c r="Z10" s="8">
        <f>Z$2*(Underlying*EXP(-DividendYield*TimeToExpiration)*_xlfn.NORM.DIST(Z$2*(LN(Underlying/$H10)+(RiskFreeRate-DividendYield+0.5*Y10^2)*TimeToExpiration)/(Y10*TimeToExpiration^0.5), 0, 1, TRUE) - 
       $H10*EXP(-RiskFreeRate*TimeToExpiration)*_xlfn.NORM.DIST(Z$2*(LN(Underlying/$H10)+(RiskFreeRate-DividendYield-0.5*Y10^2)*TimeToExpiration)/(Y10*TimeToExpiration^0.5), 0, 1, TRUE)
)</f>
        <v>32.2256952</v>
      </c>
      <c r="AA10" s="41">
        <f t="shared" si="12"/>
        <v>0.001</v>
      </c>
      <c r="AB10" s="40">
        <f t="shared" si="13"/>
        <v>0.375875</v>
      </c>
      <c r="AC10" s="7">
        <f>AC$2*(Underlying*EXP(-DividendYield*TimeToExpiration)*_xlfn.NORM.DIST(AC$2*(LN(Underlying/$H10)+(RiskFreeRate-DividendYield+0.5*AA10^2)*TimeToExpiration)/(AA10*TimeToExpiration^0.5), 0, 1, TRUE) - 
       $H10*EXP(-RiskFreeRate*TimeToExpiration)*_xlfn.NORM.DIST(AC$2*(LN(Underlying/$H10)+(RiskFreeRate-DividendYield-0.5*AA10^2)*TimeToExpiration)/(AA10*TimeToExpiration^0.5), 0, 1, TRUE)
)</f>
        <v>32.01812017</v>
      </c>
      <c r="AD10" s="7">
        <f>AD$2*(Underlying*EXP(-DividendYield*TimeToExpiration)*_xlfn.NORM.DIST(AD$2*(LN(Underlying/$H10)+(RiskFreeRate-DividendYield+0.5*AB10^2)*TimeToExpiration)/(AB10*TimeToExpiration^0.5), 0, 1, TRUE) - 
       $H10*EXP(-RiskFreeRate*TimeToExpiration)*_xlfn.NORM.DIST(AD$2*(LN(Underlying/$H10)+(RiskFreeRate-DividendYield-0.5*AB10^2)*TimeToExpiration)/(AB10*TimeToExpiration^0.5), 0, 1, TRUE)
)</f>
        <v>32.2256952</v>
      </c>
      <c r="AE10" s="40">
        <f t="shared" si="14"/>
        <v>0.1884375</v>
      </c>
      <c r="AF10" s="8">
        <f>AF$2*(Underlying*EXP(-DividendYield*TimeToExpiration)*_xlfn.NORM.DIST(AF$2*(LN(Underlying/$H10)+(RiskFreeRate-DividendYield+0.5*AE10^2)*TimeToExpiration)/(AE10*TimeToExpiration^0.5), 0, 1, TRUE) - 
       $H10*EXP(-RiskFreeRate*TimeToExpiration)*_xlfn.NORM.DIST(AF$2*(LN(Underlying/$H10)+(RiskFreeRate-DividendYield-0.5*AE10^2)*TimeToExpiration)/(AE10*TimeToExpiration^0.5), 0, 1, TRUE)
)</f>
        <v>32.01832517</v>
      </c>
      <c r="AG10" s="40">
        <f t="shared" si="15"/>
        <v>0.1884375</v>
      </c>
      <c r="AH10" s="40">
        <f t="shared" si="16"/>
        <v>0.375875</v>
      </c>
      <c r="AI10" s="7">
        <f>AI$2*(Underlying*EXP(-DividendYield*TimeToExpiration)*_xlfn.NORM.DIST(AI$2*(LN(Underlying/$H10)+(RiskFreeRate-DividendYield+0.5*AG10^2)*TimeToExpiration)/(AG10*TimeToExpiration^0.5), 0, 1, TRUE) - 
       $H10*EXP(-RiskFreeRate*TimeToExpiration)*_xlfn.NORM.DIST(AI$2*(LN(Underlying/$H10)+(RiskFreeRate-DividendYield-0.5*AG10^2)*TimeToExpiration)/(AG10*TimeToExpiration^0.5), 0, 1, TRUE)
)</f>
        <v>32.01832517</v>
      </c>
      <c r="AJ10" s="7">
        <f>AJ$2*(Underlying*EXP(-DividendYield*TimeToExpiration)*_xlfn.NORM.DIST(AJ$2*(LN(Underlying/$H10)+(RiskFreeRate-DividendYield+0.5*AH10^2)*TimeToExpiration)/(AH10*TimeToExpiration^0.5), 0, 1, TRUE) - 
       $H10*EXP(-RiskFreeRate*TimeToExpiration)*_xlfn.NORM.DIST(AJ$2*(LN(Underlying/$H10)+(RiskFreeRate-DividendYield-0.5*AH10^2)*TimeToExpiration)/(AH10*TimeToExpiration^0.5), 0, 1, TRUE)
)</f>
        <v>32.2256952</v>
      </c>
      <c r="AK10" s="40">
        <f t="shared" si="17"/>
        <v>0.28215625</v>
      </c>
      <c r="AL10" s="8">
        <f>AL$2*(Underlying*EXP(-DividendYield*TimeToExpiration)*_xlfn.NORM.DIST(AL$2*(LN(Underlying/$H10)+(RiskFreeRate-DividendYield+0.5*AK10^2)*TimeToExpiration)/(AK10*TimeToExpiration^0.5), 0, 1, TRUE) - 
       $H10*EXP(-RiskFreeRate*TimeToExpiration)*_xlfn.NORM.DIST(AL$2*(LN(Underlying/$H10)+(RiskFreeRate-DividendYield-0.5*AK10^2)*TimeToExpiration)/(AK10*TimeToExpiration^0.5), 0, 1, TRUE)
)</f>
        <v>32.04519889</v>
      </c>
      <c r="AM10" s="40">
        <f t="shared" si="18"/>
        <v>0.1884375</v>
      </c>
      <c r="AN10" s="40">
        <f t="shared" si="19"/>
        <v>0.28215625</v>
      </c>
      <c r="AO10" s="7">
        <f>AO$2*(Underlying*EXP(-DividendYield*TimeToExpiration)*_xlfn.NORM.DIST(AO$2*(LN(Underlying/$H10)+(RiskFreeRate-DividendYield+0.5*AM10^2)*TimeToExpiration)/(AM10*TimeToExpiration^0.5), 0, 1, TRUE) - 
       $H10*EXP(-RiskFreeRate*TimeToExpiration)*_xlfn.NORM.DIST(AO$2*(LN(Underlying/$H10)+(RiskFreeRate-DividendYield-0.5*AM10^2)*TimeToExpiration)/(AM10*TimeToExpiration^0.5), 0, 1, TRUE)
)</f>
        <v>32.01832517</v>
      </c>
      <c r="AP10" s="7">
        <f>AP$2*(Underlying*EXP(-DividendYield*TimeToExpiration)*_xlfn.NORM.DIST(AP$2*(LN(Underlying/$H10)+(RiskFreeRate-DividendYield+0.5*AN10^2)*TimeToExpiration)/(AN10*TimeToExpiration^0.5), 0, 1, TRUE) - 
       $H10*EXP(-RiskFreeRate*TimeToExpiration)*_xlfn.NORM.DIST(AP$2*(LN(Underlying/$H10)+(RiskFreeRate-DividendYield-0.5*AN10^2)*TimeToExpiration)/(AN10*TimeToExpiration^0.5), 0, 1, TRUE)
)</f>
        <v>32.04519889</v>
      </c>
      <c r="AQ10" s="40">
        <f t="shared" si="20"/>
        <v>0.235296875</v>
      </c>
      <c r="AR10" s="8">
        <f>AR$2*(Underlying*EXP(-DividendYield*TimeToExpiration)*_xlfn.NORM.DIST(AR$2*(LN(Underlying/$H10)+(RiskFreeRate-DividendYield+0.5*AQ10^2)*TimeToExpiration)/(AQ10*TimeToExpiration^0.5), 0, 1, TRUE) - 
       $H10*EXP(-RiskFreeRate*TimeToExpiration)*_xlfn.NORM.DIST(AR$2*(LN(Underlying/$H10)+(RiskFreeRate-DividendYield-0.5*AQ10^2)*TimeToExpiration)/(AQ10*TimeToExpiration^0.5), 0, 1, TRUE)
)</f>
        <v>32.02253545</v>
      </c>
      <c r="AS10" s="40">
        <f t="shared" si="21"/>
        <v>0.235296875</v>
      </c>
      <c r="AT10" s="40">
        <f t="shared" si="22"/>
        <v>0.28215625</v>
      </c>
      <c r="AU10" s="7">
        <f>AU$2*(Underlying*EXP(-DividendYield*TimeToExpiration)*_xlfn.NORM.DIST(AU$2*(LN(Underlying/$H10)+(RiskFreeRate-DividendYield+0.5*AS10^2)*TimeToExpiration)/(AS10*TimeToExpiration^0.5), 0, 1, TRUE) - 
       $H10*EXP(-RiskFreeRate*TimeToExpiration)*_xlfn.NORM.DIST(AU$2*(LN(Underlying/$H10)+(RiskFreeRate-DividendYield-0.5*AS10^2)*TimeToExpiration)/(AS10*TimeToExpiration^0.5), 0, 1, TRUE)
)</f>
        <v>32.02253545</v>
      </c>
      <c r="AV10" s="7">
        <f>AV$2*(Underlying*EXP(-DividendYield*TimeToExpiration)*_xlfn.NORM.DIST(AV$2*(LN(Underlying/$H10)+(RiskFreeRate-DividendYield+0.5*AT10^2)*TimeToExpiration)/(AT10*TimeToExpiration^0.5), 0, 1, TRUE) - 
       $H10*EXP(-RiskFreeRate*TimeToExpiration)*_xlfn.NORM.DIST(AV$2*(LN(Underlying/$H10)+(RiskFreeRate-DividendYield-0.5*AT10^2)*TimeToExpiration)/(AT10*TimeToExpiration^0.5), 0, 1, TRUE)
)</f>
        <v>32.04519889</v>
      </c>
      <c r="AW10" s="40">
        <f t="shared" si="23"/>
        <v>0.2587265625</v>
      </c>
      <c r="AX10" s="8">
        <f>AX$2*(Underlying*EXP(-DividendYield*TimeToExpiration)*_xlfn.NORM.DIST(AX$2*(LN(Underlying/$H10)+(RiskFreeRate-DividendYield+0.5*AW10^2)*TimeToExpiration)/(AW10*TimeToExpiration^0.5), 0, 1, TRUE) - 
       $H10*EXP(-RiskFreeRate*TimeToExpiration)*_xlfn.NORM.DIST(AX$2*(LN(Underlying/$H10)+(RiskFreeRate-DividendYield-0.5*AW10^2)*TimeToExpiration)/(AW10*TimeToExpiration^0.5), 0, 1, TRUE)
)</f>
        <v>32.03025683</v>
      </c>
      <c r="AY10" s="40">
        <f t="shared" si="24"/>
        <v>0.235296875</v>
      </c>
      <c r="AZ10" s="40">
        <f t="shared" si="25"/>
        <v>0.2587265625</v>
      </c>
      <c r="BA10" s="7">
        <f>BA$2*(Underlying*EXP(-DividendYield*TimeToExpiration)*_xlfn.NORM.DIST(BA$2*(LN(Underlying/$H10)+(RiskFreeRate-DividendYield+0.5*AY10^2)*TimeToExpiration)/(AY10*TimeToExpiration^0.5), 0, 1, TRUE) - 
       $H10*EXP(-RiskFreeRate*TimeToExpiration)*_xlfn.NORM.DIST(BA$2*(LN(Underlying/$H10)+(RiskFreeRate-DividendYield-0.5*AY10^2)*TimeToExpiration)/(AY10*TimeToExpiration^0.5), 0, 1, TRUE)
)</f>
        <v>32.02253545</v>
      </c>
      <c r="BB10" s="7">
        <f>BB$2*(Underlying*EXP(-DividendYield*TimeToExpiration)*_xlfn.NORM.DIST(BB$2*(LN(Underlying/$H10)+(RiskFreeRate-DividendYield+0.5*AZ10^2)*TimeToExpiration)/(AZ10*TimeToExpiration^0.5), 0, 1, TRUE) - 
       $H10*EXP(-RiskFreeRate*TimeToExpiration)*_xlfn.NORM.DIST(BB$2*(LN(Underlying/$H10)+(RiskFreeRate-DividendYield-0.5*AZ10^2)*TimeToExpiration)/(AZ10*TimeToExpiration^0.5), 0, 1, TRUE)
)</f>
        <v>32.03025683</v>
      </c>
      <c r="BC10" s="40">
        <f t="shared" si="26"/>
        <v>0.2470117188</v>
      </c>
      <c r="BD10" s="8">
        <f>BD$2*(Underlying*EXP(-DividendYield*TimeToExpiration)*_xlfn.NORM.DIST(BD$2*(LN(Underlying/$H10)+(RiskFreeRate-DividendYield+0.5*BC10^2)*TimeToExpiration)/(BC10*TimeToExpiration^0.5), 0, 1, TRUE) - 
       $H10*EXP(-RiskFreeRate*TimeToExpiration)*_xlfn.NORM.DIST(BD$2*(LN(Underlying/$H10)+(RiskFreeRate-DividendYield-0.5*BC10^2)*TimeToExpiration)/(BC10*TimeToExpiration^0.5), 0, 1, TRUE)
)</f>
        <v>32.02566927</v>
      </c>
      <c r="BE10" s="40">
        <f t="shared" si="27"/>
        <v>0.235296875</v>
      </c>
      <c r="BF10" s="40">
        <f t="shared" si="28"/>
        <v>0.2470117188</v>
      </c>
      <c r="BG10" s="7">
        <f>BG$2*(Underlying*EXP(-DividendYield*TimeToExpiration)*_xlfn.NORM.DIST(BG$2*(LN(Underlying/$H10)+(RiskFreeRate-DividendYield+0.5*BE10^2)*TimeToExpiration)/(BE10*TimeToExpiration^0.5), 0, 1, TRUE) - 
       $H10*EXP(-RiskFreeRate*TimeToExpiration)*_xlfn.NORM.DIST(BG$2*(LN(Underlying/$H10)+(RiskFreeRate-DividendYield-0.5*BE10^2)*TimeToExpiration)/(BE10*TimeToExpiration^0.5), 0, 1, TRUE)
)</f>
        <v>32.02253545</v>
      </c>
      <c r="BH10" s="7">
        <f>BH$2*(Underlying*EXP(-DividendYield*TimeToExpiration)*_xlfn.NORM.DIST(BH$2*(LN(Underlying/$H10)+(RiskFreeRate-DividendYield+0.5*BF10^2)*TimeToExpiration)/(BF10*TimeToExpiration^0.5), 0, 1, TRUE) - 
       $H10*EXP(-RiskFreeRate*TimeToExpiration)*_xlfn.NORM.DIST(BH$2*(LN(Underlying/$H10)+(RiskFreeRate-DividendYield-0.5*BF10^2)*TimeToExpiration)/(BF10*TimeToExpiration^0.5), 0, 1, TRUE)
)</f>
        <v>32.02566927</v>
      </c>
      <c r="BI10" s="40">
        <f t="shared" si="29"/>
        <v>0.2411542969</v>
      </c>
      <c r="BJ10" s="8">
        <f>BJ$2*(Underlying*EXP(-DividendYield*TimeToExpiration)*_xlfn.NORM.DIST(BJ$2*(LN(Underlying/$H10)+(RiskFreeRate-DividendYield+0.5*BI10^2)*TimeToExpiration)/(BI10*TimeToExpiration^0.5), 0, 1, TRUE) - 
       $H10*EXP(-RiskFreeRate*TimeToExpiration)*_xlfn.NORM.DIST(BJ$2*(LN(Underlying/$H10)+(RiskFreeRate-DividendYield-0.5*BI10^2)*TimeToExpiration)/(BI10*TimeToExpiration^0.5), 0, 1, TRUE)
)</f>
        <v>32.02394222</v>
      </c>
      <c r="BK10" s="40">
        <f t="shared" si="30"/>
        <v>0.2411542969</v>
      </c>
      <c r="BL10" s="40">
        <f t="shared" si="31"/>
        <v>0.2470117188</v>
      </c>
      <c r="BM10" s="7">
        <f>BM$2*(Underlying*EXP(-DividendYield*TimeToExpiration)*_xlfn.NORM.DIST(BM$2*(LN(Underlying/$H10)+(RiskFreeRate-DividendYield+0.5*BK10^2)*TimeToExpiration)/(BK10*TimeToExpiration^0.5), 0, 1, TRUE) - 
       $H10*EXP(-RiskFreeRate*TimeToExpiration)*_xlfn.NORM.DIST(BM$2*(LN(Underlying/$H10)+(RiskFreeRate-DividendYield-0.5*BK10^2)*TimeToExpiration)/(BK10*TimeToExpiration^0.5), 0, 1, TRUE)
)</f>
        <v>32.02394222</v>
      </c>
      <c r="BN10" s="7">
        <f>BN$2*(Underlying*EXP(-DividendYield*TimeToExpiration)*_xlfn.NORM.DIST(BN$2*(LN(Underlying/$H10)+(RiskFreeRate-DividendYield+0.5*BL10^2)*TimeToExpiration)/(BL10*TimeToExpiration^0.5), 0, 1, TRUE) - 
       $H10*EXP(-RiskFreeRate*TimeToExpiration)*_xlfn.NORM.DIST(BN$2*(LN(Underlying/$H10)+(RiskFreeRate-DividendYield-0.5*BL10^2)*TimeToExpiration)/(BL10*TimeToExpiration^0.5), 0, 1, TRUE)
)</f>
        <v>32.02566927</v>
      </c>
      <c r="BO10" s="40">
        <f t="shared" si="32"/>
        <v>0.2440830078</v>
      </c>
      <c r="BP10" s="8">
        <f>BP$2*(Underlying*EXP(-DividendYield*TimeToExpiration)*_xlfn.NORM.DIST(BP$2*(LN(Underlying/$H10)+(RiskFreeRate-DividendYield+0.5*BO10^2)*TimeToExpiration)/(BO10*TimeToExpiration^0.5), 0, 1, TRUE) - 
       $H10*EXP(-RiskFreeRate*TimeToExpiration)*_xlfn.NORM.DIST(BP$2*(LN(Underlying/$H10)+(RiskFreeRate-DividendYield-0.5*BO10^2)*TimeToExpiration)/(BO10*TimeToExpiration^0.5), 0, 1, TRUE)
)</f>
        <v>32.02476305</v>
      </c>
      <c r="BQ10" s="40">
        <f t="shared" si="33"/>
        <v>0.2440830078</v>
      </c>
      <c r="BR10" s="40">
        <f t="shared" si="34"/>
        <v>0.2470117188</v>
      </c>
      <c r="BS10" s="7">
        <f>BS$2*(Underlying*EXP(-DividendYield*TimeToExpiration)*_xlfn.NORM.DIST(BS$2*(LN(Underlying/$H10)+(RiskFreeRate-DividendYield+0.5*BQ10^2)*TimeToExpiration)/(BQ10*TimeToExpiration^0.5), 0, 1, TRUE) - 
       $H10*EXP(-RiskFreeRate*TimeToExpiration)*_xlfn.NORM.DIST(BS$2*(LN(Underlying/$H10)+(RiskFreeRate-DividendYield-0.5*BQ10^2)*TimeToExpiration)/(BQ10*TimeToExpiration^0.5), 0, 1, TRUE)
)</f>
        <v>32.02476305</v>
      </c>
      <c r="BT10" s="7">
        <f>BT$2*(Underlying*EXP(-DividendYield*TimeToExpiration)*_xlfn.NORM.DIST(BT$2*(LN(Underlying/$H10)+(RiskFreeRate-DividendYield+0.5*BR10^2)*TimeToExpiration)/(BR10*TimeToExpiration^0.5), 0, 1, TRUE) - 
       $H10*EXP(-RiskFreeRate*TimeToExpiration)*_xlfn.NORM.DIST(BT$2*(LN(Underlying/$H10)+(RiskFreeRate-DividendYield-0.5*BR10^2)*TimeToExpiration)/(BR10*TimeToExpiration^0.5), 0, 1, TRUE)
)</f>
        <v>32.02566927</v>
      </c>
      <c r="BU10" s="40">
        <f t="shared" si="35"/>
        <v>0.2455473633</v>
      </c>
      <c r="BV10" s="8">
        <f>BV$2*(Underlying*EXP(-DividendYield*TimeToExpiration)*_xlfn.NORM.DIST(BV$2*(LN(Underlying/$H10)+(RiskFreeRate-DividendYield+0.5*BU10^2)*TimeToExpiration)/(BU10*TimeToExpiration^0.5), 0, 1, TRUE) - 
       $H10*EXP(-RiskFreeRate*TimeToExpiration)*_xlfn.NORM.DIST(BV$2*(LN(Underlying/$H10)+(RiskFreeRate-DividendYield-0.5*BU10^2)*TimeToExpiration)/(BU10*TimeToExpiration^0.5), 0, 1, TRUE)
)</f>
        <v>32.02520515</v>
      </c>
      <c r="BW10" s="40">
        <f t="shared" si="36"/>
        <v>0.2440830078</v>
      </c>
      <c r="BX10" s="40">
        <f t="shared" si="37"/>
        <v>0.2455473633</v>
      </c>
      <c r="BY10" s="7">
        <f>BY$2*(Underlying*EXP(-DividendYield*TimeToExpiration)*_xlfn.NORM.DIST(BY$2*(LN(Underlying/$H10)+(RiskFreeRate-DividendYield+0.5*BW10^2)*TimeToExpiration)/(BW10*TimeToExpiration^0.5), 0, 1, TRUE) - 
       $H10*EXP(-RiskFreeRate*TimeToExpiration)*_xlfn.NORM.DIST(BY$2*(LN(Underlying/$H10)+(RiskFreeRate-DividendYield-0.5*BW10^2)*TimeToExpiration)/(BW10*TimeToExpiration^0.5), 0, 1, TRUE)
)</f>
        <v>32.02476305</v>
      </c>
      <c r="BZ10" s="7">
        <f>BZ$2*(Underlying*EXP(-DividendYield*TimeToExpiration)*_xlfn.NORM.DIST(BZ$2*(LN(Underlying/$H10)+(RiskFreeRate-DividendYield+0.5*BX10^2)*TimeToExpiration)/(BX10*TimeToExpiration^0.5), 0, 1, TRUE) - 
       $H10*EXP(-RiskFreeRate*TimeToExpiration)*_xlfn.NORM.DIST(BZ$2*(LN(Underlying/$H10)+(RiskFreeRate-DividendYield-0.5*BX10^2)*TimeToExpiration)/(BX10*TimeToExpiration^0.5), 0, 1, TRUE)
)</f>
        <v>32.02520515</v>
      </c>
      <c r="CA10" s="40">
        <f t="shared" si="38"/>
        <v>0.2448151855</v>
      </c>
      <c r="CB10" s="8">
        <f>CB$2*(Underlying*EXP(-DividendYield*TimeToExpiration)*_xlfn.NORM.DIST(CB$2*(LN(Underlying/$H10)+(RiskFreeRate-DividendYield+0.5*CA10^2)*TimeToExpiration)/(CA10*TimeToExpiration^0.5), 0, 1, TRUE) - 
       $H10*EXP(-RiskFreeRate*TimeToExpiration)*_xlfn.NORM.DIST(CB$2*(LN(Underlying/$H10)+(RiskFreeRate-DividendYield-0.5*CA10^2)*TimeToExpiration)/(CA10*TimeToExpiration^0.5), 0, 1, TRUE)
)</f>
        <v>32.02498139</v>
      </c>
      <c r="CC10" s="40">
        <f t="shared" si="39"/>
        <v>0.2448151855</v>
      </c>
      <c r="CD10" s="40">
        <f t="shared" si="40"/>
        <v>0.2455473633</v>
      </c>
      <c r="CE10" s="7">
        <f>CE$2*(Underlying*EXP(-DividendYield*TimeToExpiration)*_xlfn.NORM.DIST(CE$2*(LN(Underlying/$H10)+(RiskFreeRate-DividendYield+0.5*CC10^2)*TimeToExpiration)/(CC10*TimeToExpiration^0.5), 0, 1, TRUE) - 
       $H10*EXP(-RiskFreeRate*TimeToExpiration)*_xlfn.NORM.DIST(CE$2*(LN(Underlying/$H10)+(RiskFreeRate-DividendYield-0.5*CC10^2)*TimeToExpiration)/(CC10*TimeToExpiration^0.5), 0, 1, TRUE)
)</f>
        <v>32.02498139</v>
      </c>
      <c r="CF10" s="7">
        <f>CF$2*(Underlying*EXP(-DividendYield*TimeToExpiration)*_xlfn.NORM.DIST(CF$2*(LN(Underlying/$H10)+(RiskFreeRate-DividendYield+0.5*CD10^2)*TimeToExpiration)/(CD10*TimeToExpiration^0.5), 0, 1, TRUE) - 
       $H10*EXP(-RiskFreeRate*TimeToExpiration)*_xlfn.NORM.DIST(CF$2*(LN(Underlying/$H10)+(RiskFreeRate-DividendYield-0.5*CD10^2)*TimeToExpiration)/(CD10*TimeToExpiration^0.5), 0, 1, TRUE)
)</f>
        <v>32.02520515</v>
      </c>
      <c r="CG10" s="40">
        <f t="shared" si="41"/>
        <v>0.2451812744</v>
      </c>
      <c r="CH10" s="8">
        <f>CH$2*(Underlying*EXP(-DividendYield*TimeToExpiration)*_xlfn.NORM.DIST(CH$2*(LN(Underlying/$H10)+(RiskFreeRate-DividendYield+0.5*CG10^2)*TimeToExpiration)/(CG10*TimeToExpiration^0.5), 0, 1, TRUE) - 
       $H10*EXP(-RiskFreeRate*TimeToExpiration)*_xlfn.NORM.DIST(CH$2*(LN(Underlying/$H10)+(RiskFreeRate-DividendYield-0.5*CG10^2)*TimeToExpiration)/(CG10*TimeToExpiration^0.5), 0, 1, TRUE)
)</f>
        <v>32.02509259</v>
      </c>
      <c r="CI10" s="40">
        <f t="shared" si="42"/>
        <v>0.2448151855</v>
      </c>
      <c r="CJ10" s="40">
        <f t="shared" si="43"/>
        <v>0.2451812744</v>
      </c>
      <c r="CK10" s="7">
        <f>CK$2*(Underlying*EXP(-DividendYield*TimeToExpiration)*_xlfn.NORM.DIST(CK$2*(LN(Underlying/$H10)+(RiskFreeRate-DividendYield+0.5*CI10^2)*TimeToExpiration)/(CI10*TimeToExpiration^0.5), 0, 1, TRUE) - 
       $H10*EXP(-RiskFreeRate*TimeToExpiration)*_xlfn.NORM.DIST(CK$2*(LN(Underlying/$H10)+(RiskFreeRate-DividendYield-0.5*CI10^2)*TimeToExpiration)/(CI10*TimeToExpiration^0.5), 0, 1, TRUE)
)</f>
        <v>32.02498139</v>
      </c>
      <c r="CL10" s="7">
        <f>CL$2*(Underlying*EXP(-DividendYield*TimeToExpiration)*_xlfn.NORM.DIST(CL$2*(LN(Underlying/$H10)+(RiskFreeRate-DividendYield+0.5*CJ10^2)*TimeToExpiration)/(CJ10*TimeToExpiration^0.5), 0, 1, TRUE) - 
       $H10*EXP(-RiskFreeRate*TimeToExpiration)*_xlfn.NORM.DIST(CL$2*(LN(Underlying/$H10)+(RiskFreeRate-DividendYield-0.5*CJ10^2)*TimeToExpiration)/(CJ10*TimeToExpiration^0.5), 0, 1, TRUE)
)</f>
        <v>32.02509259</v>
      </c>
      <c r="CM10" s="40">
        <f t="shared" si="44"/>
        <v>0.24499823</v>
      </c>
      <c r="CN10" s="8">
        <f>CN$2*(Underlying*EXP(-DividendYield*TimeToExpiration)*_xlfn.NORM.DIST(CN$2*(LN(Underlying/$H10)+(RiskFreeRate-DividendYield+0.5*CM10^2)*TimeToExpiration)/(CM10*TimeToExpiration^0.5), 0, 1, TRUE) - 
       $H10*EXP(-RiskFreeRate*TimeToExpiration)*_xlfn.NORM.DIST(CN$2*(LN(Underlying/$H10)+(RiskFreeRate-DividendYield-0.5*CM10^2)*TimeToExpiration)/(CM10*TimeToExpiration^0.5), 0, 1, TRUE)
)</f>
        <v>32.02503682</v>
      </c>
      <c r="CO10" s="40">
        <f t="shared" si="45"/>
        <v>0.2448151855</v>
      </c>
      <c r="CP10" s="40">
        <f t="shared" si="46"/>
        <v>0.24499823</v>
      </c>
      <c r="CQ10" s="7">
        <f>CQ$2*(Underlying*EXP(-DividendYield*TimeToExpiration)*_xlfn.NORM.DIST(CQ$2*(LN(Underlying/$H10)+(RiskFreeRate-DividendYield+0.5*CO10^2)*TimeToExpiration)/(CO10*TimeToExpiration^0.5), 0, 1, TRUE) - 
       $H10*EXP(-RiskFreeRate*TimeToExpiration)*_xlfn.NORM.DIST(CQ$2*(LN(Underlying/$H10)+(RiskFreeRate-DividendYield-0.5*CO10^2)*TimeToExpiration)/(CO10*TimeToExpiration^0.5), 0, 1, TRUE)
)</f>
        <v>32.02498139</v>
      </c>
      <c r="CR10" s="7">
        <f>CR$2*(Underlying*EXP(-DividendYield*TimeToExpiration)*_xlfn.NORM.DIST(CR$2*(LN(Underlying/$H10)+(RiskFreeRate-DividendYield+0.5*CP10^2)*TimeToExpiration)/(CP10*TimeToExpiration^0.5), 0, 1, TRUE) - 
       $H10*EXP(-RiskFreeRate*TimeToExpiration)*_xlfn.NORM.DIST(CR$2*(LN(Underlying/$H10)+(RiskFreeRate-DividendYield-0.5*CP10^2)*TimeToExpiration)/(CP10*TimeToExpiration^0.5), 0, 1, TRUE)
)</f>
        <v>32.02503682</v>
      </c>
      <c r="CS10" s="40">
        <f t="shared" si="47"/>
        <v>0.2449067078</v>
      </c>
      <c r="CT10" s="8">
        <f>CT$2*(Underlying*EXP(-DividendYield*TimeToExpiration)*_xlfn.NORM.DIST(CT$2*(LN(Underlying/$H10)+(RiskFreeRate-DividendYield+0.5*CS10^2)*TimeToExpiration)/(CS10*TimeToExpiration^0.5), 0, 1, TRUE) - 
       $H10*EXP(-RiskFreeRate*TimeToExpiration)*_xlfn.NORM.DIST(CT$2*(LN(Underlying/$H10)+(RiskFreeRate-DividendYield-0.5*CS10^2)*TimeToExpiration)/(CS10*TimeToExpiration^0.5), 0, 1, TRUE)
)</f>
        <v>32.02500906</v>
      </c>
      <c r="CU10" s="40">
        <f t="shared" si="48"/>
        <v>0.2448151855</v>
      </c>
      <c r="CV10" s="40">
        <f t="shared" si="49"/>
        <v>0.2449067078</v>
      </c>
      <c r="CW10" s="7">
        <f>CW$2*(Underlying*EXP(-DividendYield*TimeToExpiration)*_xlfn.NORM.DIST(CW$2*(LN(Underlying/$H10)+(RiskFreeRate-DividendYield+0.5*CU10^2)*TimeToExpiration)/(CU10*TimeToExpiration^0.5), 0, 1, TRUE) - 
       $H10*EXP(-RiskFreeRate*TimeToExpiration)*_xlfn.NORM.DIST(CW$2*(LN(Underlying/$H10)+(RiskFreeRate-DividendYield-0.5*CU10^2)*TimeToExpiration)/(CU10*TimeToExpiration^0.5), 0, 1, TRUE)
)</f>
        <v>32.02498139</v>
      </c>
      <c r="CX10" s="7">
        <f>CX$2*(Underlying*EXP(-DividendYield*TimeToExpiration)*_xlfn.NORM.DIST(CX$2*(LN(Underlying/$H10)+(RiskFreeRate-DividendYield+0.5*CV10^2)*TimeToExpiration)/(CV10*TimeToExpiration^0.5), 0, 1, TRUE) - 
       $H10*EXP(-RiskFreeRate*TimeToExpiration)*_xlfn.NORM.DIST(CX$2*(LN(Underlying/$H10)+(RiskFreeRate-DividendYield-0.5*CV10^2)*TimeToExpiration)/(CV10*TimeToExpiration^0.5), 0, 1, TRUE)
)</f>
        <v>32.02500906</v>
      </c>
      <c r="CY10" s="40">
        <f t="shared" si="50"/>
        <v>0.2448609467</v>
      </c>
      <c r="CZ10" s="8">
        <f>CZ$2*(Underlying*EXP(-DividendYield*TimeToExpiration)*_xlfn.NORM.DIST(CZ$2*(LN(Underlying/$H10)+(RiskFreeRate-DividendYield+0.5*CY10^2)*TimeToExpiration)/(CY10*TimeToExpiration^0.5), 0, 1, TRUE) - 
       $H10*EXP(-RiskFreeRate*TimeToExpiration)*_xlfn.NORM.DIST(CZ$2*(LN(Underlying/$H10)+(RiskFreeRate-DividendYield-0.5*CY10^2)*TimeToExpiration)/(CY10*TimeToExpiration^0.5), 0, 1, TRUE)
)</f>
        <v>32.02499522</v>
      </c>
      <c r="DA10" s="40">
        <f t="shared" si="51"/>
        <v>0.2448151855</v>
      </c>
      <c r="DB10" s="40">
        <f t="shared" si="52"/>
        <v>0.2448609467</v>
      </c>
      <c r="DC10" s="7">
        <f>DC$2*(Underlying*EXP(-DividendYield*TimeToExpiration)*_xlfn.NORM.DIST(DC$2*(LN(Underlying/$H10)+(RiskFreeRate-DividendYield+0.5*DA10^2)*TimeToExpiration)/(DA10*TimeToExpiration^0.5), 0, 1, TRUE) - 
       $H10*EXP(-RiskFreeRate*TimeToExpiration)*_xlfn.NORM.DIST(DC$2*(LN(Underlying/$H10)+(RiskFreeRate-DividendYield-0.5*DA10^2)*TimeToExpiration)/(DA10*TimeToExpiration^0.5), 0, 1, TRUE)
)</f>
        <v>32.02498139</v>
      </c>
      <c r="DD10" s="7">
        <f>DD$2*(Underlying*EXP(-DividendYield*TimeToExpiration)*_xlfn.NORM.DIST(DD$2*(LN(Underlying/$H10)+(RiskFreeRate-DividendYield+0.5*DB10^2)*TimeToExpiration)/(DB10*TimeToExpiration^0.5), 0, 1, TRUE) - 
       $H10*EXP(-RiskFreeRate*TimeToExpiration)*_xlfn.NORM.DIST(DD$2*(LN(Underlying/$H10)+(RiskFreeRate-DividendYield-0.5*DB10^2)*TimeToExpiration)/(DB10*TimeToExpiration^0.5), 0, 1, TRUE)
)</f>
        <v>32.02499522</v>
      </c>
      <c r="DE10" s="40">
        <f t="shared" si="53"/>
        <v>0.2448380661</v>
      </c>
      <c r="DF10" s="8">
        <f>DF$2*(Underlying*EXP(-DividendYield*TimeToExpiration)*_xlfn.NORM.DIST(DF$2*(LN(Underlying/$H10)+(RiskFreeRate-DividendYield+0.5*DE10^2)*TimeToExpiration)/(DE10*TimeToExpiration^0.5), 0, 1, TRUE) - 
       $H10*EXP(-RiskFreeRate*TimeToExpiration)*_xlfn.NORM.DIST(DF$2*(LN(Underlying/$H10)+(RiskFreeRate-DividendYield-0.5*DE10^2)*TimeToExpiration)/(DE10*TimeToExpiration^0.5), 0, 1, TRUE)
)</f>
        <v>32.0249883</v>
      </c>
    </row>
    <row r="11">
      <c r="A11" s="20">
        <f>'Option Mkt Data'!A11</f>
        <v>310</v>
      </c>
      <c r="B11" s="35">
        <f t="shared" ref="B11:C11" si="58">DE11</f>
        <v>0.44193116</v>
      </c>
      <c r="C11" s="7">
        <f t="shared" si="58"/>
        <v>30.17488472</v>
      </c>
      <c r="D11" s="7">
        <f t="shared" si="3"/>
        <v>0.0001183301208</v>
      </c>
      <c r="E11" s="9">
        <f t="shared" si="4"/>
        <v>0.000003921461769</v>
      </c>
      <c r="F11" s="36">
        <f>D11/'Option Mkt Data'!L11</f>
        <v>0.0007888995541</v>
      </c>
      <c r="G11" s="5">
        <f>'Option Mkt Data'!J11</f>
        <v>30.17500305</v>
      </c>
      <c r="H11" s="33">
        <f>'Option Mkt Data'!A11</f>
        <v>310</v>
      </c>
      <c r="I11" s="37">
        <f>MinSolverVola</f>
        <v>0.001</v>
      </c>
      <c r="J11" s="38">
        <f>MaxSolverVola</f>
        <v>3</v>
      </c>
      <c r="K11" s="39">
        <f>K$2*(Underlying*EXP(-DividendYield*TimeToExpiration)*_xlfn.NORM.DIST(K$2*(LN(Underlying/$H11)+(RiskFreeRate-DividendYield+0.5*I11^2)*TimeToExpiration)/(I11*TimeToExpiration^0.5), 0, 1, TRUE) - 
       $H11*EXP(-RiskFreeRate*TimeToExpiration)*_xlfn.NORM.DIST(K$2*(LN(Underlying/$H11)+(RiskFreeRate-DividendYield-0.5*I11^2)*TimeToExpiration)/(I11*TimeToExpiration^0.5), 0, 1, TRUE)
)</f>
        <v>29.5203</v>
      </c>
      <c r="L11" s="7">
        <f>L$2*(Underlying*EXP(-DividendYield*TimeToExpiration)*_xlfn.NORM.DIST(L$2*(LN(Underlying/$H11)+(RiskFreeRate-DividendYield+0.5*J11^2)*TimeToExpiration)/(J11*TimeToExpiration^0.5), 0, 1, TRUE) - 
       $H11*EXP(-RiskFreeRate*TimeToExpiration)*_xlfn.NORM.DIST(L$2*(LN(Underlying/$H11)+(RiskFreeRate-DividendYield-0.5*J11^2)*TimeToExpiration)/(J11*TimeToExpiration^0.5), 0, 1, TRUE)
)</f>
        <v>70.50109261</v>
      </c>
      <c r="M11" s="40">
        <f t="shared" si="5"/>
        <v>1.5005</v>
      </c>
      <c r="N11" s="8">
        <f>N$2*(Underlying*EXP(-DividendYield*TimeToExpiration)*_xlfn.NORM.DIST(N$2*(LN(Underlying/$H11)+(RiskFreeRate-DividendYield+0.5*M11^2)*TimeToExpiration)/(M11*TimeToExpiration^0.5), 0, 1, TRUE) - 
       $H11*EXP(-RiskFreeRate*TimeToExpiration)*_xlfn.NORM.DIST(N$2*(LN(Underlying/$H11)+(RiskFreeRate-DividendYield-0.5*M11^2)*TimeToExpiration)/(M11*TimeToExpiration^0.5), 0, 1, TRUE)
)</f>
        <v>44.65149398</v>
      </c>
      <c r="O11" s="41">
        <f t="shared" si="6"/>
        <v>0.001</v>
      </c>
      <c r="P11" s="40">
        <f t="shared" si="7"/>
        <v>1.5005</v>
      </c>
      <c r="Q11" s="7">
        <f>Q$2*(Underlying*EXP(-DividendYield*TimeToExpiration)*_xlfn.NORM.DIST(Q$2*(LN(Underlying/$H11)+(RiskFreeRate-DividendYield+0.5*O11^2)*TimeToExpiration)/(O11*TimeToExpiration^0.5), 0, 1, TRUE) - 
       $H11*EXP(-RiskFreeRate*TimeToExpiration)*_xlfn.NORM.DIST(Q$2*(LN(Underlying/$H11)+(RiskFreeRate-DividendYield-0.5*O11^2)*TimeToExpiration)/(O11*TimeToExpiration^0.5), 0, 1, TRUE))</f>
        <v>29.5203</v>
      </c>
      <c r="R11" s="7">
        <f>R$2*(Underlying*EXP(-DividendYield*TimeToExpiration)*_xlfn.NORM.DIST(R$2*(LN(Underlying/$H11)+(RiskFreeRate-DividendYield+0.5*P11^2)*TimeToExpiration)/(P11*TimeToExpiration^0.5), 0, 1, TRUE) - 
       $H11*EXP(-RiskFreeRate*TimeToExpiration)*_xlfn.NORM.DIST(R$2*(LN(Underlying/$H11)+(RiskFreeRate-DividendYield-0.5*P11^2)*TimeToExpiration)/(P11*TimeToExpiration^0.5), 0, 1, TRUE)
)</f>
        <v>44.65149398</v>
      </c>
      <c r="S11" s="40">
        <f t="shared" si="8"/>
        <v>0.75075</v>
      </c>
      <c r="T11" s="8">
        <f>T$2*(Underlying*EXP(-DividendYield*TimeToExpiration)*_xlfn.NORM.DIST(T$2*(LN(Underlying/$H11)+(RiskFreeRate-DividendYield+0.5*S11^2)*TimeToExpiration)/(S11*TimeToExpiration^0.5), 0, 1, TRUE) - 
       $H11*EXP(-RiskFreeRate*TimeToExpiration)*_xlfn.NORM.DIST(T$2*(LN(Underlying/$H11)+(RiskFreeRate-DividendYield-0.5*S11^2)*TimeToExpiration)/(S11*TimeToExpiration^0.5), 0, 1, TRUE)
)</f>
        <v>33.25104662</v>
      </c>
      <c r="U11" s="41">
        <f t="shared" si="9"/>
        <v>0.001</v>
      </c>
      <c r="V11" s="40">
        <f t="shared" si="10"/>
        <v>0.75075</v>
      </c>
      <c r="W11" s="7">
        <f>W$2*(Underlying*EXP(-DividendYield*TimeToExpiration)*_xlfn.NORM.DIST(W$2*(LN(Underlying/$H11)+(RiskFreeRate-DividendYield+0.5*U11^2)*TimeToExpiration)/(U11*TimeToExpiration^0.5), 0, 1, TRUE) - 
       $H11*EXP(-RiskFreeRate*TimeToExpiration)*_xlfn.NORM.DIST(W$2*(LN(Underlying/$H11)+(RiskFreeRate-DividendYield-0.5*U11^2)*TimeToExpiration)/(U11*TimeToExpiration^0.5), 0, 1, TRUE)
)</f>
        <v>29.5203</v>
      </c>
      <c r="X11" s="7">
        <f>X$2*(Underlying*EXP(-DividendYield*TimeToExpiration)*_xlfn.NORM.DIST(X$2*(LN(Underlying/$H11)+(RiskFreeRate-DividendYield+0.5*V11^2)*TimeToExpiration)/(V11*TimeToExpiration^0.5), 0, 1, TRUE) - 
       $H11*EXP(-RiskFreeRate*TimeToExpiration)*_xlfn.NORM.DIST(X$2*(LN(Underlying/$H11)+(RiskFreeRate-DividendYield-0.5*V11^2)*TimeToExpiration)/(V11*TimeToExpiration^0.5), 0, 1, TRUE)
)</f>
        <v>33.25104662</v>
      </c>
      <c r="Y11" s="40">
        <f t="shared" si="11"/>
        <v>0.375875</v>
      </c>
      <c r="Z11" s="8">
        <f>Z$2*(Underlying*EXP(-DividendYield*TimeToExpiration)*_xlfn.NORM.DIST(Z$2*(LN(Underlying/$H11)+(RiskFreeRate-DividendYield+0.5*Y11^2)*TimeToExpiration)/(Y11*TimeToExpiration^0.5), 0, 1, TRUE) - 
       $H11*EXP(-RiskFreeRate*TimeToExpiration)*_xlfn.NORM.DIST(Z$2*(LN(Underlying/$H11)+(RiskFreeRate-DividendYield-0.5*Y11^2)*TimeToExpiration)/(Y11*TimeToExpiration^0.5), 0, 1, TRUE)
)</f>
        <v>29.82569592</v>
      </c>
      <c r="AA11" s="40">
        <f t="shared" si="12"/>
        <v>0.375875</v>
      </c>
      <c r="AB11" s="40">
        <f t="shared" si="13"/>
        <v>0.75075</v>
      </c>
      <c r="AC11" s="7">
        <f>AC$2*(Underlying*EXP(-DividendYield*TimeToExpiration)*_xlfn.NORM.DIST(AC$2*(LN(Underlying/$H11)+(RiskFreeRate-DividendYield+0.5*AA11^2)*TimeToExpiration)/(AA11*TimeToExpiration^0.5), 0, 1, TRUE) - 
       $H11*EXP(-RiskFreeRate*TimeToExpiration)*_xlfn.NORM.DIST(AC$2*(LN(Underlying/$H11)+(RiskFreeRate-DividendYield-0.5*AA11^2)*TimeToExpiration)/(AA11*TimeToExpiration^0.5), 0, 1, TRUE)
)</f>
        <v>29.82569592</v>
      </c>
      <c r="AD11" s="7">
        <f>AD$2*(Underlying*EXP(-DividendYield*TimeToExpiration)*_xlfn.NORM.DIST(AD$2*(LN(Underlying/$H11)+(RiskFreeRate-DividendYield+0.5*AB11^2)*TimeToExpiration)/(AB11*TimeToExpiration^0.5), 0, 1, TRUE) - 
       $H11*EXP(-RiskFreeRate*TimeToExpiration)*_xlfn.NORM.DIST(AD$2*(LN(Underlying/$H11)+(RiskFreeRate-DividendYield-0.5*AB11^2)*TimeToExpiration)/(AB11*TimeToExpiration^0.5), 0, 1, TRUE)
)</f>
        <v>33.25104662</v>
      </c>
      <c r="AE11" s="40">
        <f t="shared" si="14"/>
        <v>0.5633125</v>
      </c>
      <c r="AF11" s="8">
        <f>AF$2*(Underlying*EXP(-DividendYield*TimeToExpiration)*_xlfn.NORM.DIST(AF$2*(LN(Underlying/$H11)+(RiskFreeRate-DividendYield+0.5*AE11^2)*TimeToExpiration)/(AE11*TimeToExpiration^0.5), 0, 1, TRUE) - 
       $H11*EXP(-RiskFreeRate*TimeToExpiration)*_xlfn.NORM.DIST(AF$2*(LN(Underlying/$H11)+(RiskFreeRate-DividendYield-0.5*AE11^2)*TimeToExpiration)/(AE11*TimeToExpiration^0.5), 0, 1, TRUE)
)</f>
        <v>31.14644222</v>
      </c>
      <c r="AG11" s="40">
        <f t="shared" si="15"/>
        <v>0.375875</v>
      </c>
      <c r="AH11" s="40">
        <f t="shared" si="16"/>
        <v>0.5633125</v>
      </c>
      <c r="AI11" s="7">
        <f>AI$2*(Underlying*EXP(-DividendYield*TimeToExpiration)*_xlfn.NORM.DIST(AI$2*(LN(Underlying/$H11)+(RiskFreeRate-DividendYield+0.5*AG11^2)*TimeToExpiration)/(AG11*TimeToExpiration^0.5), 0, 1, TRUE) - 
       $H11*EXP(-RiskFreeRate*TimeToExpiration)*_xlfn.NORM.DIST(AI$2*(LN(Underlying/$H11)+(RiskFreeRate-DividendYield-0.5*AG11^2)*TimeToExpiration)/(AG11*TimeToExpiration^0.5), 0, 1, TRUE)
)</f>
        <v>29.82569592</v>
      </c>
      <c r="AJ11" s="7">
        <f>AJ$2*(Underlying*EXP(-DividendYield*TimeToExpiration)*_xlfn.NORM.DIST(AJ$2*(LN(Underlying/$H11)+(RiskFreeRate-DividendYield+0.5*AH11^2)*TimeToExpiration)/(AH11*TimeToExpiration^0.5), 0, 1, TRUE) - 
       $H11*EXP(-RiskFreeRate*TimeToExpiration)*_xlfn.NORM.DIST(AJ$2*(LN(Underlying/$H11)+(RiskFreeRate-DividendYield-0.5*AH11^2)*TimeToExpiration)/(AH11*TimeToExpiration^0.5), 0, 1, TRUE)
)</f>
        <v>31.14644222</v>
      </c>
      <c r="AK11" s="40">
        <f t="shared" si="17"/>
        <v>0.46959375</v>
      </c>
      <c r="AL11" s="8">
        <f>AL$2*(Underlying*EXP(-DividendYield*TimeToExpiration)*_xlfn.NORM.DIST(AL$2*(LN(Underlying/$H11)+(RiskFreeRate-DividendYield+0.5*AK11^2)*TimeToExpiration)/(AK11*TimeToExpiration^0.5), 0, 1, TRUE) - 
       $H11*EXP(-RiskFreeRate*TimeToExpiration)*_xlfn.NORM.DIST(AL$2*(LN(Underlying/$H11)+(RiskFreeRate-DividendYield-0.5*AK11^2)*TimeToExpiration)/(AK11*TimeToExpiration^0.5), 0, 1, TRUE)
)</f>
        <v>30.36128625</v>
      </c>
      <c r="AM11" s="40">
        <f t="shared" si="18"/>
        <v>0.375875</v>
      </c>
      <c r="AN11" s="40">
        <f t="shared" si="19"/>
        <v>0.46959375</v>
      </c>
      <c r="AO11" s="7">
        <f>AO$2*(Underlying*EXP(-DividendYield*TimeToExpiration)*_xlfn.NORM.DIST(AO$2*(LN(Underlying/$H11)+(RiskFreeRate-DividendYield+0.5*AM11^2)*TimeToExpiration)/(AM11*TimeToExpiration^0.5), 0, 1, TRUE) - 
       $H11*EXP(-RiskFreeRate*TimeToExpiration)*_xlfn.NORM.DIST(AO$2*(LN(Underlying/$H11)+(RiskFreeRate-DividendYield-0.5*AM11^2)*TimeToExpiration)/(AM11*TimeToExpiration^0.5), 0, 1, TRUE)
)</f>
        <v>29.82569592</v>
      </c>
      <c r="AP11" s="7">
        <f>AP$2*(Underlying*EXP(-DividendYield*TimeToExpiration)*_xlfn.NORM.DIST(AP$2*(LN(Underlying/$H11)+(RiskFreeRate-DividendYield+0.5*AN11^2)*TimeToExpiration)/(AN11*TimeToExpiration^0.5), 0, 1, TRUE) - 
       $H11*EXP(-RiskFreeRate*TimeToExpiration)*_xlfn.NORM.DIST(AP$2*(LN(Underlying/$H11)+(RiskFreeRate-DividendYield-0.5*AN11^2)*TimeToExpiration)/(AN11*TimeToExpiration^0.5), 0, 1, TRUE)
)</f>
        <v>30.36128625</v>
      </c>
      <c r="AQ11" s="40">
        <f t="shared" si="20"/>
        <v>0.422734375</v>
      </c>
      <c r="AR11" s="8">
        <f>AR$2*(Underlying*EXP(-DividendYield*TimeToExpiration)*_xlfn.NORM.DIST(AR$2*(LN(Underlying/$H11)+(RiskFreeRate-DividendYield+0.5*AQ11^2)*TimeToExpiration)/(AQ11*TimeToExpiration^0.5), 0, 1, TRUE) - 
       $H11*EXP(-RiskFreeRate*TimeToExpiration)*_xlfn.NORM.DIST(AR$2*(LN(Underlying/$H11)+(RiskFreeRate-DividendYield-0.5*AQ11^2)*TimeToExpiration)/(AQ11*TimeToExpiration^0.5), 0, 1, TRUE)
)</f>
        <v>30.05910047</v>
      </c>
      <c r="AS11" s="40">
        <f t="shared" si="21"/>
        <v>0.422734375</v>
      </c>
      <c r="AT11" s="40">
        <f t="shared" si="22"/>
        <v>0.46959375</v>
      </c>
      <c r="AU11" s="7">
        <f>AU$2*(Underlying*EXP(-DividendYield*TimeToExpiration)*_xlfn.NORM.DIST(AU$2*(LN(Underlying/$H11)+(RiskFreeRate-DividendYield+0.5*AS11^2)*TimeToExpiration)/(AS11*TimeToExpiration^0.5), 0, 1, TRUE) - 
       $H11*EXP(-RiskFreeRate*TimeToExpiration)*_xlfn.NORM.DIST(AU$2*(LN(Underlying/$H11)+(RiskFreeRate-DividendYield-0.5*AS11^2)*TimeToExpiration)/(AS11*TimeToExpiration^0.5), 0, 1, TRUE)
)</f>
        <v>30.05910047</v>
      </c>
      <c r="AV11" s="7">
        <f>AV$2*(Underlying*EXP(-DividendYield*TimeToExpiration)*_xlfn.NORM.DIST(AV$2*(LN(Underlying/$H11)+(RiskFreeRate-DividendYield+0.5*AT11^2)*TimeToExpiration)/(AT11*TimeToExpiration^0.5), 0, 1, TRUE) - 
       $H11*EXP(-RiskFreeRate*TimeToExpiration)*_xlfn.NORM.DIST(AV$2*(LN(Underlying/$H11)+(RiskFreeRate-DividendYield-0.5*AT11^2)*TimeToExpiration)/(AT11*TimeToExpiration^0.5), 0, 1, TRUE)
)</f>
        <v>30.36128625</v>
      </c>
      <c r="AW11" s="40">
        <f t="shared" si="23"/>
        <v>0.4461640625</v>
      </c>
      <c r="AX11" s="8">
        <f>AX$2*(Underlying*EXP(-DividendYield*TimeToExpiration)*_xlfn.NORM.DIST(AX$2*(LN(Underlying/$H11)+(RiskFreeRate-DividendYield+0.5*AW11^2)*TimeToExpiration)/(AW11*TimeToExpiration^0.5), 0, 1, TRUE) - 
       $H11*EXP(-RiskFreeRate*TimeToExpiration)*_xlfn.NORM.DIST(AX$2*(LN(Underlying/$H11)+(RiskFreeRate-DividendYield-0.5*AW11^2)*TimeToExpiration)/(AW11*TimeToExpiration^0.5), 0, 1, TRUE)
)</f>
        <v>30.20193527</v>
      </c>
      <c r="AY11" s="40">
        <f t="shared" si="24"/>
        <v>0.422734375</v>
      </c>
      <c r="AZ11" s="40">
        <f t="shared" si="25"/>
        <v>0.4461640625</v>
      </c>
      <c r="BA11" s="7">
        <f>BA$2*(Underlying*EXP(-DividendYield*TimeToExpiration)*_xlfn.NORM.DIST(BA$2*(LN(Underlying/$H11)+(RiskFreeRate-DividendYield+0.5*AY11^2)*TimeToExpiration)/(AY11*TimeToExpiration^0.5), 0, 1, TRUE) - 
       $H11*EXP(-RiskFreeRate*TimeToExpiration)*_xlfn.NORM.DIST(BA$2*(LN(Underlying/$H11)+(RiskFreeRate-DividendYield-0.5*AY11^2)*TimeToExpiration)/(AY11*TimeToExpiration^0.5), 0, 1, TRUE)
)</f>
        <v>30.05910047</v>
      </c>
      <c r="BB11" s="7">
        <f>BB$2*(Underlying*EXP(-DividendYield*TimeToExpiration)*_xlfn.NORM.DIST(BB$2*(LN(Underlying/$H11)+(RiskFreeRate-DividendYield+0.5*AZ11^2)*TimeToExpiration)/(AZ11*TimeToExpiration^0.5), 0, 1, TRUE) - 
       $H11*EXP(-RiskFreeRate*TimeToExpiration)*_xlfn.NORM.DIST(BB$2*(LN(Underlying/$H11)+(RiskFreeRate-DividendYield-0.5*AZ11^2)*TimeToExpiration)/(AZ11*TimeToExpiration^0.5), 0, 1, TRUE)
)</f>
        <v>30.20193527</v>
      </c>
      <c r="BC11" s="40">
        <f t="shared" si="26"/>
        <v>0.4344492188</v>
      </c>
      <c r="BD11" s="8">
        <f>BD$2*(Underlying*EXP(-DividendYield*TimeToExpiration)*_xlfn.NORM.DIST(BD$2*(LN(Underlying/$H11)+(RiskFreeRate-DividendYield+0.5*BC11^2)*TimeToExpiration)/(BC11*TimeToExpiration^0.5), 0, 1, TRUE) - 
       $H11*EXP(-RiskFreeRate*TimeToExpiration)*_xlfn.NORM.DIST(BD$2*(LN(Underlying/$H11)+(RiskFreeRate-DividendYield-0.5*BC11^2)*TimeToExpiration)/(BC11*TimeToExpiration^0.5), 0, 1, TRUE)
)</f>
        <v>30.12840451</v>
      </c>
      <c r="BE11" s="40">
        <f t="shared" si="27"/>
        <v>0.4344492188</v>
      </c>
      <c r="BF11" s="40">
        <f t="shared" si="28"/>
        <v>0.4461640625</v>
      </c>
      <c r="BG11" s="7">
        <f>BG$2*(Underlying*EXP(-DividendYield*TimeToExpiration)*_xlfn.NORM.DIST(BG$2*(LN(Underlying/$H11)+(RiskFreeRate-DividendYield+0.5*BE11^2)*TimeToExpiration)/(BE11*TimeToExpiration^0.5), 0, 1, TRUE) - 
       $H11*EXP(-RiskFreeRate*TimeToExpiration)*_xlfn.NORM.DIST(BG$2*(LN(Underlying/$H11)+(RiskFreeRate-DividendYield-0.5*BE11^2)*TimeToExpiration)/(BE11*TimeToExpiration^0.5), 0, 1, TRUE)
)</f>
        <v>30.12840451</v>
      </c>
      <c r="BH11" s="7">
        <f>BH$2*(Underlying*EXP(-DividendYield*TimeToExpiration)*_xlfn.NORM.DIST(BH$2*(LN(Underlying/$H11)+(RiskFreeRate-DividendYield+0.5*BF11^2)*TimeToExpiration)/(BF11*TimeToExpiration^0.5), 0, 1, TRUE) - 
       $H11*EXP(-RiskFreeRate*TimeToExpiration)*_xlfn.NORM.DIST(BH$2*(LN(Underlying/$H11)+(RiskFreeRate-DividendYield-0.5*BF11^2)*TimeToExpiration)/(BF11*TimeToExpiration^0.5), 0, 1, TRUE)
)</f>
        <v>30.20193527</v>
      </c>
      <c r="BI11" s="40">
        <f t="shared" si="29"/>
        <v>0.4403066406</v>
      </c>
      <c r="BJ11" s="8">
        <f>BJ$2*(Underlying*EXP(-DividendYield*TimeToExpiration)*_xlfn.NORM.DIST(BJ$2*(LN(Underlying/$H11)+(RiskFreeRate-DividendYield+0.5*BI11^2)*TimeToExpiration)/(BI11*TimeToExpiration^0.5), 0, 1, TRUE) - 
       $H11*EXP(-RiskFreeRate*TimeToExpiration)*_xlfn.NORM.DIST(BJ$2*(LN(Underlying/$H11)+(RiskFreeRate-DividendYield-0.5*BI11^2)*TimeToExpiration)/(BI11*TimeToExpiration^0.5), 0, 1, TRUE)
)</f>
        <v>30.16464736</v>
      </c>
      <c r="BK11" s="40">
        <f t="shared" si="30"/>
        <v>0.4403066406</v>
      </c>
      <c r="BL11" s="40">
        <f t="shared" si="31"/>
        <v>0.4461640625</v>
      </c>
      <c r="BM11" s="7">
        <f>BM$2*(Underlying*EXP(-DividendYield*TimeToExpiration)*_xlfn.NORM.DIST(BM$2*(LN(Underlying/$H11)+(RiskFreeRate-DividendYield+0.5*BK11^2)*TimeToExpiration)/(BK11*TimeToExpiration^0.5), 0, 1, TRUE) - 
       $H11*EXP(-RiskFreeRate*TimeToExpiration)*_xlfn.NORM.DIST(BM$2*(LN(Underlying/$H11)+(RiskFreeRate-DividendYield-0.5*BK11^2)*TimeToExpiration)/(BK11*TimeToExpiration^0.5), 0, 1, TRUE)
)</f>
        <v>30.16464736</v>
      </c>
      <c r="BN11" s="7">
        <f>BN$2*(Underlying*EXP(-DividendYield*TimeToExpiration)*_xlfn.NORM.DIST(BN$2*(LN(Underlying/$H11)+(RiskFreeRate-DividendYield+0.5*BL11^2)*TimeToExpiration)/(BL11*TimeToExpiration^0.5), 0, 1, TRUE) - 
       $H11*EXP(-RiskFreeRate*TimeToExpiration)*_xlfn.NORM.DIST(BN$2*(LN(Underlying/$H11)+(RiskFreeRate-DividendYield-0.5*BL11^2)*TimeToExpiration)/(BL11*TimeToExpiration^0.5), 0, 1, TRUE)
)</f>
        <v>30.20193527</v>
      </c>
      <c r="BO11" s="40">
        <f t="shared" si="32"/>
        <v>0.4432353516</v>
      </c>
      <c r="BP11" s="8">
        <f>BP$2*(Underlying*EXP(-DividendYield*TimeToExpiration)*_xlfn.NORM.DIST(BP$2*(LN(Underlying/$H11)+(RiskFreeRate-DividendYield+0.5*BO11^2)*TimeToExpiration)/(BO11*TimeToExpiration^0.5), 0, 1, TRUE) - 
       $H11*EXP(-RiskFreeRate*TimeToExpiration)*_xlfn.NORM.DIST(BP$2*(LN(Underlying/$H11)+(RiskFreeRate-DividendYield-0.5*BO11^2)*TimeToExpiration)/(BO11*TimeToExpiration^0.5), 0, 1, TRUE)
)</f>
        <v>30.18316144</v>
      </c>
      <c r="BQ11" s="40">
        <f t="shared" si="33"/>
        <v>0.4403066406</v>
      </c>
      <c r="BR11" s="40">
        <f t="shared" si="34"/>
        <v>0.4432353516</v>
      </c>
      <c r="BS11" s="7">
        <f>BS$2*(Underlying*EXP(-DividendYield*TimeToExpiration)*_xlfn.NORM.DIST(BS$2*(LN(Underlying/$H11)+(RiskFreeRate-DividendYield+0.5*BQ11^2)*TimeToExpiration)/(BQ11*TimeToExpiration^0.5), 0, 1, TRUE) - 
       $H11*EXP(-RiskFreeRate*TimeToExpiration)*_xlfn.NORM.DIST(BS$2*(LN(Underlying/$H11)+(RiskFreeRate-DividendYield-0.5*BQ11^2)*TimeToExpiration)/(BQ11*TimeToExpiration^0.5), 0, 1, TRUE)
)</f>
        <v>30.16464736</v>
      </c>
      <c r="BT11" s="7">
        <f>BT$2*(Underlying*EXP(-DividendYield*TimeToExpiration)*_xlfn.NORM.DIST(BT$2*(LN(Underlying/$H11)+(RiskFreeRate-DividendYield+0.5*BR11^2)*TimeToExpiration)/(BR11*TimeToExpiration^0.5), 0, 1, TRUE) - 
       $H11*EXP(-RiskFreeRate*TimeToExpiration)*_xlfn.NORM.DIST(BT$2*(LN(Underlying/$H11)+(RiskFreeRate-DividendYield-0.5*BR11^2)*TimeToExpiration)/(BR11*TimeToExpiration^0.5), 0, 1, TRUE)
)</f>
        <v>30.18316144</v>
      </c>
      <c r="BU11" s="40">
        <f t="shared" si="35"/>
        <v>0.4417709961</v>
      </c>
      <c r="BV11" s="8">
        <f>BV$2*(Underlying*EXP(-DividendYield*TimeToExpiration)*_xlfn.NORM.DIST(BV$2*(LN(Underlying/$H11)+(RiskFreeRate-DividendYield+0.5*BU11^2)*TimeToExpiration)/(BU11*TimeToExpiration^0.5), 0, 1, TRUE) - 
       $H11*EXP(-RiskFreeRate*TimeToExpiration)*_xlfn.NORM.DIST(BV$2*(LN(Underlying/$H11)+(RiskFreeRate-DividendYield-0.5*BU11^2)*TimeToExpiration)/(BU11*TimeToExpiration^0.5), 0, 1, TRUE)
)</f>
        <v>30.17387184</v>
      </c>
      <c r="BW11" s="40">
        <f t="shared" si="36"/>
        <v>0.4417709961</v>
      </c>
      <c r="BX11" s="40">
        <f t="shared" si="37"/>
        <v>0.4432353516</v>
      </c>
      <c r="BY11" s="7">
        <f>BY$2*(Underlying*EXP(-DividendYield*TimeToExpiration)*_xlfn.NORM.DIST(BY$2*(LN(Underlying/$H11)+(RiskFreeRate-DividendYield+0.5*BW11^2)*TimeToExpiration)/(BW11*TimeToExpiration^0.5), 0, 1, TRUE) - 
       $H11*EXP(-RiskFreeRate*TimeToExpiration)*_xlfn.NORM.DIST(BY$2*(LN(Underlying/$H11)+(RiskFreeRate-DividendYield-0.5*BW11^2)*TimeToExpiration)/(BW11*TimeToExpiration^0.5), 0, 1, TRUE)
)</f>
        <v>30.17387184</v>
      </c>
      <c r="BZ11" s="7">
        <f>BZ$2*(Underlying*EXP(-DividendYield*TimeToExpiration)*_xlfn.NORM.DIST(BZ$2*(LN(Underlying/$H11)+(RiskFreeRate-DividendYield+0.5*BX11^2)*TimeToExpiration)/(BX11*TimeToExpiration^0.5), 0, 1, TRUE) - 
       $H11*EXP(-RiskFreeRate*TimeToExpiration)*_xlfn.NORM.DIST(BZ$2*(LN(Underlying/$H11)+(RiskFreeRate-DividendYield-0.5*BX11^2)*TimeToExpiration)/(BX11*TimeToExpiration^0.5), 0, 1, TRUE)
)</f>
        <v>30.18316144</v>
      </c>
      <c r="CA11" s="40">
        <f t="shared" si="38"/>
        <v>0.4425031738</v>
      </c>
      <c r="CB11" s="8">
        <f>CB$2*(Underlying*EXP(-DividendYield*TimeToExpiration)*_xlfn.NORM.DIST(CB$2*(LN(Underlying/$H11)+(RiskFreeRate-DividendYield+0.5*CA11^2)*TimeToExpiration)/(CA11*TimeToExpiration^0.5), 0, 1, TRUE) - 
       $H11*EXP(-RiskFreeRate*TimeToExpiration)*_xlfn.NORM.DIST(CB$2*(LN(Underlying/$H11)+(RiskFreeRate-DividendYield-0.5*CA11^2)*TimeToExpiration)/(CA11*TimeToExpiration^0.5), 0, 1, TRUE)
)</f>
        <v>30.17850851</v>
      </c>
      <c r="CC11" s="40">
        <f t="shared" si="39"/>
        <v>0.4417709961</v>
      </c>
      <c r="CD11" s="40">
        <f t="shared" si="40"/>
        <v>0.4425031738</v>
      </c>
      <c r="CE11" s="7">
        <f>CE$2*(Underlying*EXP(-DividendYield*TimeToExpiration)*_xlfn.NORM.DIST(CE$2*(LN(Underlying/$H11)+(RiskFreeRate-DividendYield+0.5*CC11^2)*TimeToExpiration)/(CC11*TimeToExpiration^0.5), 0, 1, TRUE) - 
       $H11*EXP(-RiskFreeRate*TimeToExpiration)*_xlfn.NORM.DIST(CE$2*(LN(Underlying/$H11)+(RiskFreeRate-DividendYield-0.5*CC11^2)*TimeToExpiration)/(CC11*TimeToExpiration^0.5), 0, 1, TRUE)
)</f>
        <v>30.17387184</v>
      </c>
      <c r="CF11" s="7">
        <f>CF$2*(Underlying*EXP(-DividendYield*TimeToExpiration)*_xlfn.NORM.DIST(CF$2*(LN(Underlying/$H11)+(RiskFreeRate-DividendYield+0.5*CD11^2)*TimeToExpiration)/(CD11*TimeToExpiration^0.5), 0, 1, TRUE) - 
       $H11*EXP(-RiskFreeRate*TimeToExpiration)*_xlfn.NORM.DIST(CF$2*(LN(Underlying/$H11)+(RiskFreeRate-DividendYield-0.5*CD11^2)*TimeToExpiration)/(CD11*TimeToExpiration^0.5), 0, 1, TRUE)
)</f>
        <v>30.17850851</v>
      </c>
      <c r="CG11" s="40">
        <f t="shared" si="41"/>
        <v>0.442137085</v>
      </c>
      <c r="CH11" s="8">
        <f>CH$2*(Underlying*EXP(-DividendYield*TimeToExpiration)*_xlfn.NORM.DIST(CH$2*(LN(Underlying/$H11)+(RiskFreeRate-DividendYield+0.5*CG11^2)*TimeToExpiration)/(CG11*TimeToExpiration^0.5), 0, 1, TRUE) - 
       $H11*EXP(-RiskFreeRate*TimeToExpiration)*_xlfn.NORM.DIST(CH$2*(LN(Underlying/$H11)+(RiskFreeRate-DividendYield-0.5*CG11^2)*TimeToExpiration)/(CG11*TimeToExpiration^0.5), 0, 1, TRUE)
)</f>
        <v>30.17618814</v>
      </c>
      <c r="CI11" s="40">
        <f t="shared" si="42"/>
        <v>0.4417709961</v>
      </c>
      <c r="CJ11" s="40">
        <f t="shared" si="43"/>
        <v>0.442137085</v>
      </c>
      <c r="CK11" s="7">
        <f>CK$2*(Underlying*EXP(-DividendYield*TimeToExpiration)*_xlfn.NORM.DIST(CK$2*(LN(Underlying/$H11)+(RiskFreeRate-DividendYield+0.5*CI11^2)*TimeToExpiration)/(CI11*TimeToExpiration^0.5), 0, 1, TRUE) - 
       $H11*EXP(-RiskFreeRate*TimeToExpiration)*_xlfn.NORM.DIST(CK$2*(LN(Underlying/$H11)+(RiskFreeRate-DividendYield-0.5*CI11^2)*TimeToExpiration)/(CI11*TimeToExpiration^0.5), 0, 1, TRUE)
)</f>
        <v>30.17387184</v>
      </c>
      <c r="CL11" s="7">
        <f>CL$2*(Underlying*EXP(-DividendYield*TimeToExpiration)*_xlfn.NORM.DIST(CL$2*(LN(Underlying/$H11)+(RiskFreeRate-DividendYield+0.5*CJ11^2)*TimeToExpiration)/(CJ11*TimeToExpiration^0.5), 0, 1, TRUE) - 
       $H11*EXP(-RiskFreeRate*TimeToExpiration)*_xlfn.NORM.DIST(CL$2*(LN(Underlying/$H11)+(RiskFreeRate-DividendYield-0.5*CJ11^2)*TimeToExpiration)/(CJ11*TimeToExpiration^0.5), 0, 1, TRUE)
)</f>
        <v>30.17618814</v>
      </c>
      <c r="CM11" s="40">
        <f t="shared" si="44"/>
        <v>0.4419540405</v>
      </c>
      <c r="CN11" s="8">
        <f>CN$2*(Underlying*EXP(-DividendYield*TimeToExpiration)*_xlfn.NORM.DIST(CN$2*(LN(Underlying/$H11)+(RiskFreeRate-DividendYield+0.5*CM11^2)*TimeToExpiration)/(CM11*TimeToExpiration^0.5), 0, 1, TRUE) - 
       $H11*EXP(-RiskFreeRate*TimeToExpiration)*_xlfn.NORM.DIST(CN$2*(LN(Underlying/$H11)+(RiskFreeRate-DividendYield-0.5*CM11^2)*TimeToExpiration)/(CM11*TimeToExpiration^0.5), 0, 1, TRUE)
)</f>
        <v>30.17502948</v>
      </c>
      <c r="CO11" s="40">
        <f t="shared" si="45"/>
        <v>0.4417709961</v>
      </c>
      <c r="CP11" s="40">
        <f t="shared" si="46"/>
        <v>0.4419540405</v>
      </c>
      <c r="CQ11" s="7">
        <f>CQ$2*(Underlying*EXP(-DividendYield*TimeToExpiration)*_xlfn.NORM.DIST(CQ$2*(LN(Underlying/$H11)+(RiskFreeRate-DividendYield+0.5*CO11^2)*TimeToExpiration)/(CO11*TimeToExpiration^0.5), 0, 1, TRUE) - 
       $H11*EXP(-RiskFreeRate*TimeToExpiration)*_xlfn.NORM.DIST(CQ$2*(LN(Underlying/$H11)+(RiskFreeRate-DividendYield-0.5*CO11^2)*TimeToExpiration)/(CO11*TimeToExpiration^0.5), 0, 1, TRUE)
)</f>
        <v>30.17387184</v>
      </c>
      <c r="CR11" s="7">
        <f>CR$2*(Underlying*EXP(-DividendYield*TimeToExpiration)*_xlfn.NORM.DIST(CR$2*(LN(Underlying/$H11)+(RiskFreeRate-DividendYield+0.5*CP11^2)*TimeToExpiration)/(CP11*TimeToExpiration^0.5), 0, 1, TRUE) - 
       $H11*EXP(-RiskFreeRate*TimeToExpiration)*_xlfn.NORM.DIST(CR$2*(LN(Underlying/$H11)+(RiskFreeRate-DividendYield-0.5*CP11^2)*TimeToExpiration)/(CP11*TimeToExpiration^0.5), 0, 1, TRUE)
)</f>
        <v>30.17502948</v>
      </c>
      <c r="CS11" s="40">
        <f t="shared" si="47"/>
        <v>0.4418625183</v>
      </c>
      <c r="CT11" s="8">
        <f>CT$2*(Underlying*EXP(-DividendYield*TimeToExpiration)*_xlfn.NORM.DIST(CT$2*(LN(Underlying/$H11)+(RiskFreeRate-DividendYield+0.5*CS11^2)*TimeToExpiration)/(CS11*TimeToExpiration^0.5), 0, 1, TRUE) - 
       $H11*EXP(-RiskFreeRate*TimeToExpiration)*_xlfn.NORM.DIST(CT$2*(LN(Underlying/$H11)+(RiskFreeRate-DividendYield-0.5*CS11^2)*TimeToExpiration)/(CS11*TimeToExpiration^0.5), 0, 1, TRUE)
)</f>
        <v>30.17445053</v>
      </c>
      <c r="CU11" s="40">
        <f t="shared" si="48"/>
        <v>0.4418625183</v>
      </c>
      <c r="CV11" s="40">
        <f t="shared" si="49"/>
        <v>0.4419540405</v>
      </c>
      <c r="CW11" s="7">
        <f>CW$2*(Underlying*EXP(-DividendYield*TimeToExpiration)*_xlfn.NORM.DIST(CW$2*(LN(Underlying/$H11)+(RiskFreeRate-DividendYield+0.5*CU11^2)*TimeToExpiration)/(CU11*TimeToExpiration^0.5), 0, 1, TRUE) - 
       $H11*EXP(-RiskFreeRate*TimeToExpiration)*_xlfn.NORM.DIST(CW$2*(LN(Underlying/$H11)+(RiskFreeRate-DividendYield-0.5*CU11^2)*TimeToExpiration)/(CU11*TimeToExpiration^0.5), 0, 1, TRUE)
)</f>
        <v>30.17445053</v>
      </c>
      <c r="CX11" s="7">
        <f>CX$2*(Underlying*EXP(-DividendYield*TimeToExpiration)*_xlfn.NORM.DIST(CX$2*(LN(Underlying/$H11)+(RiskFreeRate-DividendYield+0.5*CV11^2)*TimeToExpiration)/(CV11*TimeToExpiration^0.5), 0, 1, TRUE) - 
       $H11*EXP(-RiskFreeRate*TimeToExpiration)*_xlfn.NORM.DIST(CX$2*(LN(Underlying/$H11)+(RiskFreeRate-DividendYield-0.5*CV11^2)*TimeToExpiration)/(CV11*TimeToExpiration^0.5), 0, 1, TRUE)
)</f>
        <v>30.17502948</v>
      </c>
      <c r="CY11" s="40">
        <f t="shared" si="50"/>
        <v>0.4419082794</v>
      </c>
      <c r="CZ11" s="8">
        <f>CZ$2*(Underlying*EXP(-DividendYield*TimeToExpiration)*_xlfn.NORM.DIST(CZ$2*(LN(Underlying/$H11)+(RiskFreeRate-DividendYield+0.5*CY11^2)*TimeToExpiration)/(CY11*TimeToExpiration^0.5), 0, 1, TRUE) - 
       $H11*EXP(-RiskFreeRate*TimeToExpiration)*_xlfn.NORM.DIST(CZ$2*(LN(Underlying/$H11)+(RiskFreeRate-DividendYield-0.5*CY11^2)*TimeToExpiration)/(CY11*TimeToExpiration^0.5), 0, 1, TRUE)
)</f>
        <v>30.17473997</v>
      </c>
      <c r="DA11" s="40">
        <f t="shared" si="51"/>
        <v>0.4419082794</v>
      </c>
      <c r="DB11" s="40">
        <f t="shared" si="52"/>
        <v>0.4419540405</v>
      </c>
      <c r="DC11" s="7">
        <f>DC$2*(Underlying*EXP(-DividendYield*TimeToExpiration)*_xlfn.NORM.DIST(DC$2*(LN(Underlying/$H11)+(RiskFreeRate-DividendYield+0.5*DA11^2)*TimeToExpiration)/(DA11*TimeToExpiration^0.5), 0, 1, TRUE) - 
       $H11*EXP(-RiskFreeRate*TimeToExpiration)*_xlfn.NORM.DIST(DC$2*(LN(Underlying/$H11)+(RiskFreeRate-DividendYield-0.5*DA11^2)*TimeToExpiration)/(DA11*TimeToExpiration^0.5), 0, 1, TRUE)
)</f>
        <v>30.17473997</v>
      </c>
      <c r="DD11" s="7">
        <f>DD$2*(Underlying*EXP(-DividendYield*TimeToExpiration)*_xlfn.NORM.DIST(DD$2*(LN(Underlying/$H11)+(RiskFreeRate-DividendYield+0.5*DB11^2)*TimeToExpiration)/(DB11*TimeToExpiration^0.5), 0, 1, TRUE) - 
       $H11*EXP(-RiskFreeRate*TimeToExpiration)*_xlfn.NORM.DIST(DD$2*(LN(Underlying/$H11)+(RiskFreeRate-DividendYield-0.5*DB11^2)*TimeToExpiration)/(DB11*TimeToExpiration^0.5), 0, 1, TRUE)
)</f>
        <v>30.17502948</v>
      </c>
      <c r="DE11" s="40">
        <f t="shared" si="53"/>
        <v>0.44193116</v>
      </c>
      <c r="DF11" s="8">
        <f>DF$2*(Underlying*EXP(-DividendYield*TimeToExpiration)*_xlfn.NORM.DIST(DF$2*(LN(Underlying/$H11)+(RiskFreeRate-DividendYield+0.5*DE11^2)*TimeToExpiration)/(DE11*TimeToExpiration^0.5), 0, 1, TRUE) - 
       $H11*EXP(-RiskFreeRate*TimeToExpiration)*_xlfn.NORM.DIST(DF$2*(LN(Underlying/$H11)+(RiskFreeRate-DividendYield-0.5*DE11^2)*TimeToExpiration)/(DE11*TimeToExpiration^0.5), 0, 1, TRUE)
)</f>
        <v>30.17488472</v>
      </c>
    </row>
    <row r="12">
      <c r="A12" s="20">
        <f>'Option Mkt Data'!A12</f>
        <v>312.5</v>
      </c>
      <c r="B12" s="35">
        <f t="shared" ref="B12:C12" si="59">DE12</f>
        <v>0.3994648514</v>
      </c>
      <c r="C12" s="7">
        <f t="shared" si="59"/>
        <v>27.59987588</v>
      </c>
      <c r="D12" s="7">
        <f t="shared" si="3"/>
        <v>0.0001149592594</v>
      </c>
      <c r="E12" s="9">
        <f t="shared" si="4"/>
        <v>0.000004165191941</v>
      </c>
      <c r="F12" s="36">
        <f>D12/'Option Mkt Data'!L12</f>
        <v>0.0001149592594</v>
      </c>
      <c r="G12" s="5">
        <f>'Option Mkt Data'!J12</f>
        <v>27.59999084</v>
      </c>
      <c r="H12" s="33">
        <f>'Option Mkt Data'!A12</f>
        <v>312.5</v>
      </c>
      <c r="I12" s="37">
        <f>MinSolverVola</f>
        <v>0.001</v>
      </c>
      <c r="J12" s="38">
        <f>MaxSolverVola</f>
        <v>3</v>
      </c>
      <c r="K12" s="39">
        <f>K$2*(Underlying*EXP(-DividendYield*TimeToExpiration)*_xlfn.NORM.DIST(K$2*(LN(Underlying/$H12)+(RiskFreeRate-DividendYield+0.5*I12^2)*TimeToExpiration)/(I12*TimeToExpiration^0.5), 0, 1, TRUE) - 
       $H12*EXP(-RiskFreeRate*TimeToExpiration)*_xlfn.NORM.DIST(K$2*(LN(Underlying/$H12)+(RiskFreeRate-DividendYield-0.5*I12^2)*TimeToExpiration)/(I12*TimeToExpiration^0.5), 0, 1, TRUE)
)</f>
        <v>27.02247984</v>
      </c>
      <c r="L12" s="7">
        <f>L$2*(Underlying*EXP(-DividendYield*TimeToExpiration)*_xlfn.NORM.DIST(L$2*(LN(Underlying/$H12)+(RiskFreeRate-DividendYield+0.5*J12^2)*TimeToExpiration)/(J12*TimeToExpiration^0.5), 0, 1, TRUE) - 
       $H12*EXP(-RiskFreeRate*TimeToExpiration)*_xlfn.NORM.DIST(L$2*(LN(Underlying/$H12)+(RiskFreeRate-DividendYield-0.5*J12^2)*TimeToExpiration)/(J12*TimeToExpiration^0.5), 0, 1, TRUE)
)</f>
        <v>69.2591713</v>
      </c>
      <c r="M12" s="40">
        <f t="shared" si="5"/>
        <v>1.5005</v>
      </c>
      <c r="N12" s="8">
        <f>N$2*(Underlying*EXP(-DividendYield*TimeToExpiration)*_xlfn.NORM.DIST(N$2*(LN(Underlying/$H12)+(RiskFreeRate-DividendYield+0.5*M12^2)*TimeToExpiration)/(M12*TimeToExpiration^0.5), 0, 1, TRUE) - 
       $H12*EXP(-RiskFreeRate*TimeToExpiration)*_xlfn.NORM.DIST(N$2*(LN(Underlying/$H12)+(RiskFreeRate-DividendYield-0.5*M12^2)*TimeToExpiration)/(M12*TimeToExpiration^0.5), 0, 1, TRUE)
)</f>
        <v>43.10428708</v>
      </c>
      <c r="O12" s="41">
        <f t="shared" si="6"/>
        <v>0.001</v>
      </c>
      <c r="P12" s="40">
        <f t="shared" si="7"/>
        <v>1.5005</v>
      </c>
      <c r="Q12" s="7">
        <f>Q$2*(Underlying*EXP(-DividendYield*TimeToExpiration)*_xlfn.NORM.DIST(Q$2*(LN(Underlying/$H12)+(RiskFreeRate-DividendYield+0.5*O12^2)*TimeToExpiration)/(O12*TimeToExpiration^0.5), 0, 1, TRUE) - 
       $H12*EXP(-RiskFreeRate*TimeToExpiration)*_xlfn.NORM.DIST(Q$2*(LN(Underlying/$H12)+(RiskFreeRate-DividendYield-0.5*O12^2)*TimeToExpiration)/(O12*TimeToExpiration^0.5), 0, 1, TRUE))</f>
        <v>27.02247984</v>
      </c>
      <c r="R12" s="7">
        <f>R$2*(Underlying*EXP(-DividendYield*TimeToExpiration)*_xlfn.NORM.DIST(R$2*(LN(Underlying/$H12)+(RiskFreeRate-DividendYield+0.5*P12^2)*TimeToExpiration)/(P12*TimeToExpiration^0.5), 0, 1, TRUE) - 
       $H12*EXP(-RiskFreeRate*TimeToExpiration)*_xlfn.NORM.DIST(R$2*(LN(Underlying/$H12)+(RiskFreeRate-DividendYield-0.5*P12^2)*TimeToExpiration)/(P12*TimeToExpiration^0.5), 0, 1, TRUE)
)</f>
        <v>43.10428708</v>
      </c>
      <c r="S12" s="40">
        <f t="shared" si="8"/>
        <v>0.75075</v>
      </c>
      <c r="T12" s="8">
        <f>T$2*(Underlying*EXP(-DividendYield*TimeToExpiration)*_xlfn.NORM.DIST(T$2*(LN(Underlying/$H12)+(RiskFreeRate-DividendYield+0.5*S12^2)*TimeToExpiration)/(S12*TimeToExpiration^0.5), 0, 1, TRUE) - 
       $H12*EXP(-RiskFreeRate*TimeToExpiration)*_xlfn.NORM.DIST(T$2*(LN(Underlying/$H12)+(RiskFreeRate-DividendYield-0.5*S12^2)*TimeToExpiration)/(S12*TimeToExpiration^0.5), 0, 1, TRUE)
)</f>
        <v>31.3070804</v>
      </c>
      <c r="U12" s="41">
        <f t="shared" si="9"/>
        <v>0.001</v>
      </c>
      <c r="V12" s="40">
        <f t="shared" si="10"/>
        <v>0.75075</v>
      </c>
      <c r="W12" s="7">
        <f>W$2*(Underlying*EXP(-DividendYield*TimeToExpiration)*_xlfn.NORM.DIST(W$2*(LN(Underlying/$H12)+(RiskFreeRate-DividendYield+0.5*U12^2)*TimeToExpiration)/(U12*TimeToExpiration^0.5), 0, 1, TRUE) - 
       $H12*EXP(-RiskFreeRate*TimeToExpiration)*_xlfn.NORM.DIST(W$2*(LN(Underlying/$H12)+(RiskFreeRate-DividendYield-0.5*U12^2)*TimeToExpiration)/(U12*TimeToExpiration^0.5), 0, 1, TRUE)
)</f>
        <v>27.02247984</v>
      </c>
      <c r="X12" s="7">
        <f>X$2*(Underlying*EXP(-DividendYield*TimeToExpiration)*_xlfn.NORM.DIST(X$2*(LN(Underlying/$H12)+(RiskFreeRate-DividendYield+0.5*V12^2)*TimeToExpiration)/(V12*TimeToExpiration^0.5), 0, 1, TRUE) - 
       $H12*EXP(-RiskFreeRate*TimeToExpiration)*_xlfn.NORM.DIST(X$2*(LN(Underlying/$H12)+(RiskFreeRate-DividendYield-0.5*V12^2)*TimeToExpiration)/(V12*TimeToExpiration^0.5), 0, 1, TRUE)
)</f>
        <v>31.3070804</v>
      </c>
      <c r="Y12" s="40">
        <f t="shared" si="11"/>
        <v>0.375875</v>
      </c>
      <c r="Z12" s="8">
        <f>Z$2*(Underlying*EXP(-DividendYield*TimeToExpiration)*_xlfn.NORM.DIST(Z$2*(LN(Underlying/$H12)+(RiskFreeRate-DividendYield+0.5*Y12^2)*TimeToExpiration)/(Y12*TimeToExpiration^0.5), 0, 1, TRUE) - 
       $H12*EXP(-RiskFreeRate*TimeToExpiration)*_xlfn.NORM.DIST(Z$2*(LN(Underlying/$H12)+(RiskFreeRate-DividendYield-0.5*Y12^2)*TimeToExpiration)/(Y12*TimeToExpiration^0.5), 0, 1, TRUE)
)</f>
        <v>27.46229559</v>
      </c>
      <c r="AA12" s="40">
        <f t="shared" si="12"/>
        <v>0.375875</v>
      </c>
      <c r="AB12" s="40">
        <f t="shared" si="13"/>
        <v>0.75075</v>
      </c>
      <c r="AC12" s="7">
        <f>AC$2*(Underlying*EXP(-DividendYield*TimeToExpiration)*_xlfn.NORM.DIST(AC$2*(LN(Underlying/$H12)+(RiskFreeRate-DividendYield+0.5*AA12^2)*TimeToExpiration)/(AA12*TimeToExpiration^0.5), 0, 1, TRUE) - 
       $H12*EXP(-RiskFreeRate*TimeToExpiration)*_xlfn.NORM.DIST(AC$2*(LN(Underlying/$H12)+(RiskFreeRate-DividendYield-0.5*AA12^2)*TimeToExpiration)/(AA12*TimeToExpiration^0.5), 0, 1, TRUE)
)</f>
        <v>27.46229559</v>
      </c>
      <c r="AD12" s="7">
        <f>AD$2*(Underlying*EXP(-DividendYield*TimeToExpiration)*_xlfn.NORM.DIST(AD$2*(LN(Underlying/$H12)+(RiskFreeRate-DividendYield+0.5*AB12^2)*TimeToExpiration)/(AB12*TimeToExpiration^0.5), 0, 1, TRUE) - 
       $H12*EXP(-RiskFreeRate*TimeToExpiration)*_xlfn.NORM.DIST(AD$2*(LN(Underlying/$H12)+(RiskFreeRate-DividendYield-0.5*AB12^2)*TimeToExpiration)/(AB12*TimeToExpiration^0.5), 0, 1, TRUE)
)</f>
        <v>31.3070804</v>
      </c>
      <c r="AE12" s="40">
        <f t="shared" si="14"/>
        <v>0.5633125</v>
      </c>
      <c r="AF12" s="8">
        <f>AF$2*(Underlying*EXP(-DividendYield*TimeToExpiration)*_xlfn.NORM.DIST(AF$2*(LN(Underlying/$H12)+(RiskFreeRate-DividendYield+0.5*AE12^2)*TimeToExpiration)/(AE12*TimeToExpiration^0.5), 0, 1, TRUE) - 
       $H12*EXP(-RiskFreeRate*TimeToExpiration)*_xlfn.NORM.DIST(AF$2*(LN(Underlying/$H12)+(RiskFreeRate-DividendYield-0.5*AE12^2)*TimeToExpiration)/(AE12*TimeToExpiration^0.5), 0, 1, TRUE)
)</f>
        <v>29.01426982</v>
      </c>
      <c r="AG12" s="40">
        <f t="shared" si="15"/>
        <v>0.375875</v>
      </c>
      <c r="AH12" s="40">
        <f t="shared" si="16"/>
        <v>0.5633125</v>
      </c>
      <c r="AI12" s="7">
        <f>AI$2*(Underlying*EXP(-DividendYield*TimeToExpiration)*_xlfn.NORM.DIST(AI$2*(LN(Underlying/$H12)+(RiskFreeRate-DividendYield+0.5*AG12^2)*TimeToExpiration)/(AG12*TimeToExpiration^0.5), 0, 1, TRUE) - 
       $H12*EXP(-RiskFreeRate*TimeToExpiration)*_xlfn.NORM.DIST(AI$2*(LN(Underlying/$H12)+(RiskFreeRate-DividendYield-0.5*AG12^2)*TimeToExpiration)/(AG12*TimeToExpiration^0.5), 0, 1, TRUE)
)</f>
        <v>27.46229559</v>
      </c>
      <c r="AJ12" s="7">
        <f>AJ$2*(Underlying*EXP(-DividendYield*TimeToExpiration)*_xlfn.NORM.DIST(AJ$2*(LN(Underlying/$H12)+(RiskFreeRate-DividendYield+0.5*AH12^2)*TimeToExpiration)/(AH12*TimeToExpiration^0.5), 0, 1, TRUE) - 
       $H12*EXP(-RiskFreeRate*TimeToExpiration)*_xlfn.NORM.DIST(AJ$2*(LN(Underlying/$H12)+(RiskFreeRate-DividendYield-0.5*AH12^2)*TimeToExpiration)/(AH12*TimeToExpiration^0.5), 0, 1, TRUE)
)</f>
        <v>29.01426982</v>
      </c>
      <c r="AK12" s="40">
        <f t="shared" si="17"/>
        <v>0.46959375</v>
      </c>
      <c r="AL12" s="8">
        <f>AL$2*(Underlying*EXP(-DividendYield*TimeToExpiration)*_xlfn.NORM.DIST(AL$2*(LN(Underlying/$H12)+(RiskFreeRate-DividendYield+0.5*AK12^2)*TimeToExpiration)/(AK12*TimeToExpiration^0.5), 0, 1, TRUE) - 
       $H12*EXP(-RiskFreeRate*TimeToExpiration)*_xlfn.NORM.DIST(AL$2*(LN(Underlying/$H12)+(RiskFreeRate-DividendYield-0.5*AK12^2)*TimeToExpiration)/(AK12*TimeToExpiration^0.5), 0, 1, TRUE)
)</f>
        <v>28.1155348</v>
      </c>
      <c r="AM12" s="40">
        <f t="shared" si="18"/>
        <v>0.375875</v>
      </c>
      <c r="AN12" s="40">
        <f t="shared" si="19"/>
        <v>0.46959375</v>
      </c>
      <c r="AO12" s="7">
        <f>AO$2*(Underlying*EXP(-DividendYield*TimeToExpiration)*_xlfn.NORM.DIST(AO$2*(LN(Underlying/$H12)+(RiskFreeRate-DividendYield+0.5*AM12^2)*TimeToExpiration)/(AM12*TimeToExpiration^0.5), 0, 1, TRUE) - 
       $H12*EXP(-RiskFreeRate*TimeToExpiration)*_xlfn.NORM.DIST(AO$2*(LN(Underlying/$H12)+(RiskFreeRate-DividendYield-0.5*AM12^2)*TimeToExpiration)/(AM12*TimeToExpiration^0.5), 0, 1, TRUE)
)</f>
        <v>27.46229559</v>
      </c>
      <c r="AP12" s="7">
        <f>AP$2*(Underlying*EXP(-DividendYield*TimeToExpiration)*_xlfn.NORM.DIST(AP$2*(LN(Underlying/$H12)+(RiskFreeRate-DividendYield+0.5*AN12^2)*TimeToExpiration)/(AN12*TimeToExpiration^0.5), 0, 1, TRUE) - 
       $H12*EXP(-RiskFreeRate*TimeToExpiration)*_xlfn.NORM.DIST(AP$2*(LN(Underlying/$H12)+(RiskFreeRate-DividendYield-0.5*AN12^2)*TimeToExpiration)/(AN12*TimeToExpiration^0.5), 0, 1, TRUE)
)</f>
        <v>28.1155348</v>
      </c>
      <c r="AQ12" s="40">
        <f t="shared" si="20"/>
        <v>0.422734375</v>
      </c>
      <c r="AR12" s="8">
        <f>AR$2*(Underlying*EXP(-DividendYield*TimeToExpiration)*_xlfn.NORM.DIST(AR$2*(LN(Underlying/$H12)+(RiskFreeRate-DividendYield+0.5*AQ12^2)*TimeToExpiration)/(AQ12*TimeToExpiration^0.5), 0, 1, TRUE) - 
       $H12*EXP(-RiskFreeRate*TimeToExpiration)*_xlfn.NORM.DIST(AR$2*(LN(Underlying/$H12)+(RiskFreeRate-DividendYield-0.5*AQ12^2)*TimeToExpiration)/(AQ12*TimeToExpiration^0.5), 0, 1, TRUE)
)</f>
        <v>27.75394579</v>
      </c>
      <c r="AS12" s="40">
        <f t="shared" si="21"/>
        <v>0.375875</v>
      </c>
      <c r="AT12" s="40">
        <f t="shared" si="22"/>
        <v>0.422734375</v>
      </c>
      <c r="AU12" s="7">
        <f>AU$2*(Underlying*EXP(-DividendYield*TimeToExpiration)*_xlfn.NORM.DIST(AU$2*(LN(Underlying/$H12)+(RiskFreeRate-DividendYield+0.5*AS12^2)*TimeToExpiration)/(AS12*TimeToExpiration^0.5), 0, 1, TRUE) - 
       $H12*EXP(-RiskFreeRate*TimeToExpiration)*_xlfn.NORM.DIST(AU$2*(LN(Underlying/$H12)+(RiskFreeRate-DividendYield-0.5*AS12^2)*TimeToExpiration)/(AS12*TimeToExpiration^0.5), 0, 1, TRUE)
)</f>
        <v>27.46229559</v>
      </c>
      <c r="AV12" s="7">
        <f>AV$2*(Underlying*EXP(-DividendYield*TimeToExpiration)*_xlfn.NORM.DIST(AV$2*(LN(Underlying/$H12)+(RiskFreeRate-DividendYield+0.5*AT12^2)*TimeToExpiration)/(AT12*TimeToExpiration^0.5), 0, 1, TRUE) - 
       $H12*EXP(-RiskFreeRate*TimeToExpiration)*_xlfn.NORM.DIST(AV$2*(LN(Underlying/$H12)+(RiskFreeRate-DividendYield-0.5*AT12^2)*TimeToExpiration)/(AT12*TimeToExpiration^0.5), 0, 1, TRUE)
)</f>
        <v>27.75394579</v>
      </c>
      <c r="AW12" s="40">
        <f t="shared" si="23"/>
        <v>0.3993046875</v>
      </c>
      <c r="AX12" s="8">
        <f>AX$2*(Underlying*EXP(-DividendYield*TimeToExpiration)*_xlfn.NORM.DIST(AX$2*(LN(Underlying/$H12)+(RiskFreeRate-DividendYield+0.5*AW12^2)*TimeToExpiration)/(AW12*TimeToExpiration^0.5), 0, 1, TRUE) - 
       $H12*EXP(-RiskFreeRate*TimeToExpiration)*_xlfn.NORM.DIST(AX$2*(LN(Underlying/$H12)+(RiskFreeRate-DividendYield-0.5*AW12^2)*TimeToExpiration)/(AW12*TimeToExpiration^0.5), 0, 1, TRUE)
)</f>
        <v>27.59887756</v>
      </c>
      <c r="AY12" s="40">
        <f t="shared" si="24"/>
        <v>0.3993046875</v>
      </c>
      <c r="AZ12" s="40">
        <f t="shared" si="25"/>
        <v>0.422734375</v>
      </c>
      <c r="BA12" s="7">
        <f>BA$2*(Underlying*EXP(-DividendYield*TimeToExpiration)*_xlfn.NORM.DIST(BA$2*(LN(Underlying/$H12)+(RiskFreeRate-DividendYield+0.5*AY12^2)*TimeToExpiration)/(AY12*TimeToExpiration^0.5), 0, 1, TRUE) - 
       $H12*EXP(-RiskFreeRate*TimeToExpiration)*_xlfn.NORM.DIST(BA$2*(LN(Underlying/$H12)+(RiskFreeRate-DividendYield-0.5*AY12^2)*TimeToExpiration)/(AY12*TimeToExpiration^0.5), 0, 1, TRUE)
)</f>
        <v>27.59887756</v>
      </c>
      <c r="BB12" s="7">
        <f>BB$2*(Underlying*EXP(-DividendYield*TimeToExpiration)*_xlfn.NORM.DIST(BB$2*(LN(Underlying/$H12)+(RiskFreeRate-DividendYield+0.5*AZ12^2)*TimeToExpiration)/(AZ12*TimeToExpiration^0.5), 0, 1, TRUE) - 
       $H12*EXP(-RiskFreeRate*TimeToExpiration)*_xlfn.NORM.DIST(BB$2*(LN(Underlying/$H12)+(RiskFreeRate-DividendYield-0.5*AZ12^2)*TimeToExpiration)/(AZ12*TimeToExpiration^0.5), 0, 1, TRUE)
)</f>
        <v>27.75394579</v>
      </c>
      <c r="BC12" s="40">
        <f t="shared" si="26"/>
        <v>0.4110195313</v>
      </c>
      <c r="BD12" s="8">
        <f>BD$2*(Underlying*EXP(-DividendYield*TimeToExpiration)*_xlfn.NORM.DIST(BD$2*(LN(Underlying/$H12)+(RiskFreeRate-DividendYield+0.5*BC12^2)*TimeToExpiration)/(BC12*TimeToExpiration^0.5), 0, 1, TRUE) - 
       $H12*EXP(-RiskFreeRate*TimeToExpiration)*_xlfn.NORM.DIST(BD$2*(LN(Underlying/$H12)+(RiskFreeRate-DividendYield-0.5*BC12^2)*TimeToExpiration)/(BC12*TimeToExpiration^0.5), 0, 1, TRUE)
)</f>
        <v>27.67415897</v>
      </c>
      <c r="BE12" s="40">
        <f t="shared" si="27"/>
        <v>0.3993046875</v>
      </c>
      <c r="BF12" s="40">
        <f t="shared" si="28"/>
        <v>0.4110195313</v>
      </c>
      <c r="BG12" s="7">
        <f>BG$2*(Underlying*EXP(-DividendYield*TimeToExpiration)*_xlfn.NORM.DIST(BG$2*(LN(Underlying/$H12)+(RiskFreeRate-DividendYield+0.5*BE12^2)*TimeToExpiration)/(BE12*TimeToExpiration^0.5), 0, 1, TRUE) - 
       $H12*EXP(-RiskFreeRate*TimeToExpiration)*_xlfn.NORM.DIST(BG$2*(LN(Underlying/$H12)+(RiskFreeRate-DividendYield-0.5*BE12^2)*TimeToExpiration)/(BE12*TimeToExpiration^0.5), 0, 1, TRUE)
)</f>
        <v>27.59887756</v>
      </c>
      <c r="BH12" s="7">
        <f>BH$2*(Underlying*EXP(-DividendYield*TimeToExpiration)*_xlfn.NORM.DIST(BH$2*(LN(Underlying/$H12)+(RiskFreeRate-DividendYield+0.5*BF12^2)*TimeToExpiration)/(BF12*TimeToExpiration^0.5), 0, 1, TRUE) - 
       $H12*EXP(-RiskFreeRate*TimeToExpiration)*_xlfn.NORM.DIST(BH$2*(LN(Underlying/$H12)+(RiskFreeRate-DividendYield-0.5*BF12^2)*TimeToExpiration)/(BF12*TimeToExpiration^0.5), 0, 1, TRUE)
)</f>
        <v>27.67415897</v>
      </c>
      <c r="BI12" s="40">
        <f t="shared" si="29"/>
        <v>0.4051621094</v>
      </c>
      <c r="BJ12" s="8">
        <f>BJ$2*(Underlying*EXP(-DividendYield*TimeToExpiration)*_xlfn.NORM.DIST(BJ$2*(LN(Underlying/$H12)+(RiskFreeRate-DividendYield+0.5*BI12^2)*TimeToExpiration)/(BI12*TimeToExpiration^0.5), 0, 1, TRUE) - 
       $H12*EXP(-RiskFreeRate*TimeToExpiration)*_xlfn.NORM.DIST(BJ$2*(LN(Underlying/$H12)+(RiskFreeRate-DividendYield-0.5*BI12^2)*TimeToExpiration)/(BI12*TimeToExpiration^0.5), 0, 1, TRUE)
)</f>
        <v>27.63594743</v>
      </c>
      <c r="BK12" s="40">
        <f t="shared" si="30"/>
        <v>0.3993046875</v>
      </c>
      <c r="BL12" s="40">
        <f t="shared" si="31"/>
        <v>0.4051621094</v>
      </c>
      <c r="BM12" s="7">
        <f>BM$2*(Underlying*EXP(-DividendYield*TimeToExpiration)*_xlfn.NORM.DIST(BM$2*(LN(Underlying/$H12)+(RiskFreeRate-DividendYield+0.5*BK12^2)*TimeToExpiration)/(BK12*TimeToExpiration^0.5), 0, 1, TRUE) - 
       $H12*EXP(-RiskFreeRate*TimeToExpiration)*_xlfn.NORM.DIST(BM$2*(LN(Underlying/$H12)+(RiskFreeRate-DividendYield-0.5*BK12^2)*TimeToExpiration)/(BK12*TimeToExpiration^0.5), 0, 1, TRUE)
)</f>
        <v>27.59887756</v>
      </c>
      <c r="BN12" s="7">
        <f>BN$2*(Underlying*EXP(-DividendYield*TimeToExpiration)*_xlfn.NORM.DIST(BN$2*(LN(Underlying/$H12)+(RiskFreeRate-DividendYield+0.5*BL12^2)*TimeToExpiration)/(BL12*TimeToExpiration^0.5), 0, 1, TRUE) - 
       $H12*EXP(-RiskFreeRate*TimeToExpiration)*_xlfn.NORM.DIST(BN$2*(LN(Underlying/$H12)+(RiskFreeRate-DividendYield-0.5*BL12^2)*TimeToExpiration)/(BL12*TimeToExpiration^0.5), 0, 1, TRUE)
)</f>
        <v>27.63594743</v>
      </c>
      <c r="BO12" s="40">
        <f t="shared" si="32"/>
        <v>0.4022333984</v>
      </c>
      <c r="BP12" s="8">
        <f>BP$2*(Underlying*EXP(-DividendYield*TimeToExpiration)*_xlfn.NORM.DIST(BP$2*(LN(Underlying/$H12)+(RiskFreeRate-DividendYield+0.5*BO12^2)*TimeToExpiration)/(BO12*TimeToExpiration^0.5), 0, 1, TRUE) - 
       $H12*EXP(-RiskFreeRate*TimeToExpiration)*_xlfn.NORM.DIST(BP$2*(LN(Underlying/$H12)+(RiskFreeRate-DividendYield-0.5*BO12^2)*TimeToExpiration)/(BO12*TimeToExpiration^0.5), 0, 1, TRUE)
)</f>
        <v>27.61726886</v>
      </c>
      <c r="BQ12" s="40">
        <f t="shared" si="33"/>
        <v>0.3993046875</v>
      </c>
      <c r="BR12" s="40">
        <f t="shared" si="34"/>
        <v>0.4022333984</v>
      </c>
      <c r="BS12" s="7">
        <f>BS$2*(Underlying*EXP(-DividendYield*TimeToExpiration)*_xlfn.NORM.DIST(BS$2*(LN(Underlying/$H12)+(RiskFreeRate-DividendYield+0.5*BQ12^2)*TimeToExpiration)/(BQ12*TimeToExpiration^0.5), 0, 1, TRUE) - 
       $H12*EXP(-RiskFreeRate*TimeToExpiration)*_xlfn.NORM.DIST(BS$2*(LN(Underlying/$H12)+(RiskFreeRate-DividendYield-0.5*BQ12^2)*TimeToExpiration)/(BQ12*TimeToExpiration^0.5), 0, 1, TRUE)
)</f>
        <v>27.59887756</v>
      </c>
      <c r="BT12" s="7">
        <f>BT$2*(Underlying*EXP(-DividendYield*TimeToExpiration)*_xlfn.NORM.DIST(BT$2*(LN(Underlying/$H12)+(RiskFreeRate-DividendYield+0.5*BR12^2)*TimeToExpiration)/(BR12*TimeToExpiration^0.5), 0, 1, TRUE) - 
       $H12*EXP(-RiskFreeRate*TimeToExpiration)*_xlfn.NORM.DIST(BT$2*(LN(Underlying/$H12)+(RiskFreeRate-DividendYield-0.5*BR12^2)*TimeToExpiration)/(BR12*TimeToExpiration^0.5), 0, 1, TRUE)
)</f>
        <v>27.61726886</v>
      </c>
      <c r="BU12" s="40">
        <f t="shared" si="35"/>
        <v>0.400769043</v>
      </c>
      <c r="BV12" s="8">
        <f>BV$2*(Underlying*EXP(-DividendYield*TimeToExpiration)*_xlfn.NORM.DIST(BV$2*(LN(Underlying/$H12)+(RiskFreeRate-DividendYield+0.5*BU12^2)*TimeToExpiration)/(BU12*TimeToExpiration^0.5), 0, 1, TRUE) - 
       $H12*EXP(-RiskFreeRate*TimeToExpiration)*_xlfn.NORM.DIST(BV$2*(LN(Underlying/$H12)+(RiskFreeRate-DividendYield-0.5*BU12^2)*TimeToExpiration)/(BU12*TimeToExpiration^0.5), 0, 1, TRUE)
)</f>
        <v>27.60803719</v>
      </c>
      <c r="BW12" s="40">
        <f t="shared" si="36"/>
        <v>0.3993046875</v>
      </c>
      <c r="BX12" s="40">
        <f t="shared" si="37"/>
        <v>0.400769043</v>
      </c>
      <c r="BY12" s="7">
        <f>BY$2*(Underlying*EXP(-DividendYield*TimeToExpiration)*_xlfn.NORM.DIST(BY$2*(LN(Underlying/$H12)+(RiskFreeRate-DividendYield+0.5*BW12^2)*TimeToExpiration)/(BW12*TimeToExpiration^0.5), 0, 1, TRUE) - 
       $H12*EXP(-RiskFreeRate*TimeToExpiration)*_xlfn.NORM.DIST(BY$2*(LN(Underlying/$H12)+(RiskFreeRate-DividendYield-0.5*BW12^2)*TimeToExpiration)/(BW12*TimeToExpiration^0.5), 0, 1, TRUE)
)</f>
        <v>27.59887756</v>
      </c>
      <c r="BZ12" s="7">
        <f>BZ$2*(Underlying*EXP(-DividendYield*TimeToExpiration)*_xlfn.NORM.DIST(BZ$2*(LN(Underlying/$H12)+(RiskFreeRate-DividendYield+0.5*BX12^2)*TimeToExpiration)/(BX12*TimeToExpiration^0.5), 0, 1, TRUE) - 
       $H12*EXP(-RiskFreeRate*TimeToExpiration)*_xlfn.NORM.DIST(BZ$2*(LN(Underlying/$H12)+(RiskFreeRate-DividendYield-0.5*BX12^2)*TimeToExpiration)/(BX12*TimeToExpiration^0.5), 0, 1, TRUE)
)</f>
        <v>27.60803719</v>
      </c>
      <c r="CA12" s="40">
        <f t="shared" si="38"/>
        <v>0.4000368652</v>
      </c>
      <c r="CB12" s="8">
        <f>CB$2*(Underlying*EXP(-DividendYield*TimeToExpiration)*_xlfn.NORM.DIST(CB$2*(LN(Underlying/$H12)+(RiskFreeRate-DividendYield+0.5*CA12^2)*TimeToExpiration)/(CA12*TimeToExpiration^0.5), 0, 1, TRUE) - 
       $H12*EXP(-RiskFreeRate*TimeToExpiration)*_xlfn.NORM.DIST(CB$2*(LN(Underlying/$H12)+(RiskFreeRate-DividendYield-0.5*CA12^2)*TimeToExpiration)/(CA12*TimeToExpiration^0.5), 0, 1, TRUE)
)</f>
        <v>27.60344836</v>
      </c>
      <c r="CC12" s="40">
        <f t="shared" si="39"/>
        <v>0.3993046875</v>
      </c>
      <c r="CD12" s="40">
        <f t="shared" si="40"/>
        <v>0.4000368652</v>
      </c>
      <c r="CE12" s="7">
        <f>CE$2*(Underlying*EXP(-DividendYield*TimeToExpiration)*_xlfn.NORM.DIST(CE$2*(LN(Underlying/$H12)+(RiskFreeRate-DividendYield+0.5*CC12^2)*TimeToExpiration)/(CC12*TimeToExpiration^0.5), 0, 1, TRUE) - 
       $H12*EXP(-RiskFreeRate*TimeToExpiration)*_xlfn.NORM.DIST(CE$2*(LN(Underlying/$H12)+(RiskFreeRate-DividendYield-0.5*CC12^2)*TimeToExpiration)/(CC12*TimeToExpiration^0.5), 0, 1, TRUE)
)</f>
        <v>27.59887756</v>
      </c>
      <c r="CF12" s="7">
        <f>CF$2*(Underlying*EXP(-DividendYield*TimeToExpiration)*_xlfn.NORM.DIST(CF$2*(LN(Underlying/$H12)+(RiskFreeRate-DividendYield+0.5*CD12^2)*TimeToExpiration)/(CD12*TimeToExpiration^0.5), 0, 1, TRUE) - 
       $H12*EXP(-RiskFreeRate*TimeToExpiration)*_xlfn.NORM.DIST(CF$2*(LN(Underlying/$H12)+(RiskFreeRate-DividendYield-0.5*CD12^2)*TimeToExpiration)/(CD12*TimeToExpiration^0.5), 0, 1, TRUE)
)</f>
        <v>27.60344836</v>
      </c>
      <c r="CG12" s="40">
        <f t="shared" si="41"/>
        <v>0.3996707764</v>
      </c>
      <c r="CH12" s="8">
        <f>CH$2*(Underlying*EXP(-DividendYield*TimeToExpiration)*_xlfn.NORM.DIST(CH$2*(LN(Underlying/$H12)+(RiskFreeRate-DividendYield+0.5*CG12^2)*TimeToExpiration)/(CG12*TimeToExpiration^0.5), 0, 1, TRUE) - 
       $H12*EXP(-RiskFreeRate*TimeToExpiration)*_xlfn.NORM.DIST(CH$2*(LN(Underlying/$H12)+(RiskFreeRate-DividendYield-0.5*CG12^2)*TimeToExpiration)/(CG12*TimeToExpiration^0.5), 0, 1, TRUE)
)</f>
        <v>27.6011607</v>
      </c>
      <c r="CI12" s="40">
        <f t="shared" si="42"/>
        <v>0.3993046875</v>
      </c>
      <c r="CJ12" s="40">
        <f t="shared" si="43"/>
        <v>0.3996707764</v>
      </c>
      <c r="CK12" s="7">
        <f>CK$2*(Underlying*EXP(-DividendYield*TimeToExpiration)*_xlfn.NORM.DIST(CK$2*(LN(Underlying/$H12)+(RiskFreeRate-DividendYield+0.5*CI12^2)*TimeToExpiration)/(CI12*TimeToExpiration^0.5), 0, 1, TRUE) - 
       $H12*EXP(-RiskFreeRate*TimeToExpiration)*_xlfn.NORM.DIST(CK$2*(LN(Underlying/$H12)+(RiskFreeRate-DividendYield-0.5*CI12^2)*TimeToExpiration)/(CI12*TimeToExpiration^0.5), 0, 1, TRUE)
)</f>
        <v>27.59887756</v>
      </c>
      <c r="CL12" s="7">
        <f>CL$2*(Underlying*EXP(-DividendYield*TimeToExpiration)*_xlfn.NORM.DIST(CL$2*(LN(Underlying/$H12)+(RiskFreeRate-DividendYield+0.5*CJ12^2)*TimeToExpiration)/(CJ12*TimeToExpiration^0.5), 0, 1, TRUE) - 
       $H12*EXP(-RiskFreeRate*TimeToExpiration)*_xlfn.NORM.DIST(CL$2*(LN(Underlying/$H12)+(RiskFreeRate-DividendYield-0.5*CJ12^2)*TimeToExpiration)/(CJ12*TimeToExpiration^0.5), 0, 1, TRUE)
)</f>
        <v>27.6011607</v>
      </c>
      <c r="CM12" s="40">
        <f t="shared" si="44"/>
        <v>0.3994877319</v>
      </c>
      <c r="CN12" s="8">
        <f>CN$2*(Underlying*EXP(-DividendYield*TimeToExpiration)*_xlfn.NORM.DIST(CN$2*(LN(Underlying/$H12)+(RiskFreeRate-DividendYield+0.5*CM12^2)*TimeToExpiration)/(CM12*TimeToExpiration^0.5), 0, 1, TRUE) - 
       $H12*EXP(-RiskFreeRate*TimeToExpiration)*_xlfn.NORM.DIST(CN$2*(LN(Underlying/$H12)+(RiskFreeRate-DividendYield-0.5*CM12^2)*TimeToExpiration)/(CM12*TimeToExpiration^0.5), 0, 1, TRUE)
)</f>
        <v>27.60001857</v>
      </c>
      <c r="CO12" s="40">
        <f t="shared" si="45"/>
        <v>0.3993046875</v>
      </c>
      <c r="CP12" s="40">
        <f t="shared" si="46"/>
        <v>0.3994877319</v>
      </c>
      <c r="CQ12" s="7">
        <f>CQ$2*(Underlying*EXP(-DividendYield*TimeToExpiration)*_xlfn.NORM.DIST(CQ$2*(LN(Underlying/$H12)+(RiskFreeRate-DividendYield+0.5*CO12^2)*TimeToExpiration)/(CO12*TimeToExpiration^0.5), 0, 1, TRUE) - 
       $H12*EXP(-RiskFreeRate*TimeToExpiration)*_xlfn.NORM.DIST(CQ$2*(LN(Underlying/$H12)+(RiskFreeRate-DividendYield-0.5*CO12^2)*TimeToExpiration)/(CO12*TimeToExpiration^0.5), 0, 1, TRUE)
)</f>
        <v>27.59887756</v>
      </c>
      <c r="CR12" s="7">
        <f>CR$2*(Underlying*EXP(-DividendYield*TimeToExpiration)*_xlfn.NORM.DIST(CR$2*(LN(Underlying/$H12)+(RiskFreeRate-DividendYield+0.5*CP12^2)*TimeToExpiration)/(CP12*TimeToExpiration^0.5), 0, 1, TRUE) - 
       $H12*EXP(-RiskFreeRate*TimeToExpiration)*_xlfn.NORM.DIST(CR$2*(LN(Underlying/$H12)+(RiskFreeRate-DividendYield-0.5*CP12^2)*TimeToExpiration)/(CP12*TimeToExpiration^0.5), 0, 1, TRUE)
)</f>
        <v>27.60001857</v>
      </c>
      <c r="CS12" s="40">
        <f t="shared" si="47"/>
        <v>0.3993962097</v>
      </c>
      <c r="CT12" s="8">
        <f>CT$2*(Underlying*EXP(-DividendYield*TimeToExpiration)*_xlfn.NORM.DIST(CT$2*(LN(Underlying/$H12)+(RiskFreeRate-DividendYield+0.5*CS12^2)*TimeToExpiration)/(CS12*TimeToExpiration^0.5), 0, 1, TRUE) - 
       $H12*EXP(-RiskFreeRate*TimeToExpiration)*_xlfn.NORM.DIST(CT$2*(LN(Underlying/$H12)+(RiskFreeRate-DividendYield-0.5*CS12^2)*TimeToExpiration)/(CS12*TimeToExpiration^0.5), 0, 1, TRUE)
)</f>
        <v>27.59944792</v>
      </c>
      <c r="CU12" s="40">
        <f t="shared" si="48"/>
        <v>0.3993962097</v>
      </c>
      <c r="CV12" s="40">
        <f t="shared" si="49"/>
        <v>0.3994877319</v>
      </c>
      <c r="CW12" s="7">
        <f>CW$2*(Underlying*EXP(-DividendYield*TimeToExpiration)*_xlfn.NORM.DIST(CW$2*(LN(Underlying/$H12)+(RiskFreeRate-DividendYield+0.5*CU12^2)*TimeToExpiration)/(CU12*TimeToExpiration^0.5), 0, 1, TRUE) - 
       $H12*EXP(-RiskFreeRate*TimeToExpiration)*_xlfn.NORM.DIST(CW$2*(LN(Underlying/$H12)+(RiskFreeRate-DividendYield-0.5*CU12^2)*TimeToExpiration)/(CU12*TimeToExpiration^0.5), 0, 1, TRUE)
)</f>
        <v>27.59944792</v>
      </c>
      <c r="CX12" s="7">
        <f>CX$2*(Underlying*EXP(-DividendYield*TimeToExpiration)*_xlfn.NORM.DIST(CX$2*(LN(Underlying/$H12)+(RiskFreeRate-DividendYield+0.5*CV12^2)*TimeToExpiration)/(CV12*TimeToExpiration^0.5), 0, 1, TRUE) - 
       $H12*EXP(-RiskFreeRate*TimeToExpiration)*_xlfn.NORM.DIST(CX$2*(LN(Underlying/$H12)+(RiskFreeRate-DividendYield-0.5*CV12^2)*TimeToExpiration)/(CV12*TimeToExpiration^0.5), 0, 1, TRUE)
)</f>
        <v>27.60001857</v>
      </c>
      <c r="CY12" s="40">
        <f t="shared" si="50"/>
        <v>0.3994419708</v>
      </c>
      <c r="CZ12" s="8">
        <f>CZ$2*(Underlying*EXP(-DividendYield*TimeToExpiration)*_xlfn.NORM.DIST(CZ$2*(LN(Underlying/$H12)+(RiskFreeRate-DividendYield+0.5*CY12^2)*TimeToExpiration)/(CY12*TimeToExpiration^0.5), 0, 1, TRUE) - 
       $H12*EXP(-RiskFreeRate*TimeToExpiration)*_xlfn.NORM.DIST(CZ$2*(LN(Underlying/$H12)+(RiskFreeRate-DividendYield-0.5*CY12^2)*TimeToExpiration)/(CY12*TimeToExpiration^0.5), 0, 1, TRUE)
)</f>
        <v>27.59973321</v>
      </c>
      <c r="DA12" s="40">
        <f t="shared" si="51"/>
        <v>0.3994419708</v>
      </c>
      <c r="DB12" s="40">
        <f t="shared" si="52"/>
        <v>0.3994877319</v>
      </c>
      <c r="DC12" s="7">
        <f>DC$2*(Underlying*EXP(-DividendYield*TimeToExpiration)*_xlfn.NORM.DIST(DC$2*(LN(Underlying/$H12)+(RiskFreeRate-DividendYield+0.5*DA12^2)*TimeToExpiration)/(DA12*TimeToExpiration^0.5), 0, 1, TRUE) - 
       $H12*EXP(-RiskFreeRate*TimeToExpiration)*_xlfn.NORM.DIST(DC$2*(LN(Underlying/$H12)+(RiskFreeRate-DividendYield-0.5*DA12^2)*TimeToExpiration)/(DA12*TimeToExpiration^0.5), 0, 1, TRUE)
)</f>
        <v>27.59973321</v>
      </c>
      <c r="DD12" s="7">
        <f>DD$2*(Underlying*EXP(-DividendYield*TimeToExpiration)*_xlfn.NORM.DIST(DD$2*(LN(Underlying/$H12)+(RiskFreeRate-DividendYield+0.5*DB12^2)*TimeToExpiration)/(DB12*TimeToExpiration^0.5), 0, 1, TRUE) - 
       $H12*EXP(-RiskFreeRate*TimeToExpiration)*_xlfn.NORM.DIST(DD$2*(LN(Underlying/$H12)+(RiskFreeRate-DividendYield-0.5*DB12^2)*TimeToExpiration)/(DB12*TimeToExpiration^0.5), 0, 1, TRUE)
)</f>
        <v>27.60001857</v>
      </c>
      <c r="DE12" s="40">
        <f t="shared" si="53"/>
        <v>0.3994648514</v>
      </c>
      <c r="DF12" s="8">
        <f>DF$2*(Underlying*EXP(-DividendYield*TimeToExpiration)*_xlfn.NORM.DIST(DF$2*(LN(Underlying/$H12)+(RiskFreeRate-DividendYield+0.5*DE12^2)*TimeToExpiration)/(DE12*TimeToExpiration^0.5), 0, 1, TRUE) - 
       $H12*EXP(-RiskFreeRate*TimeToExpiration)*_xlfn.NORM.DIST(DF$2*(LN(Underlying/$H12)+(RiskFreeRate-DividendYield-0.5*DE12^2)*TimeToExpiration)/(DE12*TimeToExpiration^0.5), 0, 1, TRUE)
)</f>
        <v>27.59987588</v>
      </c>
    </row>
    <row r="13">
      <c r="A13" s="20">
        <f>'Option Mkt Data'!A13</f>
        <v>315</v>
      </c>
      <c r="B13" s="35">
        <f t="shared" ref="B13:C13" si="60">DE13</f>
        <v>0.4134219894</v>
      </c>
      <c r="C13" s="7">
        <f t="shared" si="60"/>
        <v>25.42514624</v>
      </c>
      <c r="D13" s="7">
        <f t="shared" si="3"/>
        <v>0.0001431887789</v>
      </c>
      <c r="E13" s="9">
        <f t="shared" si="4"/>
        <v>0.000005631809706</v>
      </c>
      <c r="F13" s="36">
        <f>D13/'Option Mkt Data'!L13</f>
        <v>0.0009546306813</v>
      </c>
      <c r="G13" s="5">
        <f>'Option Mkt Data'!J13</f>
        <v>25.42500305</v>
      </c>
      <c r="H13" s="33">
        <f>'Option Mkt Data'!A13</f>
        <v>315</v>
      </c>
      <c r="I13" s="37">
        <f>MinSolverVola</f>
        <v>0.001</v>
      </c>
      <c r="J13" s="38">
        <f>MaxSolverVola</f>
        <v>3</v>
      </c>
      <c r="K13" s="39">
        <f>K$2*(Underlying*EXP(-DividendYield*TimeToExpiration)*_xlfn.NORM.DIST(K$2*(LN(Underlying/$H13)+(RiskFreeRate-DividendYield+0.5*I13^2)*TimeToExpiration)/(I13*TimeToExpiration^0.5), 0, 1, TRUE) - 
       $H13*EXP(-RiskFreeRate*TimeToExpiration)*_xlfn.NORM.DIST(K$2*(LN(Underlying/$H13)+(RiskFreeRate-DividendYield-0.5*I13^2)*TimeToExpiration)/(I13*TimeToExpiration^0.5), 0, 1, TRUE)
)</f>
        <v>24.52465968</v>
      </c>
      <c r="L13" s="7">
        <f>L$2*(Underlying*EXP(-DividendYield*TimeToExpiration)*_xlfn.NORM.DIST(L$2*(LN(Underlying/$H13)+(RiskFreeRate-DividendYield+0.5*J13^2)*TimeToExpiration)/(J13*TimeToExpiration^0.5), 0, 1, TRUE) - 
       $H13*EXP(-RiskFreeRate*TimeToExpiration)*_xlfn.NORM.DIST(L$2*(LN(Underlying/$H13)+(RiskFreeRate-DividendYield-0.5*J13^2)*TimeToExpiration)/(J13*TimeToExpiration^0.5), 0, 1, TRUE)
)</f>
        <v>68.03603792</v>
      </c>
      <c r="M13" s="40">
        <f t="shared" si="5"/>
        <v>1.5005</v>
      </c>
      <c r="N13" s="8">
        <f>N$2*(Underlying*EXP(-DividendYield*TimeToExpiration)*_xlfn.NORM.DIST(N$2*(LN(Underlying/$H13)+(RiskFreeRate-DividendYield+0.5*M13^2)*TimeToExpiration)/(M13*TimeToExpiration^0.5), 0, 1, TRUE) - 
       $H13*EXP(-RiskFreeRate*TimeToExpiration)*_xlfn.NORM.DIST(N$2*(LN(Underlying/$H13)+(RiskFreeRate-DividendYield-0.5*M13^2)*TimeToExpiration)/(M13*TimeToExpiration^0.5), 0, 1, TRUE)
)</f>
        <v>41.59314893</v>
      </c>
      <c r="O13" s="41">
        <f t="shared" si="6"/>
        <v>0.001</v>
      </c>
      <c r="P13" s="40">
        <f t="shared" si="7"/>
        <v>1.5005</v>
      </c>
      <c r="Q13" s="7">
        <f>Q$2*(Underlying*EXP(-DividendYield*TimeToExpiration)*_xlfn.NORM.DIST(Q$2*(LN(Underlying/$H13)+(RiskFreeRate-DividendYield+0.5*O13^2)*TimeToExpiration)/(O13*TimeToExpiration^0.5), 0, 1, TRUE) - 
       $H13*EXP(-RiskFreeRate*TimeToExpiration)*_xlfn.NORM.DIST(Q$2*(LN(Underlying/$H13)+(RiskFreeRate-DividendYield-0.5*O13^2)*TimeToExpiration)/(O13*TimeToExpiration^0.5), 0, 1, TRUE))</f>
        <v>24.52465968</v>
      </c>
      <c r="R13" s="7">
        <f>R$2*(Underlying*EXP(-DividendYield*TimeToExpiration)*_xlfn.NORM.DIST(R$2*(LN(Underlying/$H13)+(RiskFreeRate-DividendYield+0.5*P13^2)*TimeToExpiration)/(P13*TimeToExpiration^0.5), 0, 1, TRUE) - 
       $H13*EXP(-RiskFreeRate*TimeToExpiration)*_xlfn.NORM.DIST(R$2*(LN(Underlying/$H13)+(RiskFreeRate-DividendYield-0.5*P13^2)*TimeToExpiration)/(P13*TimeToExpiration^0.5), 0, 1, TRUE)
)</f>
        <v>41.59314893</v>
      </c>
      <c r="S13" s="40">
        <f t="shared" si="8"/>
        <v>0.75075</v>
      </c>
      <c r="T13" s="8">
        <f>T$2*(Underlying*EXP(-DividendYield*TimeToExpiration)*_xlfn.NORM.DIST(T$2*(LN(Underlying/$H13)+(RiskFreeRate-DividendYield+0.5*S13^2)*TimeToExpiration)/(S13*TimeToExpiration^0.5), 0, 1, TRUE) - 
       $H13*EXP(-RiskFreeRate*TimeToExpiration)*_xlfn.NORM.DIST(T$2*(LN(Underlying/$H13)+(RiskFreeRate-DividendYield-0.5*S13^2)*TimeToExpiration)/(S13*TimeToExpiration^0.5), 0, 1, TRUE)
)</f>
        <v>29.42067274</v>
      </c>
      <c r="U13" s="41">
        <f t="shared" si="9"/>
        <v>0.001</v>
      </c>
      <c r="V13" s="40">
        <f t="shared" si="10"/>
        <v>0.75075</v>
      </c>
      <c r="W13" s="7">
        <f>W$2*(Underlying*EXP(-DividendYield*TimeToExpiration)*_xlfn.NORM.DIST(W$2*(LN(Underlying/$H13)+(RiskFreeRate-DividendYield+0.5*U13^2)*TimeToExpiration)/(U13*TimeToExpiration^0.5), 0, 1, TRUE) - 
       $H13*EXP(-RiskFreeRate*TimeToExpiration)*_xlfn.NORM.DIST(W$2*(LN(Underlying/$H13)+(RiskFreeRate-DividendYield-0.5*U13^2)*TimeToExpiration)/(U13*TimeToExpiration^0.5), 0, 1, TRUE)
)</f>
        <v>24.52465968</v>
      </c>
      <c r="X13" s="7">
        <f>X$2*(Underlying*EXP(-DividendYield*TimeToExpiration)*_xlfn.NORM.DIST(X$2*(LN(Underlying/$H13)+(RiskFreeRate-DividendYield+0.5*V13^2)*TimeToExpiration)/(V13*TimeToExpiration^0.5), 0, 1, TRUE) - 
       $H13*EXP(-RiskFreeRate*TimeToExpiration)*_xlfn.NORM.DIST(X$2*(LN(Underlying/$H13)+(RiskFreeRate-DividendYield-0.5*V13^2)*TimeToExpiration)/(V13*TimeToExpiration^0.5), 0, 1, TRUE)
)</f>
        <v>29.42067274</v>
      </c>
      <c r="Y13" s="40">
        <f t="shared" si="11"/>
        <v>0.375875</v>
      </c>
      <c r="Z13" s="8">
        <f>Z$2*(Underlying*EXP(-DividendYield*TimeToExpiration)*_xlfn.NORM.DIST(Z$2*(LN(Underlying/$H13)+(RiskFreeRate-DividendYield+0.5*Y13^2)*TimeToExpiration)/(Y13*TimeToExpiration^0.5), 0, 1, TRUE) - 
       $H13*EXP(-RiskFreeRate*TimeToExpiration)*_xlfn.NORM.DIST(Z$2*(LN(Underlying/$H13)+(RiskFreeRate-DividendYield-0.5*Y13^2)*TimeToExpiration)/(Y13*TimeToExpiration^0.5), 0, 1, TRUE)
)</f>
        <v>25.14516298</v>
      </c>
      <c r="AA13" s="40">
        <f t="shared" si="12"/>
        <v>0.375875</v>
      </c>
      <c r="AB13" s="40">
        <f t="shared" si="13"/>
        <v>0.75075</v>
      </c>
      <c r="AC13" s="7">
        <f>AC$2*(Underlying*EXP(-DividendYield*TimeToExpiration)*_xlfn.NORM.DIST(AC$2*(LN(Underlying/$H13)+(RiskFreeRate-DividendYield+0.5*AA13^2)*TimeToExpiration)/(AA13*TimeToExpiration^0.5), 0, 1, TRUE) - 
       $H13*EXP(-RiskFreeRate*TimeToExpiration)*_xlfn.NORM.DIST(AC$2*(LN(Underlying/$H13)+(RiskFreeRate-DividendYield-0.5*AA13^2)*TimeToExpiration)/(AA13*TimeToExpiration^0.5), 0, 1, TRUE)
)</f>
        <v>25.14516298</v>
      </c>
      <c r="AD13" s="7">
        <f>AD$2*(Underlying*EXP(-DividendYield*TimeToExpiration)*_xlfn.NORM.DIST(AD$2*(LN(Underlying/$H13)+(RiskFreeRate-DividendYield+0.5*AB13^2)*TimeToExpiration)/(AB13*TimeToExpiration^0.5), 0, 1, TRUE) - 
       $H13*EXP(-RiskFreeRate*TimeToExpiration)*_xlfn.NORM.DIST(AD$2*(LN(Underlying/$H13)+(RiskFreeRate-DividendYield-0.5*AB13^2)*TimeToExpiration)/(AB13*TimeToExpiration^0.5), 0, 1, TRUE)
)</f>
        <v>29.42067274</v>
      </c>
      <c r="AE13" s="40">
        <f t="shared" si="14"/>
        <v>0.5633125</v>
      </c>
      <c r="AF13" s="8">
        <f>AF$2*(Underlying*EXP(-DividendYield*TimeToExpiration)*_xlfn.NORM.DIST(AF$2*(LN(Underlying/$H13)+(RiskFreeRate-DividendYield+0.5*AE13^2)*TimeToExpiration)/(AE13*TimeToExpiration^0.5), 0, 1, TRUE) - 
       $H13*EXP(-RiskFreeRate*TimeToExpiration)*_xlfn.NORM.DIST(AF$2*(LN(Underlying/$H13)+(RiskFreeRate-DividendYield-0.5*AE13^2)*TimeToExpiration)/(AE13*TimeToExpiration^0.5), 0, 1, TRUE)
)</f>
        <v>26.94265274</v>
      </c>
      <c r="AG13" s="40">
        <f t="shared" si="15"/>
        <v>0.375875</v>
      </c>
      <c r="AH13" s="40">
        <f t="shared" si="16"/>
        <v>0.5633125</v>
      </c>
      <c r="AI13" s="7">
        <f>AI$2*(Underlying*EXP(-DividendYield*TimeToExpiration)*_xlfn.NORM.DIST(AI$2*(LN(Underlying/$H13)+(RiskFreeRate-DividendYield+0.5*AG13^2)*TimeToExpiration)/(AG13*TimeToExpiration^0.5), 0, 1, TRUE) - 
       $H13*EXP(-RiskFreeRate*TimeToExpiration)*_xlfn.NORM.DIST(AI$2*(LN(Underlying/$H13)+(RiskFreeRate-DividendYield-0.5*AG13^2)*TimeToExpiration)/(AG13*TimeToExpiration^0.5), 0, 1, TRUE)
)</f>
        <v>25.14516298</v>
      </c>
      <c r="AJ13" s="7">
        <f>AJ$2*(Underlying*EXP(-DividendYield*TimeToExpiration)*_xlfn.NORM.DIST(AJ$2*(LN(Underlying/$H13)+(RiskFreeRate-DividendYield+0.5*AH13^2)*TimeToExpiration)/(AH13*TimeToExpiration^0.5), 0, 1, TRUE) - 
       $H13*EXP(-RiskFreeRate*TimeToExpiration)*_xlfn.NORM.DIST(AJ$2*(LN(Underlying/$H13)+(RiskFreeRate-DividendYield-0.5*AH13^2)*TimeToExpiration)/(AH13*TimeToExpiration^0.5), 0, 1, TRUE)
)</f>
        <v>26.94265274</v>
      </c>
      <c r="AK13" s="40">
        <f t="shared" si="17"/>
        <v>0.46959375</v>
      </c>
      <c r="AL13" s="8">
        <f>AL$2*(Underlying*EXP(-DividendYield*TimeToExpiration)*_xlfn.NORM.DIST(AL$2*(LN(Underlying/$H13)+(RiskFreeRate-DividendYield+0.5*AK13^2)*TimeToExpiration)/(AK13*TimeToExpiration^0.5), 0, 1, TRUE) - 
       $H13*EXP(-RiskFreeRate*TimeToExpiration)*_xlfn.NORM.DIST(AL$2*(LN(Underlying/$H13)+(RiskFreeRate-DividendYield-0.5*AK13^2)*TimeToExpiration)/(AK13*TimeToExpiration^0.5), 0, 1, TRUE)
)</f>
        <v>25.9270629</v>
      </c>
      <c r="AM13" s="40">
        <f t="shared" si="18"/>
        <v>0.375875</v>
      </c>
      <c r="AN13" s="40">
        <f t="shared" si="19"/>
        <v>0.46959375</v>
      </c>
      <c r="AO13" s="7">
        <f>AO$2*(Underlying*EXP(-DividendYield*TimeToExpiration)*_xlfn.NORM.DIST(AO$2*(LN(Underlying/$H13)+(RiskFreeRate-DividendYield+0.5*AM13^2)*TimeToExpiration)/(AM13*TimeToExpiration^0.5), 0, 1, TRUE) - 
       $H13*EXP(-RiskFreeRate*TimeToExpiration)*_xlfn.NORM.DIST(AO$2*(LN(Underlying/$H13)+(RiskFreeRate-DividendYield-0.5*AM13^2)*TimeToExpiration)/(AM13*TimeToExpiration^0.5), 0, 1, TRUE)
)</f>
        <v>25.14516298</v>
      </c>
      <c r="AP13" s="7">
        <f>AP$2*(Underlying*EXP(-DividendYield*TimeToExpiration)*_xlfn.NORM.DIST(AP$2*(LN(Underlying/$H13)+(RiskFreeRate-DividendYield+0.5*AN13^2)*TimeToExpiration)/(AN13*TimeToExpiration^0.5), 0, 1, TRUE) - 
       $H13*EXP(-RiskFreeRate*TimeToExpiration)*_xlfn.NORM.DIST(AP$2*(LN(Underlying/$H13)+(RiskFreeRate-DividendYield-0.5*AN13^2)*TimeToExpiration)/(AN13*TimeToExpiration^0.5), 0, 1, TRUE)
)</f>
        <v>25.9270629</v>
      </c>
      <c r="AQ13" s="40">
        <f t="shared" si="20"/>
        <v>0.422734375</v>
      </c>
      <c r="AR13" s="8">
        <f>AR$2*(Underlying*EXP(-DividendYield*TimeToExpiration)*_xlfn.NORM.DIST(AR$2*(LN(Underlying/$H13)+(RiskFreeRate-DividendYield+0.5*AQ13^2)*TimeToExpiration)/(AQ13*TimeToExpiration^0.5), 0, 1, TRUE) - 
       $H13*EXP(-RiskFreeRate*TimeToExpiration)*_xlfn.NORM.DIST(AR$2*(LN(Underlying/$H13)+(RiskFreeRate-DividendYield-0.5*AQ13^2)*TimeToExpiration)/(AQ13*TimeToExpiration^0.5), 0, 1, TRUE)
)</f>
        <v>25.50182859</v>
      </c>
      <c r="AS13" s="40">
        <f t="shared" si="21"/>
        <v>0.375875</v>
      </c>
      <c r="AT13" s="40">
        <f t="shared" si="22"/>
        <v>0.422734375</v>
      </c>
      <c r="AU13" s="7">
        <f>AU$2*(Underlying*EXP(-DividendYield*TimeToExpiration)*_xlfn.NORM.DIST(AU$2*(LN(Underlying/$H13)+(RiskFreeRate-DividendYield+0.5*AS13^2)*TimeToExpiration)/(AS13*TimeToExpiration^0.5), 0, 1, TRUE) - 
       $H13*EXP(-RiskFreeRate*TimeToExpiration)*_xlfn.NORM.DIST(AU$2*(LN(Underlying/$H13)+(RiskFreeRate-DividendYield-0.5*AS13^2)*TimeToExpiration)/(AS13*TimeToExpiration^0.5), 0, 1, TRUE)
)</f>
        <v>25.14516298</v>
      </c>
      <c r="AV13" s="7">
        <f>AV$2*(Underlying*EXP(-DividendYield*TimeToExpiration)*_xlfn.NORM.DIST(AV$2*(LN(Underlying/$H13)+(RiskFreeRate-DividendYield+0.5*AT13^2)*TimeToExpiration)/(AT13*TimeToExpiration^0.5), 0, 1, TRUE) - 
       $H13*EXP(-RiskFreeRate*TimeToExpiration)*_xlfn.NORM.DIST(AV$2*(LN(Underlying/$H13)+(RiskFreeRate-DividendYield-0.5*AT13^2)*TimeToExpiration)/(AT13*TimeToExpiration^0.5), 0, 1, TRUE)
)</f>
        <v>25.50182859</v>
      </c>
      <c r="AW13" s="40">
        <f t="shared" si="23"/>
        <v>0.3993046875</v>
      </c>
      <c r="AX13" s="8">
        <f>AX$2*(Underlying*EXP(-DividendYield*TimeToExpiration)*_xlfn.NORM.DIST(AX$2*(LN(Underlying/$H13)+(RiskFreeRate-DividendYield+0.5*AW13^2)*TimeToExpiration)/(AW13*TimeToExpiration^0.5), 0, 1, TRUE) - 
       $H13*EXP(-RiskFreeRate*TimeToExpiration)*_xlfn.NORM.DIST(AX$2*(LN(Underlying/$H13)+(RiskFreeRate-DividendYield-0.5*AW13^2)*TimeToExpiration)/(AW13*TimeToExpiration^0.5), 0, 1, TRUE)
)</f>
        <v>25.31425168</v>
      </c>
      <c r="AY13" s="40">
        <f t="shared" si="24"/>
        <v>0.3993046875</v>
      </c>
      <c r="AZ13" s="40">
        <f t="shared" si="25"/>
        <v>0.422734375</v>
      </c>
      <c r="BA13" s="7">
        <f>BA$2*(Underlying*EXP(-DividendYield*TimeToExpiration)*_xlfn.NORM.DIST(BA$2*(LN(Underlying/$H13)+(RiskFreeRate-DividendYield+0.5*AY13^2)*TimeToExpiration)/(AY13*TimeToExpiration^0.5), 0, 1, TRUE) - 
       $H13*EXP(-RiskFreeRate*TimeToExpiration)*_xlfn.NORM.DIST(BA$2*(LN(Underlying/$H13)+(RiskFreeRate-DividendYield-0.5*AY13^2)*TimeToExpiration)/(AY13*TimeToExpiration^0.5), 0, 1, TRUE)
)</f>
        <v>25.31425168</v>
      </c>
      <c r="BB13" s="7">
        <f>BB$2*(Underlying*EXP(-DividendYield*TimeToExpiration)*_xlfn.NORM.DIST(BB$2*(LN(Underlying/$H13)+(RiskFreeRate-DividendYield+0.5*AZ13^2)*TimeToExpiration)/(AZ13*TimeToExpiration^0.5), 0, 1, TRUE) - 
       $H13*EXP(-RiskFreeRate*TimeToExpiration)*_xlfn.NORM.DIST(BB$2*(LN(Underlying/$H13)+(RiskFreeRate-DividendYield-0.5*AZ13^2)*TimeToExpiration)/(AZ13*TimeToExpiration^0.5), 0, 1, TRUE)
)</f>
        <v>25.50182859</v>
      </c>
      <c r="BC13" s="40">
        <f t="shared" si="26"/>
        <v>0.4110195313</v>
      </c>
      <c r="BD13" s="8">
        <f>BD$2*(Underlying*EXP(-DividendYield*TimeToExpiration)*_xlfn.NORM.DIST(BD$2*(LN(Underlying/$H13)+(RiskFreeRate-DividendYield+0.5*BC13^2)*TimeToExpiration)/(BC13*TimeToExpiration^0.5), 0, 1, TRUE) - 
       $H13*EXP(-RiskFreeRate*TimeToExpiration)*_xlfn.NORM.DIST(BD$2*(LN(Underlying/$H13)+(RiskFreeRate-DividendYield-0.5*BC13^2)*TimeToExpiration)/(BC13*TimeToExpiration^0.5), 0, 1, TRUE)
)</f>
        <v>25.40581306</v>
      </c>
      <c r="BE13" s="40">
        <f t="shared" si="27"/>
        <v>0.4110195313</v>
      </c>
      <c r="BF13" s="40">
        <f t="shared" si="28"/>
        <v>0.422734375</v>
      </c>
      <c r="BG13" s="7">
        <f>BG$2*(Underlying*EXP(-DividendYield*TimeToExpiration)*_xlfn.NORM.DIST(BG$2*(LN(Underlying/$H13)+(RiskFreeRate-DividendYield+0.5*BE13^2)*TimeToExpiration)/(BE13*TimeToExpiration^0.5), 0, 1, TRUE) - 
       $H13*EXP(-RiskFreeRate*TimeToExpiration)*_xlfn.NORM.DIST(BG$2*(LN(Underlying/$H13)+(RiskFreeRate-DividendYield-0.5*BE13^2)*TimeToExpiration)/(BE13*TimeToExpiration^0.5), 0, 1, TRUE)
)</f>
        <v>25.40581306</v>
      </c>
      <c r="BH13" s="7">
        <f>BH$2*(Underlying*EXP(-DividendYield*TimeToExpiration)*_xlfn.NORM.DIST(BH$2*(LN(Underlying/$H13)+(RiskFreeRate-DividendYield+0.5*BF13^2)*TimeToExpiration)/(BF13*TimeToExpiration^0.5), 0, 1, TRUE) - 
       $H13*EXP(-RiskFreeRate*TimeToExpiration)*_xlfn.NORM.DIST(BH$2*(LN(Underlying/$H13)+(RiskFreeRate-DividendYield-0.5*BF13^2)*TimeToExpiration)/(BF13*TimeToExpiration^0.5), 0, 1, TRUE)
)</f>
        <v>25.50182859</v>
      </c>
      <c r="BI13" s="40">
        <f t="shared" si="29"/>
        <v>0.4168769531</v>
      </c>
      <c r="BJ13" s="8">
        <f>BJ$2*(Underlying*EXP(-DividendYield*TimeToExpiration)*_xlfn.NORM.DIST(BJ$2*(LN(Underlying/$H13)+(RiskFreeRate-DividendYield+0.5*BI13^2)*TimeToExpiration)/(BI13*TimeToExpiration^0.5), 0, 1, TRUE) - 
       $H13*EXP(-RiskFreeRate*TimeToExpiration)*_xlfn.NORM.DIST(BJ$2*(LN(Underlying/$H13)+(RiskFreeRate-DividendYield-0.5*BI13^2)*TimeToExpiration)/(BI13*TimeToExpiration^0.5), 0, 1, TRUE)
)</f>
        <v>25.45327466</v>
      </c>
      <c r="BK13" s="40">
        <f t="shared" si="30"/>
        <v>0.4110195313</v>
      </c>
      <c r="BL13" s="40">
        <f t="shared" si="31"/>
        <v>0.4168769531</v>
      </c>
      <c r="BM13" s="7">
        <f>BM$2*(Underlying*EXP(-DividendYield*TimeToExpiration)*_xlfn.NORM.DIST(BM$2*(LN(Underlying/$H13)+(RiskFreeRate-DividendYield+0.5*BK13^2)*TimeToExpiration)/(BK13*TimeToExpiration^0.5), 0, 1, TRUE) - 
       $H13*EXP(-RiskFreeRate*TimeToExpiration)*_xlfn.NORM.DIST(BM$2*(LN(Underlying/$H13)+(RiskFreeRate-DividendYield-0.5*BK13^2)*TimeToExpiration)/(BK13*TimeToExpiration^0.5), 0, 1, TRUE)
)</f>
        <v>25.40581306</v>
      </c>
      <c r="BN13" s="7">
        <f>BN$2*(Underlying*EXP(-DividendYield*TimeToExpiration)*_xlfn.NORM.DIST(BN$2*(LN(Underlying/$H13)+(RiskFreeRate-DividendYield+0.5*BL13^2)*TimeToExpiration)/(BL13*TimeToExpiration^0.5), 0, 1, TRUE) - 
       $H13*EXP(-RiskFreeRate*TimeToExpiration)*_xlfn.NORM.DIST(BN$2*(LN(Underlying/$H13)+(RiskFreeRate-DividendYield-0.5*BL13^2)*TimeToExpiration)/(BL13*TimeToExpiration^0.5), 0, 1, TRUE)
)</f>
        <v>25.45327466</v>
      </c>
      <c r="BO13" s="40">
        <f t="shared" si="32"/>
        <v>0.4139482422</v>
      </c>
      <c r="BP13" s="8">
        <f>BP$2*(Underlying*EXP(-DividendYield*TimeToExpiration)*_xlfn.NORM.DIST(BP$2*(LN(Underlying/$H13)+(RiskFreeRate-DividendYield+0.5*BO13^2)*TimeToExpiration)/(BO13*TimeToExpiration^0.5), 0, 1, TRUE) - 
       $H13*EXP(-RiskFreeRate*TimeToExpiration)*_xlfn.NORM.DIST(BP$2*(LN(Underlying/$H13)+(RiskFreeRate-DividendYield-0.5*BO13^2)*TimeToExpiration)/(BO13*TimeToExpiration^0.5), 0, 1, TRUE)
)</f>
        <v>25.42940599</v>
      </c>
      <c r="BQ13" s="40">
        <f t="shared" si="33"/>
        <v>0.4110195313</v>
      </c>
      <c r="BR13" s="40">
        <f t="shared" si="34"/>
        <v>0.4139482422</v>
      </c>
      <c r="BS13" s="7">
        <f>BS$2*(Underlying*EXP(-DividendYield*TimeToExpiration)*_xlfn.NORM.DIST(BS$2*(LN(Underlying/$H13)+(RiskFreeRate-DividendYield+0.5*BQ13^2)*TimeToExpiration)/(BQ13*TimeToExpiration^0.5), 0, 1, TRUE) - 
       $H13*EXP(-RiskFreeRate*TimeToExpiration)*_xlfn.NORM.DIST(BS$2*(LN(Underlying/$H13)+(RiskFreeRate-DividendYield-0.5*BQ13^2)*TimeToExpiration)/(BQ13*TimeToExpiration^0.5), 0, 1, TRUE)
)</f>
        <v>25.40581306</v>
      </c>
      <c r="BT13" s="7">
        <f>BT$2*(Underlying*EXP(-DividendYield*TimeToExpiration)*_xlfn.NORM.DIST(BT$2*(LN(Underlying/$H13)+(RiskFreeRate-DividendYield+0.5*BR13^2)*TimeToExpiration)/(BR13*TimeToExpiration^0.5), 0, 1, TRUE) - 
       $H13*EXP(-RiskFreeRate*TimeToExpiration)*_xlfn.NORM.DIST(BT$2*(LN(Underlying/$H13)+(RiskFreeRate-DividendYield-0.5*BR13^2)*TimeToExpiration)/(BR13*TimeToExpiration^0.5), 0, 1, TRUE)
)</f>
        <v>25.42940599</v>
      </c>
      <c r="BU13" s="40">
        <f t="shared" si="35"/>
        <v>0.4124838867</v>
      </c>
      <c r="BV13" s="8">
        <f>BV$2*(Underlying*EXP(-DividendYield*TimeToExpiration)*_xlfn.NORM.DIST(BV$2*(LN(Underlying/$H13)+(RiskFreeRate-DividendYield+0.5*BU13^2)*TimeToExpiration)/(BU13*TimeToExpiration^0.5), 0, 1, TRUE) - 
       $H13*EXP(-RiskFreeRate*TimeToExpiration)*_xlfn.NORM.DIST(BV$2*(LN(Underlying/$H13)+(RiskFreeRate-DividendYield-0.5*BU13^2)*TimeToExpiration)/(BU13*TimeToExpiration^0.5), 0, 1, TRUE)
)</f>
        <v>25.41757489</v>
      </c>
      <c r="BW13" s="40">
        <f t="shared" si="36"/>
        <v>0.4124838867</v>
      </c>
      <c r="BX13" s="40">
        <f t="shared" si="37"/>
        <v>0.4139482422</v>
      </c>
      <c r="BY13" s="7">
        <f>BY$2*(Underlying*EXP(-DividendYield*TimeToExpiration)*_xlfn.NORM.DIST(BY$2*(LN(Underlying/$H13)+(RiskFreeRate-DividendYield+0.5*BW13^2)*TimeToExpiration)/(BW13*TimeToExpiration^0.5), 0, 1, TRUE) - 
       $H13*EXP(-RiskFreeRate*TimeToExpiration)*_xlfn.NORM.DIST(BY$2*(LN(Underlying/$H13)+(RiskFreeRate-DividendYield-0.5*BW13^2)*TimeToExpiration)/(BW13*TimeToExpiration^0.5), 0, 1, TRUE)
)</f>
        <v>25.41757489</v>
      </c>
      <c r="BZ13" s="7">
        <f>BZ$2*(Underlying*EXP(-DividendYield*TimeToExpiration)*_xlfn.NORM.DIST(BZ$2*(LN(Underlying/$H13)+(RiskFreeRate-DividendYield+0.5*BX13^2)*TimeToExpiration)/(BX13*TimeToExpiration^0.5), 0, 1, TRUE) - 
       $H13*EXP(-RiskFreeRate*TimeToExpiration)*_xlfn.NORM.DIST(BZ$2*(LN(Underlying/$H13)+(RiskFreeRate-DividendYield-0.5*BX13^2)*TimeToExpiration)/(BX13*TimeToExpiration^0.5), 0, 1, TRUE)
)</f>
        <v>25.42940599</v>
      </c>
      <c r="CA13" s="40">
        <f t="shared" si="38"/>
        <v>0.4132160645</v>
      </c>
      <c r="CB13" s="8">
        <f>CB$2*(Underlying*EXP(-DividendYield*TimeToExpiration)*_xlfn.NORM.DIST(CB$2*(LN(Underlying/$H13)+(RiskFreeRate-DividendYield+0.5*CA13^2)*TimeToExpiration)/(CA13*TimeToExpiration^0.5), 0, 1, TRUE) - 
       $H13*EXP(-RiskFreeRate*TimeToExpiration)*_xlfn.NORM.DIST(CB$2*(LN(Underlying/$H13)+(RiskFreeRate-DividendYield-0.5*CA13^2)*TimeToExpiration)/(CA13*TimeToExpiration^0.5), 0, 1, TRUE)
)</f>
        <v>25.42348181</v>
      </c>
      <c r="CC13" s="40">
        <f t="shared" si="39"/>
        <v>0.4132160645</v>
      </c>
      <c r="CD13" s="40">
        <f t="shared" si="40"/>
        <v>0.4139482422</v>
      </c>
      <c r="CE13" s="7">
        <f>CE$2*(Underlying*EXP(-DividendYield*TimeToExpiration)*_xlfn.NORM.DIST(CE$2*(LN(Underlying/$H13)+(RiskFreeRate-DividendYield+0.5*CC13^2)*TimeToExpiration)/(CC13*TimeToExpiration^0.5), 0, 1, TRUE) - 
       $H13*EXP(-RiskFreeRate*TimeToExpiration)*_xlfn.NORM.DIST(CE$2*(LN(Underlying/$H13)+(RiskFreeRate-DividendYield-0.5*CC13^2)*TimeToExpiration)/(CC13*TimeToExpiration^0.5), 0, 1, TRUE)
)</f>
        <v>25.42348181</v>
      </c>
      <c r="CF13" s="7">
        <f>CF$2*(Underlying*EXP(-DividendYield*TimeToExpiration)*_xlfn.NORM.DIST(CF$2*(LN(Underlying/$H13)+(RiskFreeRate-DividendYield+0.5*CD13^2)*TimeToExpiration)/(CD13*TimeToExpiration^0.5), 0, 1, TRUE) - 
       $H13*EXP(-RiskFreeRate*TimeToExpiration)*_xlfn.NORM.DIST(CF$2*(LN(Underlying/$H13)+(RiskFreeRate-DividendYield-0.5*CD13^2)*TimeToExpiration)/(CD13*TimeToExpiration^0.5), 0, 1, TRUE)
)</f>
        <v>25.42940599</v>
      </c>
      <c r="CG13" s="40">
        <f t="shared" si="41"/>
        <v>0.4135821533</v>
      </c>
      <c r="CH13" s="8">
        <f>CH$2*(Underlying*EXP(-DividendYield*TimeToExpiration)*_xlfn.NORM.DIST(CH$2*(LN(Underlying/$H13)+(RiskFreeRate-DividendYield+0.5*CG13^2)*TimeToExpiration)/(CG13*TimeToExpiration^0.5), 0, 1, TRUE) - 
       $H13*EXP(-RiskFreeRate*TimeToExpiration)*_xlfn.NORM.DIST(CH$2*(LN(Underlying/$H13)+(RiskFreeRate-DividendYield-0.5*CG13^2)*TimeToExpiration)/(CG13*TimeToExpiration^0.5), 0, 1, TRUE)
)</f>
        <v>25.42644174</v>
      </c>
      <c r="CI13" s="40">
        <f t="shared" si="42"/>
        <v>0.4132160645</v>
      </c>
      <c r="CJ13" s="40">
        <f t="shared" si="43"/>
        <v>0.4135821533</v>
      </c>
      <c r="CK13" s="7">
        <f>CK$2*(Underlying*EXP(-DividendYield*TimeToExpiration)*_xlfn.NORM.DIST(CK$2*(LN(Underlying/$H13)+(RiskFreeRate-DividendYield+0.5*CI13^2)*TimeToExpiration)/(CI13*TimeToExpiration^0.5), 0, 1, TRUE) - 
       $H13*EXP(-RiskFreeRate*TimeToExpiration)*_xlfn.NORM.DIST(CK$2*(LN(Underlying/$H13)+(RiskFreeRate-DividendYield-0.5*CI13^2)*TimeToExpiration)/(CI13*TimeToExpiration^0.5), 0, 1, TRUE)
)</f>
        <v>25.42348181</v>
      </c>
      <c r="CL13" s="7">
        <f>CL$2*(Underlying*EXP(-DividendYield*TimeToExpiration)*_xlfn.NORM.DIST(CL$2*(LN(Underlying/$H13)+(RiskFreeRate-DividendYield+0.5*CJ13^2)*TimeToExpiration)/(CJ13*TimeToExpiration^0.5), 0, 1, TRUE) - 
       $H13*EXP(-RiskFreeRate*TimeToExpiration)*_xlfn.NORM.DIST(CL$2*(LN(Underlying/$H13)+(RiskFreeRate-DividendYield-0.5*CJ13^2)*TimeToExpiration)/(CJ13*TimeToExpiration^0.5), 0, 1, TRUE)
)</f>
        <v>25.42644174</v>
      </c>
      <c r="CM13" s="40">
        <f t="shared" si="44"/>
        <v>0.4133991089</v>
      </c>
      <c r="CN13" s="8">
        <f>CN$2*(Underlying*EXP(-DividendYield*TimeToExpiration)*_xlfn.NORM.DIST(CN$2*(LN(Underlying/$H13)+(RiskFreeRate-DividendYield+0.5*CM13^2)*TimeToExpiration)/(CM13*TimeToExpiration^0.5), 0, 1, TRUE) - 
       $H13*EXP(-RiskFreeRate*TimeToExpiration)*_xlfn.NORM.DIST(CN$2*(LN(Underlying/$H13)+(RiskFreeRate-DividendYield-0.5*CM13^2)*TimeToExpiration)/(CM13*TimeToExpiration^0.5), 0, 1, TRUE)
)</f>
        <v>25.42496123</v>
      </c>
      <c r="CO13" s="40">
        <f t="shared" si="45"/>
        <v>0.4133991089</v>
      </c>
      <c r="CP13" s="40">
        <f t="shared" si="46"/>
        <v>0.4135821533</v>
      </c>
      <c r="CQ13" s="7">
        <f>CQ$2*(Underlying*EXP(-DividendYield*TimeToExpiration)*_xlfn.NORM.DIST(CQ$2*(LN(Underlying/$H13)+(RiskFreeRate-DividendYield+0.5*CO13^2)*TimeToExpiration)/(CO13*TimeToExpiration^0.5), 0, 1, TRUE) - 
       $H13*EXP(-RiskFreeRate*TimeToExpiration)*_xlfn.NORM.DIST(CQ$2*(LN(Underlying/$H13)+(RiskFreeRate-DividendYield-0.5*CO13^2)*TimeToExpiration)/(CO13*TimeToExpiration^0.5), 0, 1, TRUE)
)</f>
        <v>25.42496123</v>
      </c>
      <c r="CR13" s="7">
        <f>CR$2*(Underlying*EXP(-DividendYield*TimeToExpiration)*_xlfn.NORM.DIST(CR$2*(LN(Underlying/$H13)+(RiskFreeRate-DividendYield+0.5*CP13^2)*TimeToExpiration)/(CP13*TimeToExpiration^0.5), 0, 1, TRUE) - 
       $H13*EXP(-RiskFreeRate*TimeToExpiration)*_xlfn.NORM.DIST(CR$2*(LN(Underlying/$H13)+(RiskFreeRate-DividendYield-0.5*CP13^2)*TimeToExpiration)/(CP13*TimeToExpiration^0.5), 0, 1, TRUE)
)</f>
        <v>25.42644174</v>
      </c>
      <c r="CS13" s="40">
        <f t="shared" si="47"/>
        <v>0.4134906311</v>
      </c>
      <c r="CT13" s="8">
        <f>CT$2*(Underlying*EXP(-DividendYield*TimeToExpiration)*_xlfn.NORM.DIST(CT$2*(LN(Underlying/$H13)+(RiskFreeRate-DividendYield+0.5*CS13^2)*TimeToExpiration)/(CS13*TimeToExpiration^0.5), 0, 1, TRUE) - 
       $H13*EXP(-RiskFreeRate*TimeToExpiration)*_xlfn.NORM.DIST(CT$2*(LN(Underlying/$H13)+(RiskFreeRate-DividendYield-0.5*CS13^2)*TimeToExpiration)/(CS13*TimeToExpiration^0.5), 0, 1, TRUE)
)</f>
        <v>25.42570135</v>
      </c>
      <c r="CU13" s="40">
        <f t="shared" si="48"/>
        <v>0.4133991089</v>
      </c>
      <c r="CV13" s="40">
        <f t="shared" si="49"/>
        <v>0.4134906311</v>
      </c>
      <c r="CW13" s="7">
        <f>CW$2*(Underlying*EXP(-DividendYield*TimeToExpiration)*_xlfn.NORM.DIST(CW$2*(LN(Underlying/$H13)+(RiskFreeRate-DividendYield+0.5*CU13^2)*TimeToExpiration)/(CU13*TimeToExpiration^0.5), 0, 1, TRUE) - 
       $H13*EXP(-RiskFreeRate*TimeToExpiration)*_xlfn.NORM.DIST(CW$2*(LN(Underlying/$H13)+(RiskFreeRate-DividendYield-0.5*CU13^2)*TimeToExpiration)/(CU13*TimeToExpiration^0.5), 0, 1, TRUE)
)</f>
        <v>25.42496123</v>
      </c>
      <c r="CX13" s="7">
        <f>CX$2*(Underlying*EXP(-DividendYield*TimeToExpiration)*_xlfn.NORM.DIST(CX$2*(LN(Underlying/$H13)+(RiskFreeRate-DividendYield+0.5*CV13^2)*TimeToExpiration)/(CV13*TimeToExpiration^0.5), 0, 1, TRUE) - 
       $H13*EXP(-RiskFreeRate*TimeToExpiration)*_xlfn.NORM.DIST(CX$2*(LN(Underlying/$H13)+(RiskFreeRate-DividendYield-0.5*CV13^2)*TimeToExpiration)/(CV13*TimeToExpiration^0.5), 0, 1, TRUE)
)</f>
        <v>25.42570135</v>
      </c>
      <c r="CY13" s="40">
        <f t="shared" si="50"/>
        <v>0.41344487</v>
      </c>
      <c r="CZ13" s="8">
        <f>CZ$2*(Underlying*EXP(-DividendYield*TimeToExpiration)*_xlfn.NORM.DIST(CZ$2*(LN(Underlying/$H13)+(RiskFreeRate-DividendYield+0.5*CY13^2)*TimeToExpiration)/(CY13*TimeToExpiration^0.5), 0, 1, TRUE) - 
       $H13*EXP(-RiskFreeRate*TimeToExpiration)*_xlfn.NORM.DIST(CZ$2*(LN(Underlying/$H13)+(RiskFreeRate-DividendYield-0.5*CY13^2)*TimeToExpiration)/(CY13*TimeToExpiration^0.5), 0, 1, TRUE)
)</f>
        <v>25.42533126</v>
      </c>
      <c r="DA13" s="40">
        <f t="shared" si="51"/>
        <v>0.4133991089</v>
      </c>
      <c r="DB13" s="40">
        <f t="shared" si="52"/>
        <v>0.41344487</v>
      </c>
      <c r="DC13" s="7">
        <f>DC$2*(Underlying*EXP(-DividendYield*TimeToExpiration)*_xlfn.NORM.DIST(DC$2*(LN(Underlying/$H13)+(RiskFreeRate-DividendYield+0.5*DA13^2)*TimeToExpiration)/(DA13*TimeToExpiration^0.5), 0, 1, TRUE) - 
       $H13*EXP(-RiskFreeRate*TimeToExpiration)*_xlfn.NORM.DIST(DC$2*(LN(Underlying/$H13)+(RiskFreeRate-DividendYield-0.5*DA13^2)*TimeToExpiration)/(DA13*TimeToExpiration^0.5), 0, 1, TRUE)
)</f>
        <v>25.42496123</v>
      </c>
      <c r="DD13" s="7">
        <f>DD$2*(Underlying*EXP(-DividendYield*TimeToExpiration)*_xlfn.NORM.DIST(DD$2*(LN(Underlying/$H13)+(RiskFreeRate-DividendYield+0.5*DB13^2)*TimeToExpiration)/(DB13*TimeToExpiration^0.5), 0, 1, TRUE) - 
       $H13*EXP(-RiskFreeRate*TimeToExpiration)*_xlfn.NORM.DIST(DD$2*(LN(Underlying/$H13)+(RiskFreeRate-DividendYield-0.5*DB13^2)*TimeToExpiration)/(DB13*TimeToExpiration^0.5), 0, 1, TRUE)
)</f>
        <v>25.42533126</v>
      </c>
      <c r="DE13" s="40">
        <f t="shared" si="53"/>
        <v>0.4134219894</v>
      </c>
      <c r="DF13" s="8">
        <f>DF$2*(Underlying*EXP(-DividendYield*TimeToExpiration)*_xlfn.NORM.DIST(DF$2*(LN(Underlying/$H13)+(RiskFreeRate-DividendYield+0.5*DE13^2)*TimeToExpiration)/(DE13*TimeToExpiration^0.5), 0, 1, TRUE) - 
       $H13*EXP(-RiskFreeRate*TimeToExpiration)*_xlfn.NORM.DIST(DF$2*(LN(Underlying/$H13)+(RiskFreeRate-DividendYield-0.5*DE13^2)*TimeToExpiration)/(DE13*TimeToExpiration^0.5), 0, 1, TRUE)
)</f>
        <v>25.42514624</v>
      </c>
    </row>
    <row r="14">
      <c r="A14" s="20">
        <f>'Option Mkt Data'!A14</f>
        <v>317.5</v>
      </c>
      <c r="B14" s="35">
        <f t="shared" ref="B14:C14" si="61">DE14</f>
        <v>0.3920973129</v>
      </c>
      <c r="C14" s="7">
        <f t="shared" si="61"/>
        <v>23.02486154</v>
      </c>
      <c r="D14" s="7">
        <f t="shared" si="3"/>
        <v>0.0001399867819</v>
      </c>
      <c r="E14" s="9">
        <f t="shared" si="4"/>
        <v>0.000006079772968</v>
      </c>
      <c r="F14" s="36">
        <f>D14/'Option Mkt Data'!L14</f>
        <v>0.0002153612482</v>
      </c>
      <c r="G14" s="5">
        <f>'Option Mkt Data'!J14</f>
        <v>23.02500153</v>
      </c>
      <c r="H14" s="33">
        <f>'Option Mkt Data'!A14</f>
        <v>317.5</v>
      </c>
      <c r="I14" s="37">
        <f>MinSolverVola</f>
        <v>0.001</v>
      </c>
      <c r="J14" s="38">
        <f>MaxSolverVola</f>
        <v>3</v>
      </c>
      <c r="K14" s="39">
        <f>K$2*(Underlying*EXP(-DividendYield*TimeToExpiration)*_xlfn.NORM.DIST(K$2*(LN(Underlying/$H14)+(RiskFreeRate-DividendYield+0.5*I14^2)*TimeToExpiration)/(I14*TimeToExpiration^0.5), 0, 1, TRUE) - 
       $H14*EXP(-RiskFreeRate*TimeToExpiration)*_xlfn.NORM.DIST(K$2*(LN(Underlying/$H14)+(RiskFreeRate-DividendYield-0.5*I14^2)*TimeToExpiration)/(I14*TimeToExpiration^0.5), 0, 1, TRUE)
)</f>
        <v>22.02683952</v>
      </c>
      <c r="L14" s="7">
        <f>L$2*(Underlying*EXP(-DividendYield*TimeToExpiration)*_xlfn.NORM.DIST(L$2*(LN(Underlying/$H14)+(RiskFreeRate-DividendYield+0.5*J14^2)*TimeToExpiration)/(J14*TimeToExpiration^0.5), 0, 1, TRUE) - 
       $H14*EXP(-RiskFreeRate*TimeToExpiration)*_xlfn.NORM.DIST(L$2*(LN(Underlying/$H14)+(RiskFreeRate-DividendYield-0.5*J14^2)*TimeToExpiration)/(J14*TimeToExpiration^0.5), 0, 1, TRUE)
)</f>
        <v>66.83153434</v>
      </c>
      <c r="M14" s="40">
        <f t="shared" si="5"/>
        <v>1.5005</v>
      </c>
      <c r="N14" s="8">
        <f>N$2*(Underlying*EXP(-DividendYield*TimeToExpiration)*_xlfn.NORM.DIST(N$2*(LN(Underlying/$H14)+(RiskFreeRate-DividendYield+0.5*M14^2)*TimeToExpiration)/(M14*TimeToExpiration^0.5), 0, 1, TRUE) - 
       $H14*EXP(-RiskFreeRate*TimeToExpiration)*_xlfn.NORM.DIST(N$2*(LN(Underlying/$H14)+(RiskFreeRate-DividendYield-0.5*M14^2)*TimeToExpiration)/(M14*TimeToExpiration^0.5), 0, 1, TRUE)
)</f>
        <v>40.11815301</v>
      </c>
      <c r="O14" s="41">
        <f t="shared" si="6"/>
        <v>0.001</v>
      </c>
      <c r="P14" s="40">
        <f t="shared" si="7"/>
        <v>1.5005</v>
      </c>
      <c r="Q14" s="7">
        <f>Q$2*(Underlying*EXP(-DividendYield*TimeToExpiration)*_xlfn.NORM.DIST(Q$2*(LN(Underlying/$H14)+(RiskFreeRate-DividendYield+0.5*O14^2)*TimeToExpiration)/(O14*TimeToExpiration^0.5), 0, 1, TRUE) - 
       $H14*EXP(-RiskFreeRate*TimeToExpiration)*_xlfn.NORM.DIST(Q$2*(LN(Underlying/$H14)+(RiskFreeRate-DividendYield-0.5*O14^2)*TimeToExpiration)/(O14*TimeToExpiration^0.5), 0, 1, TRUE))</f>
        <v>22.02683952</v>
      </c>
      <c r="R14" s="7">
        <f>R$2*(Underlying*EXP(-DividendYield*TimeToExpiration)*_xlfn.NORM.DIST(R$2*(LN(Underlying/$H14)+(RiskFreeRate-DividendYield+0.5*P14^2)*TimeToExpiration)/(P14*TimeToExpiration^0.5), 0, 1, TRUE) - 
       $H14*EXP(-RiskFreeRate*TimeToExpiration)*_xlfn.NORM.DIST(R$2*(LN(Underlying/$H14)+(RiskFreeRate-DividendYield-0.5*P14^2)*TimeToExpiration)/(P14*TimeToExpiration^0.5), 0, 1, TRUE)
)</f>
        <v>40.11815301</v>
      </c>
      <c r="S14" s="40">
        <f t="shared" si="8"/>
        <v>0.75075</v>
      </c>
      <c r="T14" s="8">
        <f>T$2*(Underlying*EXP(-DividendYield*TimeToExpiration)*_xlfn.NORM.DIST(T$2*(LN(Underlying/$H14)+(RiskFreeRate-DividendYield+0.5*S14^2)*TimeToExpiration)/(S14*TimeToExpiration^0.5), 0, 1, TRUE) - 
       $H14*EXP(-RiskFreeRate*TimeToExpiration)*_xlfn.NORM.DIST(T$2*(LN(Underlying/$H14)+(RiskFreeRate-DividendYield-0.5*S14^2)*TimeToExpiration)/(S14*TimeToExpiration^0.5), 0, 1, TRUE)
)</f>
        <v>27.59440543</v>
      </c>
      <c r="U14" s="41">
        <f t="shared" si="9"/>
        <v>0.001</v>
      </c>
      <c r="V14" s="40">
        <f t="shared" si="10"/>
        <v>0.75075</v>
      </c>
      <c r="W14" s="7">
        <f>W$2*(Underlying*EXP(-DividendYield*TimeToExpiration)*_xlfn.NORM.DIST(W$2*(LN(Underlying/$H14)+(RiskFreeRate-DividendYield+0.5*U14^2)*TimeToExpiration)/(U14*TimeToExpiration^0.5), 0, 1, TRUE) - 
       $H14*EXP(-RiskFreeRate*TimeToExpiration)*_xlfn.NORM.DIST(W$2*(LN(Underlying/$H14)+(RiskFreeRate-DividendYield-0.5*U14^2)*TimeToExpiration)/(U14*TimeToExpiration^0.5), 0, 1, TRUE)
)</f>
        <v>22.02683952</v>
      </c>
      <c r="X14" s="7">
        <f>X$2*(Underlying*EXP(-DividendYield*TimeToExpiration)*_xlfn.NORM.DIST(X$2*(LN(Underlying/$H14)+(RiskFreeRate-DividendYield+0.5*V14^2)*TimeToExpiration)/(V14*TimeToExpiration^0.5), 0, 1, TRUE) - 
       $H14*EXP(-RiskFreeRate*TimeToExpiration)*_xlfn.NORM.DIST(X$2*(LN(Underlying/$H14)+(RiskFreeRate-DividendYield-0.5*V14^2)*TimeToExpiration)/(V14*TimeToExpiration^0.5), 0, 1, TRUE)
)</f>
        <v>27.59440543</v>
      </c>
      <c r="Y14" s="40">
        <f t="shared" si="11"/>
        <v>0.375875</v>
      </c>
      <c r="Z14" s="8">
        <f>Z$2*(Underlying*EXP(-DividendYield*TimeToExpiration)*_xlfn.NORM.DIST(Z$2*(LN(Underlying/$H14)+(RiskFreeRate-DividendYield+0.5*Y14^2)*TimeToExpiration)/(Y14*TimeToExpiration^0.5), 0, 1, TRUE) - 
       $H14*EXP(-RiskFreeRate*TimeToExpiration)*_xlfn.NORM.DIST(Z$2*(LN(Underlying/$H14)+(RiskFreeRate-DividendYield-0.5*Y14^2)*TimeToExpiration)/(Y14*TimeToExpiration^0.5), 0, 1, TRUE)
)</f>
        <v>22.88511585</v>
      </c>
      <c r="AA14" s="40">
        <f t="shared" si="12"/>
        <v>0.375875</v>
      </c>
      <c r="AB14" s="40">
        <f t="shared" si="13"/>
        <v>0.75075</v>
      </c>
      <c r="AC14" s="7">
        <f>AC$2*(Underlying*EXP(-DividendYield*TimeToExpiration)*_xlfn.NORM.DIST(AC$2*(LN(Underlying/$H14)+(RiskFreeRate-DividendYield+0.5*AA14^2)*TimeToExpiration)/(AA14*TimeToExpiration^0.5), 0, 1, TRUE) - 
       $H14*EXP(-RiskFreeRate*TimeToExpiration)*_xlfn.NORM.DIST(AC$2*(LN(Underlying/$H14)+(RiskFreeRate-DividendYield-0.5*AA14^2)*TimeToExpiration)/(AA14*TimeToExpiration^0.5), 0, 1, TRUE)
)</f>
        <v>22.88511585</v>
      </c>
      <c r="AD14" s="7">
        <f>AD$2*(Underlying*EXP(-DividendYield*TimeToExpiration)*_xlfn.NORM.DIST(AD$2*(LN(Underlying/$H14)+(RiskFreeRate-DividendYield+0.5*AB14^2)*TimeToExpiration)/(AB14*TimeToExpiration^0.5), 0, 1, TRUE) - 
       $H14*EXP(-RiskFreeRate*TimeToExpiration)*_xlfn.NORM.DIST(AD$2*(LN(Underlying/$H14)+(RiskFreeRate-DividendYield-0.5*AB14^2)*TimeToExpiration)/(AB14*TimeToExpiration^0.5), 0, 1, TRUE)
)</f>
        <v>27.59440543</v>
      </c>
      <c r="AE14" s="40">
        <f t="shared" si="14"/>
        <v>0.5633125</v>
      </c>
      <c r="AF14" s="8">
        <f>AF$2*(Underlying*EXP(-DividendYield*TimeToExpiration)*_xlfn.NORM.DIST(AF$2*(LN(Underlying/$H14)+(RiskFreeRate-DividendYield+0.5*AE14^2)*TimeToExpiration)/(AE14*TimeToExpiration^0.5), 0, 1, TRUE) - 
       $H14*EXP(-RiskFreeRate*TimeToExpiration)*_xlfn.NORM.DIST(AF$2*(LN(Underlying/$H14)+(RiskFreeRate-DividendYield-0.5*AE14^2)*TimeToExpiration)/(AE14*TimeToExpiration^0.5), 0, 1, TRUE)
)</f>
        <v>24.9371043</v>
      </c>
      <c r="AG14" s="40">
        <f t="shared" si="15"/>
        <v>0.375875</v>
      </c>
      <c r="AH14" s="40">
        <f t="shared" si="16"/>
        <v>0.5633125</v>
      </c>
      <c r="AI14" s="7">
        <f>AI$2*(Underlying*EXP(-DividendYield*TimeToExpiration)*_xlfn.NORM.DIST(AI$2*(LN(Underlying/$H14)+(RiskFreeRate-DividendYield+0.5*AG14^2)*TimeToExpiration)/(AG14*TimeToExpiration^0.5), 0, 1, TRUE) - 
       $H14*EXP(-RiskFreeRate*TimeToExpiration)*_xlfn.NORM.DIST(AI$2*(LN(Underlying/$H14)+(RiskFreeRate-DividendYield-0.5*AG14^2)*TimeToExpiration)/(AG14*TimeToExpiration^0.5), 0, 1, TRUE)
)</f>
        <v>22.88511585</v>
      </c>
      <c r="AJ14" s="7">
        <f>AJ$2*(Underlying*EXP(-DividendYield*TimeToExpiration)*_xlfn.NORM.DIST(AJ$2*(LN(Underlying/$H14)+(RiskFreeRate-DividendYield+0.5*AH14^2)*TimeToExpiration)/(AH14*TimeToExpiration^0.5), 0, 1, TRUE) - 
       $H14*EXP(-RiskFreeRate*TimeToExpiration)*_xlfn.NORM.DIST(AJ$2*(LN(Underlying/$H14)+(RiskFreeRate-DividendYield-0.5*AH14^2)*TimeToExpiration)/(AH14*TimeToExpiration^0.5), 0, 1, TRUE)
)</f>
        <v>24.9371043</v>
      </c>
      <c r="AK14" s="40">
        <f t="shared" si="17"/>
        <v>0.46959375</v>
      </c>
      <c r="AL14" s="8">
        <f>AL$2*(Underlying*EXP(-DividendYield*TimeToExpiration)*_xlfn.NORM.DIST(AL$2*(LN(Underlying/$H14)+(RiskFreeRate-DividendYield+0.5*AK14^2)*TimeToExpiration)/(AK14*TimeToExpiration^0.5), 0, 1, TRUE) - 
       $H14*EXP(-RiskFreeRate*TimeToExpiration)*_xlfn.NORM.DIST(AL$2*(LN(Underlying/$H14)+(RiskFreeRate-DividendYield-0.5*AK14^2)*TimeToExpiration)/(AK14*TimeToExpiration^0.5), 0, 1, TRUE)
)</f>
        <v>23.80385665</v>
      </c>
      <c r="AM14" s="40">
        <f t="shared" si="18"/>
        <v>0.375875</v>
      </c>
      <c r="AN14" s="40">
        <f t="shared" si="19"/>
        <v>0.46959375</v>
      </c>
      <c r="AO14" s="7">
        <f>AO$2*(Underlying*EXP(-DividendYield*TimeToExpiration)*_xlfn.NORM.DIST(AO$2*(LN(Underlying/$H14)+(RiskFreeRate-DividendYield+0.5*AM14^2)*TimeToExpiration)/(AM14*TimeToExpiration^0.5), 0, 1, TRUE) - 
       $H14*EXP(-RiskFreeRate*TimeToExpiration)*_xlfn.NORM.DIST(AO$2*(LN(Underlying/$H14)+(RiskFreeRate-DividendYield-0.5*AM14^2)*TimeToExpiration)/(AM14*TimeToExpiration^0.5), 0, 1, TRUE)
)</f>
        <v>22.88511585</v>
      </c>
      <c r="AP14" s="7">
        <f>AP$2*(Underlying*EXP(-DividendYield*TimeToExpiration)*_xlfn.NORM.DIST(AP$2*(LN(Underlying/$H14)+(RiskFreeRate-DividendYield+0.5*AN14^2)*TimeToExpiration)/(AN14*TimeToExpiration^0.5), 0, 1, TRUE) - 
       $H14*EXP(-RiskFreeRate*TimeToExpiration)*_xlfn.NORM.DIST(AP$2*(LN(Underlying/$H14)+(RiskFreeRate-DividendYield-0.5*AN14^2)*TimeToExpiration)/(AN14*TimeToExpiration^0.5), 0, 1, TRUE)
)</f>
        <v>23.80385665</v>
      </c>
      <c r="AQ14" s="40">
        <f t="shared" si="20"/>
        <v>0.422734375</v>
      </c>
      <c r="AR14" s="8">
        <f>AR$2*(Underlying*EXP(-DividendYield*TimeToExpiration)*_xlfn.NORM.DIST(AR$2*(LN(Underlying/$H14)+(RiskFreeRate-DividendYield+0.5*AQ14^2)*TimeToExpiration)/(AQ14*TimeToExpiration^0.5), 0, 1, TRUE) - 
       $H14*EXP(-RiskFreeRate*TimeToExpiration)*_xlfn.NORM.DIST(AR$2*(LN(Underlying/$H14)+(RiskFreeRate-DividendYield-0.5*AQ14^2)*TimeToExpiration)/(AQ14*TimeToExpiration^0.5), 0, 1, TRUE)
)</f>
        <v>23.31218546</v>
      </c>
      <c r="AS14" s="40">
        <f t="shared" si="21"/>
        <v>0.375875</v>
      </c>
      <c r="AT14" s="40">
        <f t="shared" si="22"/>
        <v>0.422734375</v>
      </c>
      <c r="AU14" s="7">
        <f>AU$2*(Underlying*EXP(-DividendYield*TimeToExpiration)*_xlfn.NORM.DIST(AU$2*(LN(Underlying/$H14)+(RiskFreeRate-DividendYield+0.5*AS14^2)*TimeToExpiration)/(AS14*TimeToExpiration^0.5), 0, 1, TRUE) - 
       $H14*EXP(-RiskFreeRate*TimeToExpiration)*_xlfn.NORM.DIST(AU$2*(LN(Underlying/$H14)+(RiskFreeRate-DividendYield-0.5*AS14^2)*TimeToExpiration)/(AS14*TimeToExpiration^0.5), 0, 1, TRUE)
)</f>
        <v>22.88511585</v>
      </c>
      <c r="AV14" s="7">
        <f>AV$2*(Underlying*EXP(-DividendYield*TimeToExpiration)*_xlfn.NORM.DIST(AV$2*(LN(Underlying/$H14)+(RiskFreeRate-DividendYield+0.5*AT14^2)*TimeToExpiration)/(AT14*TimeToExpiration^0.5), 0, 1, TRUE) - 
       $H14*EXP(-RiskFreeRate*TimeToExpiration)*_xlfn.NORM.DIST(AV$2*(LN(Underlying/$H14)+(RiskFreeRate-DividendYield-0.5*AT14^2)*TimeToExpiration)/(AT14*TimeToExpiration^0.5), 0, 1, TRUE)
)</f>
        <v>23.31218546</v>
      </c>
      <c r="AW14" s="40">
        <f t="shared" si="23"/>
        <v>0.3993046875</v>
      </c>
      <c r="AX14" s="8">
        <f>AX$2*(Underlying*EXP(-DividendYield*TimeToExpiration)*_xlfn.NORM.DIST(AX$2*(LN(Underlying/$H14)+(RiskFreeRate-DividendYield+0.5*AW14^2)*TimeToExpiration)/(AW14*TimeToExpiration^0.5), 0, 1, TRUE) - 
       $H14*EXP(-RiskFreeRate*TimeToExpiration)*_xlfn.NORM.DIST(AX$2*(LN(Underlying/$H14)+(RiskFreeRate-DividendYield-0.5*AW14^2)*TimeToExpiration)/(AW14*TimeToExpiration^0.5), 0, 1, TRUE)
)</f>
        <v>23.08978661</v>
      </c>
      <c r="AY14" s="40">
        <f t="shared" si="24"/>
        <v>0.375875</v>
      </c>
      <c r="AZ14" s="40">
        <f t="shared" si="25"/>
        <v>0.3993046875</v>
      </c>
      <c r="BA14" s="7">
        <f>BA$2*(Underlying*EXP(-DividendYield*TimeToExpiration)*_xlfn.NORM.DIST(BA$2*(LN(Underlying/$H14)+(RiskFreeRate-DividendYield+0.5*AY14^2)*TimeToExpiration)/(AY14*TimeToExpiration^0.5), 0, 1, TRUE) - 
       $H14*EXP(-RiskFreeRate*TimeToExpiration)*_xlfn.NORM.DIST(BA$2*(LN(Underlying/$H14)+(RiskFreeRate-DividendYield-0.5*AY14^2)*TimeToExpiration)/(AY14*TimeToExpiration^0.5), 0, 1, TRUE)
)</f>
        <v>22.88511585</v>
      </c>
      <c r="BB14" s="7">
        <f>BB$2*(Underlying*EXP(-DividendYield*TimeToExpiration)*_xlfn.NORM.DIST(BB$2*(LN(Underlying/$H14)+(RiskFreeRate-DividendYield+0.5*AZ14^2)*TimeToExpiration)/(AZ14*TimeToExpiration^0.5), 0, 1, TRUE) - 
       $H14*EXP(-RiskFreeRate*TimeToExpiration)*_xlfn.NORM.DIST(BB$2*(LN(Underlying/$H14)+(RiskFreeRate-DividendYield-0.5*AZ14^2)*TimeToExpiration)/(AZ14*TimeToExpiration^0.5), 0, 1, TRUE)
)</f>
        <v>23.08978661</v>
      </c>
      <c r="BC14" s="40">
        <f t="shared" si="26"/>
        <v>0.3875898438</v>
      </c>
      <c r="BD14" s="8">
        <f>BD$2*(Underlying*EXP(-DividendYield*TimeToExpiration)*_xlfn.NORM.DIST(BD$2*(LN(Underlying/$H14)+(RiskFreeRate-DividendYield+0.5*BC14^2)*TimeToExpiration)/(BC14*TimeToExpiration^0.5), 0, 1, TRUE) - 
       $H14*EXP(-RiskFreeRate*TimeToExpiration)*_xlfn.NORM.DIST(BD$2*(LN(Underlying/$H14)+(RiskFreeRate-DividendYield-0.5*BC14^2)*TimeToExpiration)/(BC14*TimeToExpiration^0.5), 0, 1, TRUE)
)</f>
        <v>22.98513149</v>
      </c>
      <c r="BE14" s="40">
        <f t="shared" si="27"/>
        <v>0.3875898438</v>
      </c>
      <c r="BF14" s="40">
        <f t="shared" si="28"/>
        <v>0.3993046875</v>
      </c>
      <c r="BG14" s="7">
        <f>BG$2*(Underlying*EXP(-DividendYield*TimeToExpiration)*_xlfn.NORM.DIST(BG$2*(LN(Underlying/$H14)+(RiskFreeRate-DividendYield+0.5*BE14^2)*TimeToExpiration)/(BE14*TimeToExpiration^0.5), 0, 1, TRUE) - 
       $H14*EXP(-RiskFreeRate*TimeToExpiration)*_xlfn.NORM.DIST(BG$2*(LN(Underlying/$H14)+(RiskFreeRate-DividendYield-0.5*BE14^2)*TimeToExpiration)/(BE14*TimeToExpiration^0.5), 0, 1, TRUE)
)</f>
        <v>22.98513149</v>
      </c>
      <c r="BH14" s="7">
        <f>BH$2*(Underlying*EXP(-DividendYield*TimeToExpiration)*_xlfn.NORM.DIST(BH$2*(LN(Underlying/$H14)+(RiskFreeRate-DividendYield+0.5*BF14^2)*TimeToExpiration)/(BF14*TimeToExpiration^0.5), 0, 1, TRUE) - 
       $H14*EXP(-RiskFreeRate*TimeToExpiration)*_xlfn.NORM.DIST(BH$2*(LN(Underlying/$H14)+(RiskFreeRate-DividendYield-0.5*BF14^2)*TimeToExpiration)/(BF14*TimeToExpiration^0.5), 0, 1, TRUE)
)</f>
        <v>23.08978661</v>
      </c>
      <c r="BI14" s="40">
        <f t="shared" si="29"/>
        <v>0.3934472656</v>
      </c>
      <c r="BJ14" s="8">
        <f>BJ$2*(Underlying*EXP(-DividendYield*TimeToExpiration)*_xlfn.NORM.DIST(BJ$2*(LN(Underlying/$H14)+(RiskFreeRate-DividendYield+0.5*BI14^2)*TimeToExpiration)/(BI14*TimeToExpiration^0.5), 0, 1, TRUE) - 
       $H14*EXP(-RiskFreeRate*TimeToExpiration)*_xlfn.NORM.DIST(BJ$2*(LN(Underlying/$H14)+(RiskFreeRate-DividendYield-0.5*BI14^2)*TimeToExpiration)/(BI14*TimeToExpiration^0.5), 0, 1, TRUE)
)</f>
        <v>23.03689225</v>
      </c>
      <c r="BK14" s="40">
        <f t="shared" si="30"/>
        <v>0.3875898438</v>
      </c>
      <c r="BL14" s="40">
        <f t="shared" si="31"/>
        <v>0.3934472656</v>
      </c>
      <c r="BM14" s="7">
        <f>BM$2*(Underlying*EXP(-DividendYield*TimeToExpiration)*_xlfn.NORM.DIST(BM$2*(LN(Underlying/$H14)+(RiskFreeRate-DividendYield+0.5*BK14^2)*TimeToExpiration)/(BK14*TimeToExpiration^0.5), 0, 1, TRUE) - 
       $H14*EXP(-RiskFreeRate*TimeToExpiration)*_xlfn.NORM.DIST(BM$2*(LN(Underlying/$H14)+(RiskFreeRate-DividendYield-0.5*BK14^2)*TimeToExpiration)/(BK14*TimeToExpiration^0.5), 0, 1, TRUE)
)</f>
        <v>22.98513149</v>
      </c>
      <c r="BN14" s="7">
        <f>BN$2*(Underlying*EXP(-DividendYield*TimeToExpiration)*_xlfn.NORM.DIST(BN$2*(LN(Underlying/$H14)+(RiskFreeRate-DividendYield+0.5*BL14^2)*TimeToExpiration)/(BL14*TimeToExpiration^0.5), 0, 1, TRUE) - 
       $H14*EXP(-RiskFreeRate*TimeToExpiration)*_xlfn.NORM.DIST(BN$2*(LN(Underlying/$H14)+(RiskFreeRate-DividendYield-0.5*BL14^2)*TimeToExpiration)/(BL14*TimeToExpiration^0.5), 0, 1, TRUE)
)</f>
        <v>23.03689225</v>
      </c>
      <c r="BO14" s="40">
        <f t="shared" si="32"/>
        <v>0.3905185547</v>
      </c>
      <c r="BP14" s="8">
        <f>BP$2*(Underlying*EXP(-DividendYield*TimeToExpiration)*_xlfn.NORM.DIST(BP$2*(LN(Underlying/$H14)+(RiskFreeRate-DividendYield+0.5*BO14^2)*TimeToExpiration)/(BO14*TimeToExpiration^0.5), 0, 1, TRUE) - 
       $H14*EXP(-RiskFreeRate*TimeToExpiration)*_xlfn.NORM.DIST(BP$2*(LN(Underlying/$H14)+(RiskFreeRate-DividendYield-0.5*BO14^2)*TimeToExpiration)/(BO14*TimeToExpiration^0.5), 0, 1, TRUE)
)</f>
        <v>23.01086854</v>
      </c>
      <c r="BQ14" s="40">
        <f t="shared" si="33"/>
        <v>0.3905185547</v>
      </c>
      <c r="BR14" s="40">
        <f t="shared" si="34"/>
        <v>0.3934472656</v>
      </c>
      <c r="BS14" s="7">
        <f>BS$2*(Underlying*EXP(-DividendYield*TimeToExpiration)*_xlfn.NORM.DIST(BS$2*(LN(Underlying/$H14)+(RiskFreeRate-DividendYield+0.5*BQ14^2)*TimeToExpiration)/(BQ14*TimeToExpiration^0.5), 0, 1, TRUE) - 
       $H14*EXP(-RiskFreeRate*TimeToExpiration)*_xlfn.NORM.DIST(BS$2*(LN(Underlying/$H14)+(RiskFreeRate-DividendYield-0.5*BQ14^2)*TimeToExpiration)/(BQ14*TimeToExpiration^0.5), 0, 1, TRUE)
)</f>
        <v>23.01086854</v>
      </c>
      <c r="BT14" s="7">
        <f>BT$2*(Underlying*EXP(-DividendYield*TimeToExpiration)*_xlfn.NORM.DIST(BT$2*(LN(Underlying/$H14)+(RiskFreeRate-DividendYield+0.5*BR14^2)*TimeToExpiration)/(BR14*TimeToExpiration^0.5), 0, 1, TRUE) - 
       $H14*EXP(-RiskFreeRate*TimeToExpiration)*_xlfn.NORM.DIST(BT$2*(LN(Underlying/$H14)+(RiskFreeRate-DividendYield-0.5*BR14^2)*TimeToExpiration)/(BR14*TimeToExpiration^0.5), 0, 1, TRUE)
)</f>
        <v>23.03689225</v>
      </c>
      <c r="BU14" s="40">
        <f t="shared" si="35"/>
        <v>0.3919829102</v>
      </c>
      <c r="BV14" s="8">
        <f>BV$2*(Underlying*EXP(-DividendYield*TimeToExpiration)*_xlfn.NORM.DIST(BV$2*(LN(Underlying/$H14)+(RiskFreeRate-DividendYield+0.5*BU14^2)*TimeToExpiration)/(BU14*TimeToExpiration^0.5), 0, 1, TRUE) - 
       $H14*EXP(-RiskFreeRate*TimeToExpiration)*_xlfn.NORM.DIST(BV$2*(LN(Underlying/$H14)+(RiskFreeRate-DividendYield-0.5*BU14^2)*TimeToExpiration)/(BU14*TimeToExpiration^0.5), 0, 1, TRUE)
)</f>
        <v>23.02384476</v>
      </c>
      <c r="BW14" s="40">
        <f t="shared" si="36"/>
        <v>0.3919829102</v>
      </c>
      <c r="BX14" s="40">
        <f t="shared" si="37"/>
        <v>0.3934472656</v>
      </c>
      <c r="BY14" s="7">
        <f>BY$2*(Underlying*EXP(-DividendYield*TimeToExpiration)*_xlfn.NORM.DIST(BY$2*(LN(Underlying/$H14)+(RiskFreeRate-DividendYield+0.5*BW14^2)*TimeToExpiration)/(BW14*TimeToExpiration^0.5), 0, 1, TRUE) - 
       $H14*EXP(-RiskFreeRate*TimeToExpiration)*_xlfn.NORM.DIST(BY$2*(LN(Underlying/$H14)+(RiskFreeRate-DividendYield-0.5*BW14^2)*TimeToExpiration)/(BW14*TimeToExpiration^0.5), 0, 1, TRUE)
)</f>
        <v>23.02384476</v>
      </c>
      <c r="BZ14" s="7">
        <f>BZ$2*(Underlying*EXP(-DividendYield*TimeToExpiration)*_xlfn.NORM.DIST(BZ$2*(LN(Underlying/$H14)+(RiskFreeRate-DividendYield+0.5*BX14^2)*TimeToExpiration)/(BX14*TimeToExpiration^0.5), 0, 1, TRUE) - 
       $H14*EXP(-RiskFreeRate*TimeToExpiration)*_xlfn.NORM.DIST(BZ$2*(LN(Underlying/$H14)+(RiskFreeRate-DividendYield-0.5*BX14^2)*TimeToExpiration)/(BX14*TimeToExpiration^0.5), 0, 1, TRUE)
)</f>
        <v>23.03689225</v>
      </c>
      <c r="CA14" s="40">
        <f t="shared" si="38"/>
        <v>0.3927150879</v>
      </c>
      <c r="CB14" s="8">
        <f>CB$2*(Underlying*EXP(-DividendYield*TimeToExpiration)*_xlfn.NORM.DIST(CB$2*(LN(Underlying/$H14)+(RiskFreeRate-DividendYield+0.5*CA14^2)*TimeToExpiration)/(CA14*TimeToExpiration^0.5), 0, 1, TRUE) - 
       $H14*EXP(-RiskFreeRate*TimeToExpiration)*_xlfn.NORM.DIST(CB$2*(LN(Underlying/$H14)+(RiskFreeRate-DividendYield-0.5*CA14^2)*TimeToExpiration)/(CA14*TimeToExpiration^0.5), 0, 1, TRUE)
)</f>
        <v>23.03035963</v>
      </c>
      <c r="CC14" s="40">
        <f t="shared" si="39"/>
        <v>0.3919829102</v>
      </c>
      <c r="CD14" s="40">
        <f t="shared" si="40"/>
        <v>0.3927150879</v>
      </c>
      <c r="CE14" s="7">
        <f>CE$2*(Underlying*EXP(-DividendYield*TimeToExpiration)*_xlfn.NORM.DIST(CE$2*(LN(Underlying/$H14)+(RiskFreeRate-DividendYield+0.5*CC14^2)*TimeToExpiration)/(CC14*TimeToExpiration^0.5), 0, 1, TRUE) - 
       $H14*EXP(-RiskFreeRate*TimeToExpiration)*_xlfn.NORM.DIST(CE$2*(LN(Underlying/$H14)+(RiskFreeRate-DividendYield-0.5*CC14^2)*TimeToExpiration)/(CC14*TimeToExpiration^0.5), 0, 1, TRUE)
)</f>
        <v>23.02384476</v>
      </c>
      <c r="CF14" s="7">
        <f>CF$2*(Underlying*EXP(-DividendYield*TimeToExpiration)*_xlfn.NORM.DIST(CF$2*(LN(Underlying/$H14)+(RiskFreeRate-DividendYield+0.5*CD14^2)*TimeToExpiration)/(CD14*TimeToExpiration^0.5), 0, 1, TRUE) - 
       $H14*EXP(-RiskFreeRate*TimeToExpiration)*_xlfn.NORM.DIST(CF$2*(LN(Underlying/$H14)+(RiskFreeRate-DividendYield-0.5*CD14^2)*TimeToExpiration)/(CD14*TimeToExpiration^0.5), 0, 1, TRUE)
)</f>
        <v>23.03035963</v>
      </c>
      <c r="CG14" s="40">
        <f t="shared" si="41"/>
        <v>0.392348999</v>
      </c>
      <c r="CH14" s="8">
        <f>CH$2*(Underlying*EXP(-DividendYield*TimeToExpiration)*_xlfn.NORM.DIST(CH$2*(LN(Underlying/$H14)+(RiskFreeRate-DividendYield+0.5*CG14^2)*TimeToExpiration)/(CG14*TimeToExpiration^0.5), 0, 1, TRUE) - 
       $H14*EXP(-RiskFreeRate*TimeToExpiration)*_xlfn.NORM.DIST(CH$2*(LN(Underlying/$H14)+(RiskFreeRate-DividendYield-0.5*CG14^2)*TimeToExpiration)/(CG14*TimeToExpiration^0.5), 0, 1, TRUE)
)</f>
        <v>23.02709997</v>
      </c>
      <c r="CI14" s="40">
        <f t="shared" si="42"/>
        <v>0.3919829102</v>
      </c>
      <c r="CJ14" s="40">
        <f t="shared" si="43"/>
        <v>0.392348999</v>
      </c>
      <c r="CK14" s="7">
        <f>CK$2*(Underlying*EXP(-DividendYield*TimeToExpiration)*_xlfn.NORM.DIST(CK$2*(LN(Underlying/$H14)+(RiskFreeRate-DividendYield+0.5*CI14^2)*TimeToExpiration)/(CI14*TimeToExpiration^0.5), 0, 1, TRUE) - 
       $H14*EXP(-RiskFreeRate*TimeToExpiration)*_xlfn.NORM.DIST(CK$2*(LN(Underlying/$H14)+(RiskFreeRate-DividendYield-0.5*CI14^2)*TimeToExpiration)/(CI14*TimeToExpiration^0.5), 0, 1, TRUE)
)</f>
        <v>23.02384476</v>
      </c>
      <c r="CL14" s="7">
        <f>CL$2*(Underlying*EXP(-DividendYield*TimeToExpiration)*_xlfn.NORM.DIST(CL$2*(LN(Underlying/$H14)+(RiskFreeRate-DividendYield+0.5*CJ14^2)*TimeToExpiration)/(CJ14*TimeToExpiration^0.5), 0, 1, TRUE) - 
       $H14*EXP(-RiskFreeRate*TimeToExpiration)*_xlfn.NORM.DIST(CL$2*(LN(Underlying/$H14)+(RiskFreeRate-DividendYield-0.5*CJ14^2)*TimeToExpiration)/(CJ14*TimeToExpiration^0.5), 0, 1, TRUE)
)</f>
        <v>23.02709997</v>
      </c>
      <c r="CM14" s="40">
        <f t="shared" si="44"/>
        <v>0.3921659546</v>
      </c>
      <c r="CN14" s="8">
        <f>CN$2*(Underlying*EXP(-DividendYield*TimeToExpiration)*_xlfn.NORM.DIST(CN$2*(LN(Underlying/$H14)+(RiskFreeRate-DividendYield+0.5*CM14^2)*TimeToExpiration)/(CM14*TimeToExpiration^0.5), 0, 1, TRUE) - 
       $H14*EXP(-RiskFreeRate*TimeToExpiration)*_xlfn.NORM.DIST(CN$2*(LN(Underlying/$H14)+(RiskFreeRate-DividendYield-0.5*CM14^2)*TimeToExpiration)/(CM14*TimeToExpiration^0.5), 0, 1, TRUE)
)</f>
        <v>23.02547181</v>
      </c>
      <c r="CO14" s="40">
        <f t="shared" si="45"/>
        <v>0.3919829102</v>
      </c>
      <c r="CP14" s="40">
        <f t="shared" si="46"/>
        <v>0.3921659546</v>
      </c>
      <c r="CQ14" s="7">
        <f>CQ$2*(Underlying*EXP(-DividendYield*TimeToExpiration)*_xlfn.NORM.DIST(CQ$2*(LN(Underlying/$H14)+(RiskFreeRate-DividendYield+0.5*CO14^2)*TimeToExpiration)/(CO14*TimeToExpiration^0.5), 0, 1, TRUE) - 
       $H14*EXP(-RiskFreeRate*TimeToExpiration)*_xlfn.NORM.DIST(CQ$2*(LN(Underlying/$H14)+(RiskFreeRate-DividendYield-0.5*CO14^2)*TimeToExpiration)/(CO14*TimeToExpiration^0.5), 0, 1, TRUE)
)</f>
        <v>23.02384476</v>
      </c>
      <c r="CR14" s="7">
        <f>CR$2*(Underlying*EXP(-DividendYield*TimeToExpiration)*_xlfn.NORM.DIST(CR$2*(LN(Underlying/$H14)+(RiskFreeRate-DividendYield+0.5*CP14^2)*TimeToExpiration)/(CP14*TimeToExpiration^0.5), 0, 1, TRUE) - 
       $H14*EXP(-RiskFreeRate*TimeToExpiration)*_xlfn.NORM.DIST(CR$2*(LN(Underlying/$H14)+(RiskFreeRate-DividendYield-0.5*CP14^2)*TimeToExpiration)/(CP14*TimeToExpiration^0.5), 0, 1, TRUE)
)</f>
        <v>23.02547181</v>
      </c>
      <c r="CS14" s="40">
        <f t="shared" si="47"/>
        <v>0.3920744324</v>
      </c>
      <c r="CT14" s="8">
        <f>CT$2*(Underlying*EXP(-DividendYield*TimeToExpiration)*_xlfn.NORM.DIST(CT$2*(LN(Underlying/$H14)+(RiskFreeRate-DividendYield+0.5*CS14^2)*TimeToExpiration)/(CS14*TimeToExpiration^0.5), 0, 1, TRUE) - 
       $H14*EXP(-RiskFreeRate*TimeToExpiration)*_xlfn.NORM.DIST(CT$2*(LN(Underlying/$H14)+(RiskFreeRate-DividendYield-0.5*CS14^2)*TimeToExpiration)/(CS14*TimeToExpiration^0.5), 0, 1, TRUE)
)</f>
        <v>23.02465815</v>
      </c>
      <c r="CU14" s="40">
        <f t="shared" si="48"/>
        <v>0.3920744324</v>
      </c>
      <c r="CV14" s="40">
        <f t="shared" si="49"/>
        <v>0.3921659546</v>
      </c>
      <c r="CW14" s="7">
        <f>CW$2*(Underlying*EXP(-DividendYield*TimeToExpiration)*_xlfn.NORM.DIST(CW$2*(LN(Underlying/$H14)+(RiskFreeRate-DividendYield+0.5*CU14^2)*TimeToExpiration)/(CU14*TimeToExpiration^0.5), 0, 1, TRUE) - 
       $H14*EXP(-RiskFreeRate*TimeToExpiration)*_xlfn.NORM.DIST(CW$2*(LN(Underlying/$H14)+(RiskFreeRate-DividendYield-0.5*CU14^2)*TimeToExpiration)/(CU14*TimeToExpiration^0.5), 0, 1, TRUE)
)</f>
        <v>23.02465815</v>
      </c>
      <c r="CX14" s="7">
        <f>CX$2*(Underlying*EXP(-DividendYield*TimeToExpiration)*_xlfn.NORM.DIST(CX$2*(LN(Underlying/$H14)+(RiskFreeRate-DividendYield+0.5*CV14^2)*TimeToExpiration)/(CV14*TimeToExpiration^0.5), 0, 1, TRUE) - 
       $H14*EXP(-RiskFreeRate*TimeToExpiration)*_xlfn.NORM.DIST(CX$2*(LN(Underlying/$H14)+(RiskFreeRate-DividendYield-0.5*CV14^2)*TimeToExpiration)/(CV14*TimeToExpiration^0.5), 0, 1, TRUE)
)</f>
        <v>23.02547181</v>
      </c>
      <c r="CY14" s="40">
        <f t="shared" si="50"/>
        <v>0.3921201935</v>
      </c>
      <c r="CZ14" s="8">
        <f>CZ$2*(Underlying*EXP(-DividendYield*TimeToExpiration)*_xlfn.NORM.DIST(CZ$2*(LN(Underlying/$H14)+(RiskFreeRate-DividendYield+0.5*CY14^2)*TimeToExpiration)/(CY14*TimeToExpiration^0.5), 0, 1, TRUE) - 
       $H14*EXP(-RiskFreeRate*TimeToExpiration)*_xlfn.NORM.DIST(CZ$2*(LN(Underlying/$H14)+(RiskFreeRate-DividendYield-0.5*CY14^2)*TimeToExpiration)/(CY14*TimeToExpiration^0.5), 0, 1, TRUE)
)</f>
        <v>23.02506495</v>
      </c>
      <c r="DA14" s="40">
        <f t="shared" si="51"/>
        <v>0.3920744324</v>
      </c>
      <c r="DB14" s="40">
        <f t="shared" si="52"/>
        <v>0.3921201935</v>
      </c>
      <c r="DC14" s="7">
        <f>DC$2*(Underlying*EXP(-DividendYield*TimeToExpiration)*_xlfn.NORM.DIST(DC$2*(LN(Underlying/$H14)+(RiskFreeRate-DividendYield+0.5*DA14^2)*TimeToExpiration)/(DA14*TimeToExpiration^0.5), 0, 1, TRUE) - 
       $H14*EXP(-RiskFreeRate*TimeToExpiration)*_xlfn.NORM.DIST(DC$2*(LN(Underlying/$H14)+(RiskFreeRate-DividendYield-0.5*DA14^2)*TimeToExpiration)/(DA14*TimeToExpiration^0.5), 0, 1, TRUE)
)</f>
        <v>23.02465815</v>
      </c>
      <c r="DD14" s="7">
        <f>DD$2*(Underlying*EXP(-DividendYield*TimeToExpiration)*_xlfn.NORM.DIST(DD$2*(LN(Underlying/$H14)+(RiskFreeRate-DividendYield+0.5*DB14^2)*TimeToExpiration)/(DB14*TimeToExpiration^0.5), 0, 1, TRUE) - 
       $H14*EXP(-RiskFreeRate*TimeToExpiration)*_xlfn.NORM.DIST(DD$2*(LN(Underlying/$H14)+(RiskFreeRate-DividendYield-0.5*DB14^2)*TimeToExpiration)/(DB14*TimeToExpiration^0.5), 0, 1, TRUE)
)</f>
        <v>23.02506495</v>
      </c>
      <c r="DE14" s="40">
        <f t="shared" si="53"/>
        <v>0.3920973129</v>
      </c>
      <c r="DF14" s="8">
        <f>DF$2*(Underlying*EXP(-DividendYield*TimeToExpiration)*_xlfn.NORM.DIST(DF$2*(LN(Underlying/$H14)+(RiskFreeRate-DividendYield+0.5*DE14^2)*TimeToExpiration)/(DE14*TimeToExpiration^0.5), 0, 1, TRUE) - 
       $H14*EXP(-RiskFreeRate*TimeToExpiration)*_xlfn.NORM.DIST(DF$2*(LN(Underlying/$H14)+(RiskFreeRate-DividendYield-0.5*DE14^2)*TimeToExpiration)/(DE14*TimeToExpiration^0.5), 0, 1, TRUE)
)</f>
        <v>23.02486154</v>
      </c>
    </row>
    <row r="15">
      <c r="A15" s="20">
        <f>'Option Mkt Data'!A15</f>
        <v>320</v>
      </c>
      <c r="B15" s="35">
        <f t="shared" ref="B15:C15" si="62">DE15</f>
        <v>0.3982750626</v>
      </c>
      <c r="C15" s="7">
        <f t="shared" si="62"/>
        <v>20.9251889</v>
      </c>
      <c r="D15" s="7">
        <f t="shared" si="3"/>
        <v>0.0001858454462</v>
      </c>
      <c r="E15" s="9">
        <f t="shared" si="4"/>
        <v>0.000008881501513</v>
      </c>
      <c r="F15" s="36">
        <f>D15/'Option Mkt Data'!L15</f>
        <v>0.001239020028</v>
      </c>
      <c r="G15" s="5">
        <f>'Option Mkt Data'!J15</f>
        <v>20.92500305</v>
      </c>
      <c r="H15" s="33">
        <f>'Option Mkt Data'!A15</f>
        <v>320</v>
      </c>
      <c r="I15" s="37">
        <f>MinSolverVola</f>
        <v>0.001</v>
      </c>
      <c r="J15" s="38">
        <f>MaxSolverVola</f>
        <v>3</v>
      </c>
      <c r="K15" s="39">
        <f>K$2*(Underlying*EXP(-DividendYield*TimeToExpiration)*_xlfn.NORM.DIST(K$2*(LN(Underlying/$H15)+(RiskFreeRate-DividendYield+0.5*I15^2)*TimeToExpiration)/(I15*TimeToExpiration^0.5), 0, 1, TRUE) - 
       $H15*EXP(-RiskFreeRate*TimeToExpiration)*_xlfn.NORM.DIST(K$2*(LN(Underlying/$H15)+(RiskFreeRate-DividendYield-0.5*I15^2)*TimeToExpiration)/(I15*TimeToExpiration^0.5), 0, 1, TRUE)
)</f>
        <v>19.52901936</v>
      </c>
      <c r="L15" s="7">
        <f>L$2*(Underlying*EXP(-DividendYield*TimeToExpiration)*_xlfn.NORM.DIST(L$2*(LN(Underlying/$H15)+(RiskFreeRate-DividendYield+0.5*J15^2)*TimeToExpiration)/(J15*TimeToExpiration^0.5), 0, 1, TRUE) - 
       $H15*EXP(-RiskFreeRate*TimeToExpiration)*_xlfn.NORM.DIST(L$2*(LN(Underlying/$H15)+(RiskFreeRate-DividendYield-0.5*J15^2)*TimeToExpiration)/(J15*TimeToExpiration^0.5), 0, 1, TRUE)
)</f>
        <v>65.64549854</v>
      </c>
      <c r="M15" s="40">
        <f t="shared" si="5"/>
        <v>1.5005</v>
      </c>
      <c r="N15" s="8">
        <f>N$2*(Underlying*EXP(-DividendYield*TimeToExpiration)*_xlfn.NORM.DIST(N$2*(LN(Underlying/$H15)+(RiskFreeRate-DividendYield+0.5*M15^2)*TimeToExpiration)/(M15*TimeToExpiration^0.5), 0, 1, TRUE) - 
       $H15*EXP(-RiskFreeRate*TimeToExpiration)*_xlfn.NORM.DIST(N$2*(LN(Underlying/$H15)+(RiskFreeRate-DividendYield-0.5*M15^2)*TimeToExpiration)/(M15*TimeToExpiration^0.5), 0, 1, TRUE)
)</f>
        <v>38.6793219</v>
      </c>
      <c r="O15" s="41">
        <f t="shared" si="6"/>
        <v>0.001</v>
      </c>
      <c r="P15" s="40">
        <f t="shared" si="7"/>
        <v>1.5005</v>
      </c>
      <c r="Q15" s="7">
        <f>Q$2*(Underlying*EXP(-DividendYield*TimeToExpiration)*_xlfn.NORM.DIST(Q$2*(LN(Underlying/$H15)+(RiskFreeRate-DividendYield+0.5*O15^2)*TimeToExpiration)/(O15*TimeToExpiration^0.5), 0, 1, TRUE) - 
       $H15*EXP(-RiskFreeRate*TimeToExpiration)*_xlfn.NORM.DIST(Q$2*(LN(Underlying/$H15)+(RiskFreeRate-DividendYield-0.5*O15^2)*TimeToExpiration)/(O15*TimeToExpiration^0.5), 0, 1, TRUE))</f>
        <v>19.52901936</v>
      </c>
      <c r="R15" s="7">
        <f>R$2*(Underlying*EXP(-DividendYield*TimeToExpiration)*_xlfn.NORM.DIST(R$2*(LN(Underlying/$H15)+(RiskFreeRate-DividendYield+0.5*P15^2)*TimeToExpiration)/(P15*TimeToExpiration^0.5), 0, 1, TRUE) - 
       $H15*EXP(-RiskFreeRate*TimeToExpiration)*_xlfn.NORM.DIST(R$2*(LN(Underlying/$H15)+(RiskFreeRate-DividendYield-0.5*P15^2)*TimeToExpiration)/(P15*TimeToExpiration^0.5), 0, 1, TRUE)
)</f>
        <v>38.6793219</v>
      </c>
      <c r="S15" s="40">
        <f t="shared" si="8"/>
        <v>0.75075</v>
      </c>
      <c r="T15" s="8">
        <f>T$2*(Underlying*EXP(-DividendYield*TimeToExpiration)*_xlfn.NORM.DIST(T$2*(LN(Underlying/$H15)+(RiskFreeRate-DividendYield+0.5*S15^2)*TimeToExpiration)/(S15*TimeToExpiration^0.5), 0, 1, TRUE) - 
       $H15*EXP(-RiskFreeRate*TimeToExpiration)*_xlfn.NORM.DIST(T$2*(LN(Underlying/$H15)+(RiskFreeRate-DividendYield-0.5*S15^2)*TimeToExpiration)/(S15*TimeToExpiration^0.5), 0, 1, TRUE)
)</f>
        <v>25.830606</v>
      </c>
      <c r="U15" s="41">
        <f t="shared" si="9"/>
        <v>0.001</v>
      </c>
      <c r="V15" s="40">
        <f t="shared" si="10"/>
        <v>0.75075</v>
      </c>
      <c r="W15" s="7">
        <f>W$2*(Underlying*EXP(-DividendYield*TimeToExpiration)*_xlfn.NORM.DIST(W$2*(LN(Underlying/$H15)+(RiskFreeRate-DividendYield+0.5*U15^2)*TimeToExpiration)/(U15*TimeToExpiration^0.5), 0, 1, TRUE) - 
       $H15*EXP(-RiskFreeRate*TimeToExpiration)*_xlfn.NORM.DIST(W$2*(LN(Underlying/$H15)+(RiskFreeRate-DividendYield-0.5*U15^2)*TimeToExpiration)/(U15*TimeToExpiration^0.5), 0, 1, TRUE)
)</f>
        <v>19.52901936</v>
      </c>
      <c r="X15" s="7">
        <f>X$2*(Underlying*EXP(-DividendYield*TimeToExpiration)*_xlfn.NORM.DIST(X$2*(LN(Underlying/$H15)+(RiskFreeRate-DividendYield+0.5*V15^2)*TimeToExpiration)/(V15*TimeToExpiration^0.5), 0, 1, TRUE) - 
       $H15*EXP(-RiskFreeRate*TimeToExpiration)*_xlfn.NORM.DIST(X$2*(LN(Underlying/$H15)+(RiskFreeRate-DividendYield-0.5*V15^2)*TimeToExpiration)/(V15*TimeToExpiration^0.5), 0, 1, TRUE)
)</f>
        <v>25.830606</v>
      </c>
      <c r="Y15" s="40">
        <f t="shared" si="11"/>
        <v>0.375875</v>
      </c>
      <c r="Z15" s="8">
        <f>Z$2*(Underlying*EXP(-DividendYield*TimeToExpiration)*_xlfn.NORM.DIST(Z$2*(LN(Underlying/$H15)+(RiskFreeRate-DividendYield+0.5*Y15^2)*TimeToExpiration)/(Y15*TimeToExpiration^0.5), 0, 1, TRUE) - 
       $H15*EXP(-RiskFreeRate*TimeToExpiration)*_xlfn.NORM.DIST(Z$2*(LN(Underlying/$H15)+(RiskFreeRate-DividendYield-0.5*Y15^2)*TimeToExpiration)/(Y15*TimeToExpiration^0.5), 0, 1, TRUE)
)</f>
        <v>20.69384737</v>
      </c>
      <c r="AA15" s="40">
        <f t="shared" si="12"/>
        <v>0.375875</v>
      </c>
      <c r="AB15" s="40">
        <f t="shared" si="13"/>
        <v>0.75075</v>
      </c>
      <c r="AC15" s="7">
        <f>AC$2*(Underlying*EXP(-DividendYield*TimeToExpiration)*_xlfn.NORM.DIST(AC$2*(LN(Underlying/$H15)+(RiskFreeRate-DividendYield+0.5*AA15^2)*TimeToExpiration)/(AA15*TimeToExpiration^0.5), 0, 1, TRUE) - 
       $H15*EXP(-RiskFreeRate*TimeToExpiration)*_xlfn.NORM.DIST(AC$2*(LN(Underlying/$H15)+(RiskFreeRate-DividendYield-0.5*AA15^2)*TimeToExpiration)/(AA15*TimeToExpiration^0.5), 0, 1, TRUE)
)</f>
        <v>20.69384737</v>
      </c>
      <c r="AD15" s="7">
        <f>AD$2*(Underlying*EXP(-DividendYield*TimeToExpiration)*_xlfn.NORM.DIST(AD$2*(LN(Underlying/$H15)+(RiskFreeRate-DividendYield+0.5*AB15^2)*TimeToExpiration)/(AB15*TimeToExpiration^0.5), 0, 1, TRUE) - 
       $H15*EXP(-RiskFreeRate*TimeToExpiration)*_xlfn.NORM.DIST(AD$2*(LN(Underlying/$H15)+(RiskFreeRate-DividendYield-0.5*AB15^2)*TimeToExpiration)/(AB15*TimeToExpiration^0.5), 0, 1, TRUE)
)</f>
        <v>25.830606</v>
      </c>
      <c r="AE15" s="40">
        <f t="shared" si="14"/>
        <v>0.5633125</v>
      </c>
      <c r="AF15" s="8">
        <f>AF$2*(Underlying*EXP(-DividendYield*TimeToExpiration)*_xlfn.NORM.DIST(AF$2*(LN(Underlying/$H15)+(RiskFreeRate-DividendYield+0.5*AE15^2)*TimeToExpiration)/(AE15*TimeToExpiration^0.5), 0, 1, TRUE) - 
       $H15*EXP(-RiskFreeRate*TimeToExpiration)*_xlfn.NORM.DIST(AF$2*(LN(Underlying/$H15)+(RiskFreeRate-DividendYield-0.5*AE15^2)*TimeToExpiration)/(AE15*TimeToExpiration^0.5), 0, 1, TRUE)
)</f>
        <v>23.00288287</v>
      </c>
      <c r="AG15" s="40">
        <f t="shared" si="15"/>
        <v>0.375875</v>
      </c>
      <c r="AH15" s="40">
        <f t="shared" si="16"/>
        <v>0.5633125</v>
      </c>
      <c r="AI15" s="7">
        <f>AI$2*(Underlying*EXP(-DividendYield*TimeToExpiration)*_xlfn.NORM.DIST(AI$2*(LN(Underlying/$H15)+(RiskFreeRate-DividendYield+0.5*AG15^2)*TimeToExpiration)/(AG15*TimeToExpiration^0.5), 0, 1, TRUE) - 
       $H15*EXP(-RiskFreeRate*TimeToExpiration)*_xlfn.NORM.DIST(AI$2*(LN(Underlying/$H15)+(RiskFreeRate-DividendYield-0.5*AG15^2)*TimeToExpiration)/(AG15*TimeToExpiration^0.5), 0, 1, TRUE)
)</f>
        <v>20.69384737</v>
      </c>
      <c r="AJ15" s="7">
        <f>AJ$2*(Underlying*EXP(-DividendYield*TimeToExpiration)*_xlfn.NORM.DIST(AJ$2*(LN(Underlying/$H15)+(RiskFreeRate-DividendYield+0.5*AH15^2)*TimeToExpiration)/(AH15*TimeToExpiration^0.5), 0, 1, TRUE) - 
       $H15*EXP(-RiskFreeRate*TimeToExpiration)*_xlfn.NORM.DIST(AJ$2*(LN(Underlying/$H15)+(RiskFreeRate-DividendYield-0.5*AH15^2)*TimeToExpiration)/(AH15*TimeToExpiration^0.5), 0, 1, TRUE)
)</f>
        <v>23.00288287</v>
      </c>
      <c r="AK15" s="40">
        <f t="shared" si="17"/>
        <v>0.46959375</v>
      </c>
      <c r="AL15" s="8">
        <f>AL$2*(Underlying*EXP(-DividendYield*TimeToExpiration)*_xlfn.NORM.DIST(AL$2*(LN(Underlying/$H15)+(RiskFreeRate-DividendYield+0.5*AK15^2)*TimeToExpiration)/(AK15*TimeToExpiration^0.5), 0, 1, TRUE) - 
       $H15*EXP(-RiskFreeRate*TimeToExpiration)*_xlfn.NORM.DIST(AL$2*(LN(Underlying/$H15)+(RiskFreeRate-DividendYield-0.5*AK15^2)*TimeToExpiration)/(AK15*TimeToExpiration^0.5), 0, 1, TRUE)
)</f>
        <v>21.75389261</v>
      </c>
      <c r="AM15" s="40">
        <f t="shared" si="18"/>
        <v>0.375875</v>
      </c>
      <c r="AN15" s="40">
        <f t="shared" si="19"/>
        <v>0.46959375</v>
      </c>
      <c r="AO15" s="7">
        <f>AO$2*(Underlying*EXP(-DividendYield*TimeToExpiration)*_xlfn.NORM.DIST(AO$2*(LN(Underlying/$H15)+(RiskFreeRate-DividendYield+0.5*AM15^2)*TimeToExpiration)/(AM15*TimeToExpiration^0.5), 0, 1, TRUE) - 
       $H15*EXP(-RiskFreeRate*TimeToExpiration)*_xlfn.NORM.DIST(AO$2*(LN(Underlying/$H15)+(RiskFreeRate-DividendYield-0.5*AM15^2)*TimeToExpiration)/(AM15*TimeToExpiration^0.5), 0, 1, TRUE)
)</f>
        <v>20.69384737</v>
      </c>
      <c r="AP15" s="7">
        <f>AP$2*(Underlying*EXP(-DividendYield*TimeToExpiration)*_xlfn.NORM.DIST(AP$2*(LN(Underlying/$H15)+(RiskFreeRate-DividendYield+0.5*AN15^2)*TimeToExpiration)/(AN15*TimeToExpiration^0.5), 0, 1, TRUE) - 
       $H15*EXP(-RiskFreeRate*TimeToExpiration)*_xlfn.NORM.DIST(AP$2*(LN(Underlying/$H15)+(RiskFreeRate-DividendYield-0.5*AN15^2)*TimeToExpiration)/(AN15*TimeToExpiration^0.5), 0, 1, TRUE)
)</f>
        <v>21.75389261</v>
      </c>
      <c r="AQ15" s="40">
        <f t="shared" si="20"/>
        <v>0.422734375</v>
      </c>
      <c r="AR15" s="8">
        <f>AR$2*(Underlying*EXP(-DividendYield*TimeToExpiration)*_xlfn.NORM.DIST(AR$2*(LN(Underlying/$H15)+(RiskFreeRate-DividendYield+0.5*AQ15^2)*TimeToExpiration)/(AQ15*TimeToExpiration^0.5), 0, 1, TRUE) - 
       $H15*EXP(-RiskFreeRate*TimeToExpiration)*_xlfn.NORM.DIST(AR$2*(LN(Underlying/$H15)+(RiskFreeRate-DividendYield-0.5*AQ15^2)*TimeToExpiration)/(AQ15*TimeToExpiration^0.5), 0, 1, TRUE)
)</f>
        <v>21.19476247</v>
      </c>
      <c r="AS15" s="40">
        <f t="shared" si="21"/>
        <v>0.375875</v>
      </c>
      <c r="AT15" s="40">
        <f t="shared" si="22"/>
        <v>0.422734375</v>
      </c>
      <c r="AU15" s="7">
        <f>AU$2*(Underlying*EXP(-DividendYield*TimeToExpiration)*_xlfn.NORM.DIST(AU$2*(LN(Underlying/$H15)+(RiskFreeRate-DividendYield+0.5*AS15^2)*TimeToExpiration)/(AS15*TimeToExpiration^0.5), 0, 1, TRUE) - 
       $H15*EXP(-RiskFreeRate*TimeToExpiration)*_xlfn.NORM.DIST(AU$2*(LN(Underlying/$H15)+(RiskFreeRate-DividendYield-0.5*AS15^2)*TimeToExpiration)/(AS15*TimeToExpiration^0.5), 0, 1, TRUE)
)</f>
        <v>20.69384737</v>
      </c>
      <c r="AV15" s="7">
        <f>AV$2*(Underlying*EXP(-DividendYield*TimeToExpiration)*_xlfn.NORM.DIST(AV$2*(LN(Underlying/$H15)+(RiskFreeRate-DividendYield+0.5*AT15^2)*TimeToExpiration)/(AT15*TimeToExpiration^0.5), 0, 1, TRUE) - 
       $H15*EXP(-RiskFreeRate*TimeToExpiration)*_xlfn.NORM.DIST(AV$2*(LN(Underlying/$H15)+(RiskFreeRate-DividendYield-0.5*AT15^2)*TimeToExpiration)/(AT15*TimeToExpiration^0.5), 0, 1, TRUE)
)</f>
        <v>21.19476247</v>
      </c>
      <c r="AW15" s="40">
        <f t="shared" si="23"/>
        <v>0.3993046875</v>
      </c>
      <c r="AX15" s="8">
        <f>AX$2*(Underlying*EXP(-DividendYield*TimeToExpiration)*_xlfn.NORM.DIST(AX$2*(LN(Underlying/$H15)+(RiskFreeRate-DividendYield+0.5*AW15^2)*TimeToExpiration)/(AW15*TimeToExpiration^0.5), 0, 1, TRUE) - 
       $H15*EXP(-RiskFreeRate*TimeToExpiration)*_xlfn.NORM.DIST(AX$2*(LN(Underlying/$H15)+(RiskFreeRate-DividendYield-0.5*AW15^2)*TimeToExpiration)/(AW15*TimeToExpiration^0.5), 0, 1, TRUE)
)</f>
        <v>20.9361929</v>
      </c>
      <c r="AY15" s="40">
        <f t="shared" si="24"/>
        <v>0.375875</v>
      </c>
      <c r="AZ15" s="40">
        <f t="shared" si="25"/>
        <v>0.3993046875</v>
      </c>
      <c r="BA15" s="7">
        <f>BA$2*(Underlying*EXP(-DividendYield*TimeToExpiration)*_xlfn.NORM.DIST(BA$2*(LN(Underlying/$H15)+(RiskFreeRate-DividendYield+0.5*AY15^2)*TimeToExpiration)/(AY15*TimeToExpiration^0.5), 0, 1, TRUE) - 
       $H15*EXP(-RiskFreeRate*TimeToExpiration)*_xlfn.NORM.DIST(BA$2*(LN(Underlying/$H15)+(RiskFreeRate-DividendYield-0.5*AY15^2)*TimeToExpiration)/(AY15*TimeToExpiration^0.5), 0, 1, TRUE)
)</f>
        <v>20.69384737</v>
      </c>
      <c r="BB15" s="7">
        <f>BB$2*(Underlying*EXP(-DividendYield*TimeToExpiration)*_xlfn.NORM.DIST(BB$2*(LN(Underlying/$H15)+(RiskFreeRate-DividendYield+0.5*AZ15^2)*TimeToExpiration)/(AZ15*TimeToExpiration^0.5), 0, 1, TRUE) - 
       $H15*EXP(-RiskFreeRate*TimeToExpiration)*_xlfn.NORM.DIST(BB$2*(LN(Underlying/$H15)+(RiskFreeRate-DividendYield-0.5*AZ15^2)*TimeToExpiration)/(AZ15*TimeToExpiration^0.5), 0, 1, TRUE)
)</f>
        <v>20.9361929</v>
      </c>
      <c r="BC15" s="40">
        <f t="shared" si="26"/>
        <v>0.3875898438</v>
      </c>
      <c r="BD15" s="8">
        <f>BD$2*(Underlying*EXP(-DividendYield*TimeToExpiration)*_xlfn.NORM.DIST(BD$2*(LN(Underlying/$H15)+(RiskFreeRate-DividendYield+0.5*BC15^2)*TimeToExpiration)/(BC15*TimeToExpiration^0.5), 0, 1, TRUE) - 
       $H15*EXP(-RiskFreeRate*TimeToExpiration)*_xlfn.NORM.DIST(BD$2*(LN(Underlying/$H15)+(RiskFreeRate-DividendYield-0.5*BC15^2)*TimeToExpiration)/(BC15*TimeToExpiration^0.5), 0, 1, TRUE)
)</f>
        <v>20.81287771</v>
      </c>
      <c r="BE15" s="40">
        <f t="shared" si="27"/>
        <v>0.3875898438</v>
      </c>
      <c r="BF15" s="40">
        <f t="shared" si="28"/>
        <v>0.3993046875</v>
      </c>
      <c r="BG15" s="7">
        <f>BG$2*(Underlying*EXP(-DividendYield*TimeToExpiration)*_xlfn.NORM.DIST(BG$2*(LN(Underlying/$H15)+(RiskFreeRate-DividendYield+0.5*BE15^2)*TimeToExpiration)/(BE15*TimeToExpiration^0.5), 0, 1, TRUE) - 
       $H15*EXP(-RiskFreeRate*TimeToExpiration)*_xlfn.NORM.DIST(BG$2*(LN(Underlying/$H15)+(RiskFreeRate-DividendYield-0.5*BE15^2)*TimeToExpiration)/(BE15*TimeToExpiration^0.5), 0, 1, TRUE)
)</f>
        <v>20.81287771</v>
      </c>
      <c r="BH15" s="7">
        <f>BH$2*(Underlying*EXP(-DividendYield*TimeToExpiration)*_xlfn.NORM.DIST(BH$2*(LN(Underlying/$H15)+(RiskFreeRate-DividendYield+0.5*BF15^2)*TimeToExpiration)/(BF15*TimeToExpiration^0.5), 0, 1, TRUE) - 
       $H15*EXP(-RiskFreeRate*TimeToExpiration)*_xlfn.NORM.DIST(BH$2*(LN(Underlying/$H15)+(RiskFreeRate-DividendYield-0.5*BF15^2)*TimeToExpiration)/(BF15*TimeToExpiration^0.5), 0, 1, TRUE)
)</f>
        <v>20.9361929</v>
      </c>
      <c r="BI15" s="40">
        <f t="shared" si="29"/>
        <v>0.3934472656</v>
      </c>
      <c r="BJ15" s="8">
        <f>BJ$2*(Underlying*EXP(-DividendYield*TimeToExpiration)*_xlfn.NORM.DIST(BJ$2*(LN(Underlying/$H15)+(RiskFreeRate-DividendYield+0.5*BI15^2)*TimeToExpiration)/(BI15*TimeToExpiration^0.5), 0, 1, TRUE) - 
       $H15*EXP(-RiskFreeRate*TimeToExpiration)*_xlfn.NORM.DIST(BJ$2*(LN(Underlying/$H15)+(RiskFreeRate-DividendYield-0.5*BI15^2)*TimeToExpiration)/(BI15*TimeToExpiration^0.5), 0, 1, TRUE)
)</f>
        <v>20.87401444</v>
      </c>
      <c r="BK15" s="40">
        <f t="shared" si="30"/>
        <v>0.3934472656</v>
      </c>
      <c r="BL15" s="40">
        <f t="shared" si="31"/>
        <v>0.3993046875</v>
      </c>
      <c r="BM15" s="7">
        <f>BM$2*(Underlying*EXP(-DividendYield*TimeToExpiration)*_xlfn.NORM.DIST(BM$2*(LN(Underlying/$H15)+(RiskFreeRate-DividendYield+0.5*BK15^2)*TimeToExpiration)/(BK15*TimeToExpiration^0.5), 0, 1, TRUE) - 
       $H15*EXP(-RiskFreeRate*TimeToExpiration)*_xlfn.NORM.DIST(BM$2*(LN(Underlying/$H15)+(RiskFreeRate-DividendYield-0.5*BK15^2)*TimeToExpiration)/(BK15*TimeToExpiration^0.5), 0, 1, TRUE)
)</f>
        <v>20.87401444</v>
      </c>
      <c r="BN15" s="7">
        <f>BN$2*(Underlying*EXP(-DividendYield*TimeToExpiration)*_xlfn.NORM.DIST(BN$2*(LN(Underlying/$H15)+(RiskFreeRate-DividendYield+0.5*BL15^2)*TimeToExpiration)/(BL15*TimeToExpiration^0.5), 0, 1, TRUE) - 
       $H15*EXP(-RiskFreeRate*TimeToExpiration)*_xlfn.NORM.DIST(BN$2*(LN(Underlying/$H15)+(RiskFreeRate-DividendYield-0.5*BL15^2)*TimeToExpiration)/(BL15*TimeToExpiration^0.5), 0, 1, TRUE)
)</f>
        <v>20.9361929</v>
      </c>
      <c r="BO15" s="40">
        <f t="shared" si="32"/>
        <v>0.3963759766</v>
      </c>
      <c r="BP15" s="8">
        <f>BP$2*(Underlying*EXP(-DividendYield*TimeToExpiration)*_xlfn.NORM.DIST(BP$2*(LN(Underlying/$H15)+(RiskFreeRate-DividendYield+0.5*BO15^2)*TimeToExpiration)/(BO15*TimeToExpiration^0.5), 0, 1, TRUE) - 
       $H15*EXP(-RiskFreeRate*TimeToExpiration)*_xlfn.NORM.DIST(BP$2*(LN(Underlying/$H15)+(RiskFreeRate-DividendYield-0.5*BO15^2)*TimeToExpiration)/(BO15*TimeToExpiration^0.5), 0, 1, TRUE)
)</f>
        <v>20.90497526</v>
      </c>
      <c r="BQ15" s="40">
        <f t="shared" si="33"/>
        <v>0.3963759766</v>
      </c>
      <c r="BR15" s="40">
        <f t="shared" si="34"/>
        <v>0.3993046875</v>
      </c>
      <c r="BS15" s="7">
        <f>BS$2*(Underlying*EXP(-DividendYield*TimeToExpiration)*_xlfn.NORM.DIST(BS$2*(LN(Underlying/$H15)+(RiskFreeRate-DividendYield+0.5*BQ15^2)*TimeToExpiration)/(BQ15*TimeToExpiration^0.5), 0, 1, TRUE) - 
       $H15*EXP(-RiskFreeRate*TimeToExpiration)*_xlfn.NORM.DIST(BS$2*(LN(Underlying/$H15)+(RiskFreeRate-DividendYield-0.5*BQ15^2)*TimeToExpiration)/(BQ15*TimeToExpiration^0.5), 0, 1, TRUE)
)</f>
        <v>20.90497526</v>
      </c>
      <c r="BT15" s="7">
        <f>BT$2*(Underlying*EXP(-DividendYield*TimeToExpiration)*_xlfn.NORM.DIST(BT$2*(LN(Underlying/$H15)+(RiskFreeRate-DividendYield+0.5*BR15^2)*TimeToExpiration)/(BR15*TimeToExpiration^0.5), 0, 1, TRUE) - 
       $H15*EXP(-RiskFreeRate*TimeToExpiration)*_xlfn.NORM.DIST(BT$2*(LN(Underlying/$H15)+(RiskFreeRate-DividendYield-0.5*BR15^2)*TimeToExpiration)/(BR15*TimeToExpiration^0.5), 0, 1, TRUE)
)</f>
        <v>20.9361929</v>
      </c>
      <c r="BU15" s="40">
        <f t="shared" si="35"/>
        <v>0.397840332</v>
      </c>
      <c r="BV15" s="8">
        <f>BV$2*(Underlying*EXP(-DividendYield*TimeToExpiration)*_xlfn.NORM.DIST(BV$2*(LN(Underlying/$H15)+(RiskFreeRate-DividendYield+0.5*BU15^2)*TimeToExpiration)/(BU15*TimeToExpiration^0.5), 0, 1, TRUE) - 
       $H15*EXP(-RiskFreeRate*TimeToExpiration)*_xlfn.NORM.DIST(BV$2*(LN(Underlying/$H15)+(RiskFreeRate-DividendYield-0.5*BU15^2)*TimeToExpiration)/(BU15*TimeToExpiration^0.5), 0, 1, TRUE)
)</f>
        <v>20.9205522</v>
      </c>
      <c r="BW15" s="40">
        <f t="shared" si="36"/>
        <v>0.397840332</v>
      </c>
      <c r="BX15" s="40">
        <f t="shared" si="37"/>
        <v>0.3993046875</v>
      </c>
      <c r="BY15" s="7">
        <f>BY$2*(Underlying*EXP(-DividendYield*TimeToExpiration)*_xlfn.NORM.DIST(BY$2*(LN(Underlying/$H15)+(RiskFreeRate-DividendYield+0.5*BW15^2)*TimeToExpiration)/(BW15*TimeToExpiration^0.5), 0, 1, TRUE) - 
       $H15*EXP(-RiskFreeRate*TimeToExpiration)*_xlfn.NORM.DIST(BY$2*(LN(Underlying/$H15)+(RiskFreeRate-DividendYield-0.5*BW15^2)*TimeToExpiration)/(BW15*TimeToExpiration^0.5), 0, 1, TRUE)
)</f>
        <v>20.9205522</v>
      </c>
      <c r="BZ15" s="7">
        <f>BZ$2*(Underlying*EXP(-DividendYield*TimeToExpiration)*_xlfn.NORM.DIST(BZ$2*(LN(Underlying/$H15)+(RiskFreeRate-DividendYield+0.5*BX15^2)*TimeToExpiration)/(BX15*TimeToExpiration^0.5), 0, 1, TRUE) - 
       $H15*EXP(-RiskFreeRate*TimeToExpiration)*_xlfn.NORM.DIST(BZ$2*(LN(Underlying/$H15)+(RiskFreeRate-DividendYield-0.5*BX15^2)*TimeToExpiration)/(BX15*TimeToExpiration^0.5), 0, 1, TRUE)
)</f>
        <v>20.9361929</v>
      </c>
      <c r="CA15" s="40">
        <f t="shared" si="38"/>
        <v>0.3985725098</v>
      </c>
      <c r="CB15" s="8">
        <f>CB$2*(Underlying*EXP(-DividendYield*TimeToExpiration)*_xlfn.NORM.DIST(CB$2*(LN(Underlying/$H15)+(RiskFreeRate-DividendYield+0.5*CA15^2)*TimeToExpiration)/(CA15*TimeToExpiration^0.5), 0, 1, TRUE) - 
       $H15*EXP(-RiskFreeRate*TimeToExpiration)*_xlfn.NORM.DIST(CB$2*(LN(Underlying/$H15)+(RiskFreeRate-DividendYield-0.5*CA15^2)*TimeToExpiration)/(CA15*TimeToExpiration^0.5), 0, 1, TRUE)
)</f>
        <v>20.9283646</v>
      </c>
      <c r="CC15" s="40">
        <f t="shared" si="39"/>
        <v>0.397840332</v>
      </c>
      <c r="CD15" s="40">
        <f t="shared" si="40"/>
        <v>0.3985725098</v>
      </c>
      <c r="CE15" s="7">
        <f>CE$2*(Underlying*EXP(-DividendYield*TimeToExpiration)*_xlfn.NORM.DIST(CE$2*(LN(Underlying/$H15)+(RiskFreeRate-DividendYield+0.5*CC15^2)*TimeToExpiration)/(CC15*TimeToExpiration^0.5), 0, 1, TRUE) - 
       $H15*EXP(-RiskFreeRate*TimeToExpiration)*_xlfn.NORM.DIST(CE$2*(LN(Underlying/$H15)+(RiskFreeRate-DividendYield-0.5*CC15^2)*TimeToExpiration)/(CC15*TimeToExpiration^0.5), 0, 1, TRUE)
)</f>
        <v>20.9205522</v>
      </c>
      <c r="CF15" s="7">
        <f>CF$2*(Underlying*EXP(-DividendYield*TimeToExpiration)*_xlfn.NORM.DIST(CF$2*(LN(Underlying/$H15)+(RiskFreeRate-DividendYield+0.5*CD15^2)*TimeToExpiration)/(CD15*TimeToExpiration^0.5), 0, 1, TRUE) - 
       $H15*EXP(-RiskFreeRate*TimeToExpiration)*_xlfn.NORM.DIST(CF$2*(LN(Underlying/$H15)+(RiskFreeRate-DividendYield-0.5*CD15^2)*TimeToExpiration)/(CD15*TimeToExpiration^0.5), 0, 1, TRUE)
)</f>
        <v>20.9283646</v>
      </c>
      <c r="CG15" s="40">
        <f t="shared" si="41"/>
        <v>0.3982064209</v>
      </c>
      <c r="CH15" s="8">
        <f>CH$2*(Underlying*EXP(-DividendYield*TimeToExpiration)*_xlfn.NORM.DIST(CH$2*(LN(Underlying/$H15)+(RiskFreeRate-DividendYield+0.5*CG15^2)*TimeToExpiration)/(CG15*TimeToExpiration^0.5), 0, 1, TRUE) - 
       $H15*EXP(-RiskFreeRate*TimeToExpiration)*_xlfn.NORM.DIST(CH$2*(LN(Underlying/$H15)+(RiskFreeRate-DividendYield-0.5*CG15^2)*TimeToExpiration)/(CG15*TimeToExpiration^0.5), 0, 1, TRUE)
)</f>
        <v>20.92445641</v>
      </c>
      <c r="CI15" s="40">
        <f t="shared" si="42"/>
        <v>0.3982064209</v>
      </c>
      <c r="CJ15" s="40">
        <f t="shared" si="43"/>
        <v>0.3985725098</v>
      </c>
      <c r="CK15" s="7">
        <f>CK$2*(Underlying*EXP(-DividendYield*TimeToExpiration)*_xlfn.NORM.DIST(CK$2*(LN(Underlying/$H15)+(RiskFreeRate-DividendYield+0.5*CI15^2)*TimeToExpiration)/(CI15*TimeToExpiration^0.5), 0, 1, TRUE) - 
       $H15*EXP(-RiskFreeRate*TimeToExpiration)*_xlfn.NORM.DIST(CK$2*(LN(Underlying/$H15)+(RiskFreeRate-DividendYield-0.5*CI15^2)*TimeToExpiration)/(CI15*TimeToExpiration^0.5), 0, 1, TRUE)
)</f>
        <v>20.92445641</v>
      </c>
      <c r="CL15" s="7">
        <f>CL$2*(Underlying*EXP(-DividendYield*TimeToExpiration)*_xlfn.NORM.DIST(CL$2*(LN(Underlying/$H15)+(RiskFreeRate-DividendYield+0.5*CJ15^2)*TimeToExpiration)/(CJ15*TimeToExpiration^0.5), 0, 1, TRUE) - 
       $H15*EXP(-RiskFreeRate*TimeToExpiration)*_xlfn.NORM.DIST(CL$2*(LN(Underlying/$H15)+(RiskFreeRate-DividendYield-0.5*CJ15^2)*TimeToExpiration)/(CJ15*TimeToExpiration^0.5), 0, 1, TRUE)
)</f>
        <v>20.9283646</v>
      </c>
      <c r="CM15" s="40">
        <f t="shared" si="44"/>
        <v>0.3983894653</v>
      </c>
      <c r="CN15" s="8">
        <f>CN$2*(Underlying*EXP(-DividendYield*TimeToExpiration)*_xlfn.NORM.DIST(CN$2*(LN(Underlying/$H15)+(RiskFreeRate-DividendYield+0.5*CM15^2)*TimeToExpiration)/(CM15*TimeToExpiration^0.5), 0, 1, TRUE) - 
       $H15*EXP(-RiskFreeRate*TimeToExpiration)*_xlfn.NORM.DIST(CN$2*(LN(Underlying/$H15)+(RiskFreeRate-DividendYield-0.5*CM15^2)*TimeToExpiration)/(CM15*TimeToExpiration^0.5), 0, 1, TRUE)
)</f>
        <v>20.92641001</v>
      </c>
      <c r="CO15" s="40">
        <f t="shared" si="45"/>
        <v>0.3982064209</v>
      </c>
      <c r="CP15" s="40">
        <f t="shared" si="46"/>
        <v>0.3983894653</v>
      </c>
      <c r="CQ15" s="7">
        <f>CQ$2*(Underlying*EXP(-DividendYield*TimeToExpiration)*_xlfn.NORM.DIST(CQ$2*(LN(Underlying/$H15)+(RiskFreeRate-DividendYield+0.5*CO15^2)*TimeToExpiration)/(CO15*TimeToExpiration^0.5), 0, 1, TRUE) - 
       $H15*EXP(-RiskFreeRate*TimeToExpiration)*_xlfn.NORM.DIST(CQ$2*(LN(Underlying/$H15)+(RiskFreeRate-DividendYield-0.5*CO15^2)*TimeToExpiration)/(CO15*TimeToExpiration^0.5), 0, 1, TRUE)
)</f>
        <v>20.92445641</v>
      </c>
      <c r="CR15" s="7">
        <f>CR$2*(Underlying*EXP(-DividendYield*TimeToExpiration)*_xlfn.NORM.DIST(CR$2*(LN(Underlying/$H15)+(RiskFreeRate-DividendYield+0.5*CP15^2)*TimeToExpiration)/(CP15*TimeToExpiration^0.5), 0, 1, TRUE) - 
       $H15*EXP(-RiskFreeRate*TimeToExpiration)*_xlfn.NORM.DIST(CR$2*(LN(Underlying/$H15)+(RiskFreeRate-DividendYield-0.5*CP15^2)*TimeToExpiration)/(CP15*TimeToExpiration^0.5), 0, 1, TRUE)
)</f>
        <v>20.92641001</v>
      </c>
      <c r="CS15" s="40">
        <f t="shared" si="47"/>
        <v>0.3982979431</v>
      </c>
      <c r="CT15" s="8">
        <f>CT$2*(Underlying*EXP(-DividendYield*TimeToExpiration)*_xlfn.NORM.DIST(CT$2*(LN(Underlying/$H15)+(RiskFreeRate-DividendYield+0.5*CS15^2)*TimeToExpiration)/(CS15*TimeToExpiration^0.5), 0, 1, TRUE) - 
       $H15*EXP(-RiskFreeRate*TimeToExpiration)*_xlfn.NORM.DIST(CT$2*(LN(Underlying/$H15)+(RiskFreeRate-DividendYield-0.5*CS15^2)*TimeToExpiration)/(CS15*TimeToExpiration^0.5), 0, 1, TRUE)
)</f>
        <v>20.92543309</v>
      </c>
      <c r="CU15" s="40">
        <f t="shared" si="48"/>
        <v>0.3982064209</v>
      </c>
      <c r="CV15" s="40">
        <f t="shared" si="49"/>
        <v>0.3982979431</v>
      </c>
      <c r="CW15" s="7">
        <f>CW$2*(Underlying*EXP(-DividendYield*TimeToExpiration)*_xlfn.NORM.DIST(CW$2*(LN(Underlying/$H15)+(RiskFreeRate-DividendYield+0.5*CU15^2)*TimeToExpiration)/(CU15*TimeToExpiration^0.5), 0, 1, TRUE) - 
       $H15*EXP(-RiskFreeRate*TimeToExpiration)*_xlfn.NORM.DIST(CW$2*(LN(Underlying/$H15)+(RiskFreeRate-DividendYield-0.5*CU15^2)*TimeToExpiration)/(CU15*TimeToExpiration^0.5), 0, 1, TRUE)
)</f>
        <v>20.92445641</v>
      </c>
      <c r="CX15" s="7">
        <f>CX$2*(Underlying*EXP(-DividendYield*TimeToExpiration)*_xlfn.NORM.DIST(CX$2*(LN(Underlying/$H15)+(RiskFreeRate-DividendYield+0.5*CV15^2)*TimeToExpiration)/(CV15*TimeToExpiration^0.5), 0, 1, TRUE) - 
       $H15*EXP(-RiskFreeRate*TimeToExpiration)*_xlfn.NORM.DIST(CX$2*(LN(Underlying/$H15)+(RiskFreeRate-DividendYield-0.5*CV15^2)*TimeToExpiration)/(CV15*TimeToExpiration^0.5), 0, 1, TRUE)
)</f>
        <v>20.92543309</v>
      </c>
      <c r="CY15" s="40">
        <f t="shared" si="50"/>
        <v>0.398252182</v>
      </c>
      <c r="CZ15" s="8">
        <f>CZ$2*(Underlying*EXP(-DividendYield*TimeToExpiration)*_xlfn.NORM.DIST(CZ$2*(LN(Underlying/$H15)+(RiskFreeRate-DividendYield+0.5*CY15^2)*TimeToExpiration)/(CY15*TimeToExpiration^0.5), 0, 1, TRUE) - 
       $H15*EXP(-RiskFreeRate*TimeToExpiration)*_xlfn.NORM.DIST(CZ$2*(LN(Underlying/$H15)+(RiskFreeRate-DividendYield-0.5*CY15^2)*TimeToExpiration)/(CY15*TimeToExpiration^0.5), 0, 1, TRUE)
)</f>
        <v>20.92494472</v>
      </c>
      <c r="DA15" s="40">
        <f t="shared" si="51"/>
        <v>0.398252182</v>
      </c>
      <c r="DB15" s="40">
        <f t="shared" si="52"/>
        <v>0.3982979431</v>
      </c>
      <c r="DC15" s="7">
        <f>DC$2*(Underlying*EXP(-DividendYield*TimeToExpiration)*_xlfn.NORM.DIST(DC$2*(LN(Underlying/$H15)+(RiskFreeRate-DividendYield+0.5*DA15^2)*TimeToExpiration)/(DA15*TimeToExpiration^0.5), 0, 1, TRUE) - 
       $H15*EXP(-RiskFreeRate*TimeToExpiration)*_xlfn.NORM.DIST(DC$2*(LN(Underlying/$H15)+(RiskFreeRate-DividendYield-0.5*DA15^2)*TimeToExpiration)/(DA15*TimeToExpiration^0.5), 0, 1, TRUE)
)</f>
        <v>20.92494472</v>
      </c>
      <c r="DD15" s="7">
        <f>DD$2*(Underlying*EXP(-DividendYield*TimeToExpiration)*_xlfn.NORM.DIST(DD$2*(LN(Underlying/$H15)+(RiskFreeRate-DividendYield+0.5*DB15^2)*TimeToExpiration)/(DB15*TimeToExpiration^0.5), 0, 1, TRUE) - 
       $H15*EXP(-RiskFreeRate*TimeToExpiration)*_xlfn.NORM.DIST(DD$2*(LN(Underlying/$H15)+(RiskFreeRate-DividendYield-0.5*DB15^2)*TimeToExpiration)/(DB15*TimeToExpiration^0.5), 0, 1, TRUE)
)</f>
        <v>20.92543309</v>
      </c>
      <c r="DE15" s="40">
        <f t="shared" si="53"/>
        <v>0.3982750626</v>
      </c>
      <c r="DF15" s="8">
        <f>DF$2*(Underlying*EXP(-DividendYield*TimeToExpiration)*_xlfn.NORM.DIST(DF$2*(LN(Underlying/$H15)+(RiskFreeRate-DividendYield+0.5*DE15^2)*TimeToExpiration)/(DE15*TimeToExpiration^0.5), 0, 1, TRUE) - 
       $H15*EXP(-RiskFreeRate*TimeToExpiration)*_xlfn.NORM.DIST(DF$2*(LN(Underlying/$H15)+(RiskFreeRate-DividendYield-0.5*DE15^2)*TimeToExpiration)/(DE15*TimeToExpiration^0.5), 0, 1, TRUE)
)</f>
        <v>20.9251889</v>
      </c>
    </row>
    <row r="16">
      <c r="A16" s="20">
        <f>'Option Mkt Data'!A16</f>
        <v>322.5</v>
      </c>
      <c r="B16" s="35">
        <f t="shared" ref="B16:C16" si="63">DE16</f>
        <v>0.4062374954</v>
      </c>
      <c r="C16" s="7">
        <f t="shared" si="63"/>
        <v>18.95026748</v>
      </c>
      <c r="D16" s="7">
        <f t="shared" si="3"/>
        <v>0.0002705286029</v>
      </c>
      <c r="E16" s="9">
        <f t="shared" si="4"/>
        <v>0.00001427591802</v>
      </c>
      <c r="F16" s="36">
        <f>D16/'Option Mkt Data'!L16</f>
        <v>0.0005410572058</v>
      </c>
      <c r="G16" s="5">
        <f>'Option Mkt Data'!J16</f>
        <v>18.94999695</v>
      </c>
      <c r="H16" s="33">
        <f>'Option Mkt Data'!A16</f>
        <v>322.5</v>
      </c>
      <c r="I16" s="37">
        <f>MinSolverVola</f>
        <v>0.001</v>
      </c>
      <c r="J16" s="38">
        <f>MaxSolverVola</f>
        <v>3</v>
      </c>
      <c r="K16" s="39">
        <f>K$2*(Underlying*EXP(-DividendYield*TimeToExpiration)*_xlfn.NORM.DIST(K$2*(LN(Underlying/$H16)+(RiskFreeRate-DividendYield+0.5*I16^2)*TimeToExpiration)/(I16*TimeToExpiration^0.5), 0, 1, TRUE) - 
       $H16*EXP(-RiskFreeRate*TimeToExpiration)*_xlfn.NORM.DIST(K$2*(LN(Underlying/$H16)+(RiskFreeRate-DividendYield-0.5*I16^2)*TimeToExpiration)/(I16*TimeToExpiration^0.5), 0, 1, TRUE)
)</f>
        <v>17.0311992</v>
      </c>
      <c r="L16" s="7">
        <f>L$2*(Underlying*EXP(-DividendYield*TimeToExpiration)*_xlfn.NORM.DIST(L$2*(LN(Underlying/$H16)+(RiskFreeRate-DividendYield+0.5*J16^2)*TimeToExpiration)/(J16*TimeToExpiration^0.5), 0, 1, TRUE) - 
       $H16*EXP(-RiskFreeRate*TimeToExpiration)*_xlfn.NORM.DIST(L$2*(LN(Underlying/$H16)+(RiskFreeRate-DividendYield-0.5*J16^2)*TimeToExpiration)/(J16*TimeToExpiration^0.5), 0, 1, TRUE)
)</f>
        <v>64.47776488</v>
      </c>
      <c r="M16" s="40">
        <f t="shared" si="5"/>
        <v>1.5005</v>
      </c>
      <c r="N16" s="8">
        <f>N$2*(Underlying*EXP(-DividendYield*TimeToExpiration)*_xlfn.NORM.DIST(N$2*(LN(Underlying/$H16)+(RiskFreeRate-DividendYield+0.5*M16^2)*TimeToExpiration)/(M16*TimeToExpiration^0.5), 0, 1, TRUE) - 
       $H16*EXP(-RiskFreeRate*TimeToExpiration)*_xlfn.NORM.DIST(N$2*(LN(Underlying/$H16)+(RiskFreeRate-DividendYield-0.5*M16^2)*TimeToExpiration)/(M16*TimeToExpiration^0.5), 0, 1, TRUE)
)</f>
        <v>37.27662845</v>
      </c>
      <c r="O16" s="41">
        <f t="shared" si="6"/>
        <v>0.001</v>
      </c>
      <c r="P16" s="40">
        <f t="shared" si="7"/>
        <v>1.5005</v>
      </c>
      <c r="Q16" s="7">
        <f>Q$2*(Underlying*EXP(-DividendYield*TimeToExpiration)*_xlfn.NORM.DIST(Q$2*(LN(Underlying/$H16)+(RiskFreeRate-DividendYield+0.5*O16^2)*TimeToExpiration)/(O16*TimeToExpiration^0.5), 0, 1, TRUE) - 
       $H16*EXP(-RiskFreeRate*TimeToExpiration)*_xlfn.NORM.DIST(Q$2*(LN(Underlying/$H16)+(RiskFreeRate-DividendYield-0.5*O16^2)*TimeToExpiration)/(O16*TimeToExpiration^0.5), 0, 1, TRUE))</f>
        <v>17.0311992</v>
      </c>
      <c r="R16" s="7">
        <f>R$2*(Underlying*EXP(-DividendYield*TimeToExpiration)*_xlfn.NORM.DIST(R$2*(LN(Underlying/$H16)+(RiskFreeRate-DividendYield+0.5*P16^2)*TimeToExpiration)/(P16*TimeToExpiration^0.5), 0, 1, TRUE) - 
       $H16*EXP(-RiskFreeRate*TimeToExpiration)*_xlfn.NORM.DIST(R$2*(LN(Underlying/$H16)+(RiskFreeRate-DividendYield-0.5*P16^2)*TimeToExpiration)/(P16*TimeToExpiration^0.5), 0, 1, TRUE)
)</f>
        <v>37.27662845</v>
      </c>
      <c r="S16" s="40">
        <f t="shared" si="8"/>
        <v>0.75075</v>
      </c>
      <c r="T16" s="8">
        <f>T$2*(Underlying*EXP(-DividendYield*TimeToExpiration)*_xlfn.NORM.DIST(T$2*(LN(Underlying/$H16)+(RiskFreeRate-DividendYield+0.5*S16^2)*TimeToExpiration)/(S16*TimeToExpiration^0.5), 0, 1, TRUE) - 
       $H16*EXP(-RiskFreeRate*TimeToExpiration)*_xlfn.NORM.DIST(T$2*(LN(Underlying/$H16)+(RiskFreeRate-DividendYield-0.5*S16^2)*TimeToExpiration)/(S16*TimeToExpiration^0.5), 0, 1, TRUE)
)</f>
        <v>24.13131868</v>
      </c>
      <c r="U16" s="41">
        <f t="shared" si="9"/>
        <v>0.001</v>
      </c>
      <c r="V16" s="40">
        <f t="shared" si="10"/>
        <v>0.75075</v>
      </c>
      <c r="W16" s="7">
        <f>W$2*(Underlying*EXP(-DividendYield*TimeToExpiration)*_xlfn.NORM.DIST(W$2*(LN(Underlying/$H16)+(RiskFreeRate-DividendYield+0.5*U16^2)*TimeToExpiration)/(U16*TimeToExpiration^0.5), 0, 1, TRUE) - 
       $H16*EXP(-RiskFreeRate*TimeToExpiration)*_xlfn.NORM.DIST(W$2*(LN(Underlying/$H16)+(RiskFreeRate-DividendYield-0.5*U16^2)*TimeToExpiration)/(U16*TimeToExpiration^0.5), 0, 1, TRUE)
)</f>
        <v>17.0311992</v>
      </c>
      <c r="X16" s="7">
        <f>X$2*(Underlying*EXP(-DividendYield*TimeToExpiration)*_xlfn.NORM.DIST(X$2*(LN(Underlying/$H16)+(RiskFreeRate-DividendYield+0.5*V16^2)*TimeToExpiration)/(V16*TimeToExpiration^0.5), 0, 1, TRUE) - 
       $H16*EXP(-RiskFreeRate*TimeToExpiration)*_xlfn.NORM.DIST(X$2*(LN(Underlying/$H16)+(RiskFreeRate-DividendYield-0.5*V16^2)*TimeToExpiration)/(V16*TimeToExpiration^0.5), 0, 1, TRUE)
)</f>
        <v>24.13131868</v>
      </c>
      <c r="Y16" s="40">
        <f t="shared" si="11"/>
        <v>0.375875</v>
      </c>
      <c r="Z16" s="8">
        <f>Z$2*(Underlying*EXP(-DividendYield*TimeToExpiration)*_xlfn.NORM.DIST(Z$2*(LN(Underlying/$H16)+(RiskFreeRate-DividendYield+0.5*Y16^2)*TimeToExpiration)/(Y16*TimeToExpiration^0.5), 0, 1, TRUE) - 
       $H16*EXP(-RiskFreeRate*TimeToExpiration)*_xlfn.NORM.DIST(Z$2*(LN(Underlying/$H16)+(RiskFreeRate-DividendYield-0.5*Y16^2)*TimeToExpiration)/(Y16*TimeToExpiration^0.5), 0, 1, TRUE)
)</f>
        <v>18.58354383</v>
      </c>
      <c r="AA16" s="40">
        <f t="shared" si="12"/>
        <v>0.375875</v>
      </c>
      <c r="AB16" s="40">
        <f t="shared" si="13"/>
        <v>0.75075</v>
      </c>
      <c r="AC16" s="7">
        <f>AC$2*(Underlying*EXP(-DividendYield*TimeToExpiration)*_xlfn.NORM.DIST(AC$2*(LN(Underlying/$H16)+(RiskFreeRate-DividendYield+0.5*AA16^2)*TimeToExpiration)/(AA16*TimeToExpiration^0.5), 0, 1, TRUE) - 
       $H16*EXP(-RiskFreeRate*TimeToExpiration)*_xlfn.NORM.DIST(AC$2*(LN(Underlying/$H16)+(RiskFreeRate-DividendYield-0.5*AA16^2)*TimeToExpiration)/(AA16*TimeToExpiration^0.5), 0, 1, TRUE)
)</f>
        <v>18.58354383</v>
      </c>
      <c r="AD16" s="7">
        <f>AD$2*(Underlying*EXP(-DividendYield*TimeToExpiration)*_xlfn.NORM.DIST(AD$2*(LN(Underlying/$H16)+(RiskFreeRate-DividendYield+0.5*AB16^2)*TimeToExpiration)/(AB16*TimeToExpiration^0.5), 0, 1, TRUE) - 
       $H16*EXP(-RiskFreeRate*TimeToExpiration)*_xlfn.NORM.DIST(AD$2*(LN(Underlying/$H16)+(RiskFreeRate-DividendYield-0.5*AB16^2)*TimeToExpiration)/(AB16*TimeToExpiration^0.5), 0, 1, TRUE)
)</f>
        <v>24.13131868</v>
      </c>
      <c r="AE16" s="40">
        <f t="shared" si="14"/>
        <v>0.5633125</v>
      </c>
      <c r="AF16" s="8">
        <f>AF$2*(Underlying*EXP(-DividendYield*TimeToExpiration)*_xlfn.NORM.DIST(AF$2*(LN(Underlying/$H16)+(RiskFreeRate-DividendYield+0.5*AE16^2)*TimeToExpiration)/(AE16*TimeToExpiration^0.5), 0, 1, TRUE) - 
       $H16*EXP(-RiskFreeRate*TimeToExpiration)*_xlfn.NORM.DIST(AF$2*(LN(Underlying/$H16)+(RiskFreeRate-DividendYield-0.5*AE16^2)*TimeToExpiration)/(AE16*TimeToExpiration^0.5), 0, 1, TRUE)
)</f>
        <v>21.14487524</v>
      </c>
      <c r="AG16" s="40">
        <f t="shared" si="15"/>
        <v>0.375875</v>
      </c>
      <c r="AH16" s="40">
        <f t="shared" si="16"/>
        <v>0.5633125</v>
      </c>
      <c r="AI16" s="7">
        <f>AI$2*(Underlying*EXP(-DividendYield*TimeToExpiration)*_xlfn.NORM.DIST(AI$2*(LN(Underlying/$H16)+(RiskFreeRate-DividendYield+0.5*AG16^2)*TimeToExpiration)/(AG16*TimeToExpiration^0.5), 0, 1, TRUE) - 
       $H16*EXP(-RiskFreeRate*TimeToExpiration)*_xlfn.NORM.DIST(AI$2*(LN(Underlying/$H16)+(RiskFreeRate-DividendYield-0.5*AG16^2)*TimeToExpiration)/(AG16*TimeToExpiration^0.5), 0, 1, TRUE)
)</f>
        <v>18.58354383</v>
      </c>
      <c r="AJ16" s="7">
        <f>AJ$2*(Underlying*EXP(-DividendYield*TimeToExpiration)*_xlfn.NORM.DIST(AJ$2*(LN(Underlying/$H16)+(RiskFreeRate-DividendYield+0.5*AH16^2)*TimeToExpiration)/(AH16*TimeToExpiration^0.5), 0, 1, TRUE) - 
       $H16*EXP(-RiskFreeRate*TimeToExpiration)*_xlfn.NORM.DIST(AJ$2*(LN(Underlying/$H16)+(RiskFreeRate-DividendYield-0.5*AH16^2)*TimeToExpiration)/(AH16*TimeToExpiration^0.5), 0, 1, TRUE)
)</f>
        <v>21.14487524</v>
      </c>
      <c r="AK16" s="40">
        <f t="shared" si="17"/>
        <v>0.46959375</v>
      </c>
      <c r="AL16" s="8">
        <f>AL$2*(Underlying*EXP(-DividendYield*TimeToExpiration)*_xlfn.NORM.DIST(AL$2*(LN(Underlying/$H16)+(RiskFreeRate-DividendYield+0.5*AK16^2)*TimeToExpiration)/(AK16*TimeToExpiration^0.5), 0, 1, TRUE) - 
       $H16*EXP(-RiskFreeRate*TimeToExpiration)*_xlfn.NORM.DIST(AL$2*(LN(Underlying/$H16)+(RiskFreeRate-DividendYield-0.5*AK16^2)*TimeToExpiration)/(AK16*TimeToExpiration^0.5), 0, 1, TRUE)
)</f>
        <v>19.78490914</v>
      </c>
      <c r="AM16" s="40">
        <f t="shared" si="18"/>
        <v>0.375875</v>
      </c>
      <c r="AN16" s="40">
        <f t="shared" si="19"/>
        <v>0.46959375</v>
      </c>
      <c r="AO16" s="7">
        <f>AO$2*(Underlying*EXP(-DividendYield*TimeToExpiration)*_xlfn.NORM.DIST(AO$2*(LN(Underlying/$H16)+(RiskFreeRate-DividendYield+0.5*AM16^2)*TimeToExpiration)/(AM16*TimeToExpiration^0.5), 0, 1, TRUE) - 
       $H16*EXP(-RiskFreeRate*TimeToExpiration)*_xlfn.NORM.DIST(AO$2*(LN(Underlying/$H16)+(RiskFreeRate-DividendYield-0.5*AM16^2)*TimeToExpiration)/(AM16*TimeToExpiration^0.5), 0, 1, TRUE)
)</f>
        <v>18.58354383</v>
      </c>
      <c r="AP16" s="7">
        <f>AP$2*(Underlying*EXP(-DividendYield*TimeToExpiration)*_xlfn.NORM.DIST(AP$2*(LN(Underlying/$H16)+(RiskFreeRate-DividendYield+0.5*AN16^2)*TimeToExpiration)/(AN16*TimeToExpiration^0.5), 0, 1, TRUE) - 
       $H16*EXP(-RiskFreeRate*TimeToExpiration)*_xlfn.NORM.DIST(AP$2*(LN(Underlying/$H16)+(RiskFreeRate-DividendYield-0.5*AN16^2)*TimeToExpiration)/(AN16*TimeToExpiration^0.5), 0, 1, TRUE)
)</f>
        <v>19.78490914</v>
      </c>
      <c r="AQ16" s="40">
        <f t="shared" si="20"/>
        <v>0.422734375</v>
      </c>
      <c r="AR16" s="8">
        <f>AR$2*(Underlying*EXP(-DividendYield*TimeToExpiration)*_xlfn.NORM.DIST(AR$2*(LN(Underlying/$H16)+(RiskFreeRate-DividendYield+0.5*AQ16^2)*TimeToExpiration)/(AQ16*TimeToExpiration^0.5), 0, 1, TRUE) - 
       $H16*EXP(-RiskFreeRate*TimeToExpiration)*_xlfn.NORM.DIST(AR$2*(LN(Underlying/$H16)+(RiskFreeRate-DividendYield-0.5*AQ16^2)*TimeToExpiration)/(AQ16*TimeToExpiration^0.5), 0, 1, TRUE)
)</f>
        <v>19.15930759</v>
      </c>
      <c r="AS16" s="40">
        <f t="shared" si="21"/>
        <v>0.375875</v>
      </c>
      <c r="AT16" s="40">
        <f t="shared" si="22"/>
        <v>0.422734375</v>
      </c>
      <c r="AU16" s="7">
        <f>AU$2*(Underlying*EXP(-DividendYield*TimeToExpiration)*_xlfn.NORM.DIST(AU$2*(LN(Underlying/$H16)+(RiskFreeRate-DividendYield+0.5*AS16^2)*TimeToExpiration)/(AS16*TimeToExpiration^0.5), 0, 1, TRUE) - 
       $H16*EXP(-RiskFreeRate*TimeToExpiration)*_xlfn.NORM.DIST(AU$2*(LN(Underlying/$H16)+(RiskFreeRate-DividendYield-0.5*AS16^2)*TimeToExpiration)/(AS16*TimeToExpiration^0.5), 0, 1, TRUE)
)</f>
        <v>18.58354383</v>
      </c>
      <c r="AV16" s="7">
        <f>AV$2*(Underlying*EXP(-DividendYield*TimeToExpiration)*_xlfn.NORM.DIST(AV$2*(LN(Underlying/$H16)+(RiskFreeRate-DividendYield+0.5*AT16^2)*TimeToExpiration)/(AT16*TimeToExpiration^0.5), 0, 1, TRUE) - 
       $H16*EXP(-RiskFreeRate*TimeToExpiration)*_xlfn.NORM.DIST(AV$2*(LN(Underlying/$H16)+(RiskFreeRate-DividendYield-0.5*AT16^2)*TimeToExpiration)/(AT16*TimeToExpiration^0.5), 0, 1, TRUE)
)</f>
        <v>19.15930759</v>
      </c>
      <c r="AW16" s="40">
        <f t="shared" si="23"/>
        <v>0.3993046875</v>
      </c>
      <c r="AX16" s="8">
        <f>AX$2*(Underlying*EXP(-DividendYield*TimeToExpiration)*_xlfn.NORM.DIST(AX$2*(LN(Underlying/$H16)+(RiskFreeRate-DividendYield+0.5*AW16^2)*TimeToExpiration)/(AW16*TimeToExpiration^0.5), 0, 1, TRUE) - 
       $H16*EXP(-RiskFreeRate*TimeToExpiration)*_xlfn.NORM.DIST(AX$2*(LN(Underlying/$H16)+(RiskFreeRate-DividendYield-0.5*AW16^2)*TimeToExpiration)/(AW16*TimeToExpiration^0.5), 0, 1, TRUE)
)</f>
        <v>18.8643876</v>
      </c>
      <c r="AY16" s="40">
        <f t="shared" si="24"/>
        <v>0.3993046875</v>
      </c>
      <c r="AZ16" s="40">
        <f t="shared" si="25"/>
        <v>0.422734375</v>
      </c>
      <c r="BA16" s="7">
        <f>BA$2*(Underlying*EXP(-DividendYield*TimeToExpiration)*_xlfn.NORM.DIST(BA$2*(LN(Underlying/$H16)+(RiskFreeRate-DividendYield+0.5*AY16^2)*TimeToExpiration)/(AY16*TimeToExpiration^0.5), 0, 1, TRUE) - 
       $H16*EXP(-RiskFreeRate*TimeToExpiration)*_xlfn.NORM.DIST(BA$2*(LN(Underlying/$H16)+(RiskFreeRate-DividendYield-0.5*AY16^2)*TimeToExpiration)/(AY16*TimeToExpiration^0.5), 0, 1, TRUE)
)</f>
        <v>18.8643876</v>
      </c>
      <c r="BB16" s="7">
        <f>BB$2*(Underlying*EXP(-DividendYield*TimeToExpiration)*_xlfn.NORM.DIST(BB$2*(LN(Underlying/$H16)+(RiskFreeRate-DividendYield+0.5*AZ16^2)*TimeToExpiration)/(AZ16*TimeToExpiration^0.5), 0, 1, TRUE) - 
       $H16*EXP(-RiskFreeRate*TimeToExpiration)*_xlfn.NORM.DIST(BB$2*(LN(Underlying/$H16)+(RiskFreeRate-DividendYield-0.5*AZ16^2)*TimeToExpiration)/(AZ16*TimeToExpiration^0.5), 0, 1, TRUE)
)</f>
        <v>19.15930759</v>
      </c>
      <c r="BC16" s="40">
        <f t="shared" si="26"/>
        <v>0.4110195313</v>
      </c>
      <c r="BD16" s="8">
        <f>BD$2*(Underlying*EXP(-DividendYield*TimeToExpiration)*_xlfn.NORM.DIST(BD$2*(LN(Underlying/$H16)+(RiskFreeRate-DividendYield+0.5*BC16^2)*TimeToExpiration)/(BC16*TimeToExpiration^0.5), 0, 1, TRUE) - 
       $H16*EXP(-RiskFreeRate*TimeToExpiration)*_xlfn.NORM.DIST(BD$2*(LN(Underlying/$H16)+(RiskFreeRate-DividendYield-0.5*BC16^2)*TimeToExpiration)/(BC16*TimeToExpiration^0.5), 0, 1, TRUE)
)</f>
        <v>19.01019819</v>
      </c>
      <c r="BE16" s="40">
        <f t="shared" si="27"/>
        <v>0.3993046875</v>
      </c>
      <c r="BF16" s="40">
        <f t="shared" si="28"/>
        <v>0.4110195313</v>
      </c>
      <c r="BG16" s="7">
        <f>BG$2*(Underlying*EXP(-DividendYield*TimeToExpiration)*_xlfn.NORM.DIST(BG$2*(LN(Underlying/$H16)+(RiskFreeRate-DividendYield+0.5*BE16^2)*TimeToExpiration)/(BE16*TimeToExpiration^0.5), 0, 1, TRUE) - 
       $H16*EXP(-RiskFreeRate*TimeToExpiration)*_xlfn.NORM.DIST(BG$2*(LN(Underlying/$H16)+(RiskFreeRate-DividendYield-0.5*BE16^2)*TimeToExpiration)/(BE16*TimeToExpiration^0.5), 0, 1, TRUE)
)</f>
        <v>18.8643876</v>
      </c>
      <c r="BH16" s="7">
        <f>BH$2*(Underlying*EXP(-DividendYield*TimeToExpiration)*_xlfn.NORM.DIST(BH$2*(LN(Underlying/$H16)+(RiskFreeRate-DividendYield+0.5*BF16^2)*TimeToExpiration)/(BF16*TimeToExpiration^0.5), 0, 1, TRUE) - 
       $H16*EXP(-RiskFreeRate*TimeToExpiration)*_xlfn.NORM.DIST(BH$2*(LN(Underlying/$H16)+(RiskFreeRate-DividendYield-0.5*BF16^2)*TimeToExpiration)/(BF16*TimeToExpiration^0.5), 0, 1, TRUE)
)</f>
        <v>19.01019819</v>
      </c>
      <c r="BI16" s="40">
        <f t="shared" si="29"/>
        <v>0.4051621094</v>
      </c>
      <c r="BJ16" s="8">
        <f>BJ$2*(Underlying*EXP(-DividendYield*TimeToExpiration)*_xlfn.NORM.DIST(BJ$2*(LN(Underlying/$H16)+(RiskFreeRate-DividendYield+0.5*BI16^2)*TimeToExpiration)/(BI16*TimeToExpiration^0.5), 0, 1, TRUE) - 
       $H16*EXP(-RiskFreeRate*TimeToExpiration)*_xlfn.NORM.DIST(BJ$2*(LN(Underlying/$H16)+(RiskFreeRate-DividendYield-0.5*BI16^2)*TimeToExpiration)/(BI16*TimeToExpiration^0.5), 0, 1, TRUE)
)</f>
        <v>18.93686738</v>
      </c>
      <c r="BK16" s="40">
        <f t="shared" si="30"/>
        <v>0.4051621094</v>
      </c>
      <c r="BL16" s="40">
        <f t="shared" si="31"/>
        <v>0.4110195313</v>
      </c>
      <c r="BM16" s="7">
        <f>BM$2*(Underlying*EXP(-DividendYield*TimeToExpiration)*_xlfn.NORM.DIST(BM$2*(LN(Underlying/$H16)+(RiskFreeRate-DividendYield+0.5*BK16^2)*TimeToExpiration)/(BK16*TimeToExpiration^0.5), 0, 1, TRUE) - 
       $H16*EXP(-RiskFreeRate*TimeToExpiration)*_xlfn.NORM.DIST(BM$2*(LN(Underlying/$H16)+(RiskFreeRate-DividendYield-0.5*BK16^2)*TimeToExpiration)/(BK16*TimeToExpiration^0.5), 0, 1, TRUE)
)</f>
        <v>18.93686738</v>
      </c>
      <c r="BN16" s="7">
        <f>BN$2*(Underlying*EXP(-DividendYield*TimeToExpiration)*_xlfn.NORM.DIST(BN$2*(LN(Underlying/$H16)+(RiskFreeRate-DividendYield+0.5*BL16^2)*TimeToExpiration)/(BL16*TimeToExpiration^0.5), 0, 1, TRUE) - 
       $H16*EXP(-RiskFreeRate*TimeToExpiration)*_xlfn.NORM.DIST(BN$2*(LN(Underlying/$H16)+(RiskFreeRate-DividendYield-0.5*BL16^2)*TimeToExpiration)/(BL16*TimeToExpiration^0.5), 0, 1, TRUE)
)</f>
        <v>19.01019819</v>
      </c>
      <c r="BO16" s="40">
        <f t="shared" si="32"/>
        <v>0.4080908203</v>
      </c>
      <c r="BP16" s="8">
        <f>BP$2*(Underlying*EXP(-DividendYield*TimeToExpiration)*_xlfn.NORM.DIST(BP$2*(LN(Underlying/$H16)+(RiskFreeRate-DividendYield+0.5*BO16^2)*TimeToExpiration)/(BO16*TimeToExpiration^0.5), 0, 1, TRUE) - 
       $H16*EXP(-RiskFreeRate*TimeToExpiration)*_xlfn.NORM.DIST(BP$2*(LN(Underlying/$H16)+(RiskFreeRate-DividendYield-0.5*BO16^2)*TimeToExpiration)/(BO16*TimeToExpiration^0.5), 0, 1, TRUE)
)</f>
        <v>18.97342809</v>
      </c>
      <c r="BQ16" s="40">
        <f t="shared" si="33"/>
        <v>0.4051621094</v>
      </c>
      <c r="BR16" s="40">
        <f t="shared" si="34"/>
        <v>0.4080908203</v>
      </c>
      <c r="BS16" s="7">
        <f>BS$2*(Underlying*EXP(-DividendYield*TimeToExpiration)*_xlfn.NORM.DIST(BS$2*(LN(Underlying/$H16)+(RiskFreeRate-DividendYield+0.5*BQ16^2)*TimeToExpiration)/(BQ16*TimeToExpiration^0.5), 0, 1, TRUE) - 
       $H16*EXP(-RiskFreeRate*TimeToExpiration)*_xlfn.NORM.DIST(BS$2*(LN(Underlying/$H16)+(RiskFreeRate-DividendYield-0.5*BQ16^2)*TimeToExpiration)/(BQ16*TimeToExpiration^0.5), 0, 1, TRUE)
)</f>
        <v>18.93686738</v>
      </c>
      <c r="BT16" s="7">
        <f>BT$2*(Underlying*EXP(-DividendYield*TimeToExpiration)*_xlfn.NORM.DIST(BT$2*(LN(Underlying/$H16)+(RiskFreeRate-DividendYield+0.5*BR16^2)*TimeToExpiration)/(BR16*TimeToExpiration^0.5), 0, 1, TRUE) - 
       $H16*EXP(-RiskFreeRate*TimeToExpiration)*_xlfn.NORM.DIST(BT$2*(LN(Underlying/$H16)+(RiskFreeRate-DividendYield-0.5*BR16^2)*TimeToExpiration)/(BR16*TimeToExpiration^0.5), 0, 1, TRUE)
)</f>
        <v>18.97342809</v>
      </c>
      <c r="BU16" s="40">
        <f t="shared" si="35"/>
        <v>0.4066264648</v>
      </c>
      <c r="BV16" s="8">
        <f>BV$2*(Underlying*EXP(-DividendYield*TimeToExpiration)*_xlfn.NORM.DIST(BV$2*(LN(Underlying/$H16)+(RiskFreeRate-DividendYield+0.5*BU16^2)*TimeToExpiration)/(BU16*TimeToExpiration^0.5), 0, 1, TRUE) - 
       $H16*EXP(-RiskFreeRate*TimeToExpiration)*_xlfn.NORM.DIST(BV$2*(LN(Underlying/$H16)+(RiskFreeRate-DividendYield-0.5*BU16^2)*TimeToExpiration)/(BU16*TimeToExpiration^0.5), 0, 1, TRUE)
)</f>
        <v>18.95512135</v>
      </c>
      <c r="BW16" s="40">
        <f t="shared" si="36"/>
        <v>0.4051621094</v>
      </c>
      <c r="BX16" s="40">
        <f t="shared" si="37"/>
        <v>0.4066264648</v>
      </c>
      <c r="BY16" s="7">
        <f>BY$2*(Underlying*EXP(-DividendYield*TimeToExpiration)*_xlfn.NORM.DIST(BY$2*(LN(Underlying/$H16)+(RiskFreeRate-DividendYield+0.5*BW16^2)*TimeToExpiration)/(BW16*TimeToExpiration^0.5), 0, 1, TRUE) - 
       $H16*EXP(-RiskFreeRate*TimeToExpiration)*_xlfn.NORM.DIST(BY$2*(LN(Underlying/$H16)+(RiskFreeRate-DividendYield-0.5*BW16^2)*TimeToExpiration)/(BW16*TimeToExpiration^0.5), 0, 1, TRUE)
)</f>
        <v>18.93686738</v>
      </c>
      <c r="BZ16" s="7">
        <f>BZ$2*(Underlying*EXP(-DividendYield*TimeToExpiration)*_xlfn.NORM.DIST(BZ$2*(LN(Underlying/$H16)+(RiskFreeRate-DividendYield+0.5*BX16^2)*TimeToExpiration)/(BX16*TimeToExpiration^0.5), 0, 1, TRUE) - 
       $H16*EXP(-RiskFreeRate*TimeToExpiration)*_xlfn.NORM.DIST(BZ$2*(LN(Underlying/$H16)+(RiskFreeRate-DividendYield-0.5*BX16^2)*TimeToExpiration)/(BX16*TimeToExpiration^0.5), 0, 1, TRUE)
)</f>
        <v>18.95512135</v>
      </c>
      <c r="CA16" s="40">
        <f t="shared" si="38"/>
        <v>0.4058942871</v>
      </c>
      <c r="CB16" s="8">
        <f>CB$2*(Underlying*EXP(-DividendYield*TimeToExpiration)*_xlfn.NORM.DIST(CB$2*(LN(Underlying/$H16)+(RiskFreeRate-DividendYield+0.5*CA16^2)*TimeToExpiration)/(CA16*TimeToExpiration^0.5), 0, 1, TRUE) - 
       $H16*EXP(-RiskFreeRate*TimeToExpiration)*_xlfn.NORM.DIST(CB$2*(LN(Underlying/$H16)+(RiskFreeRate-DividendYield-0.5*CA16^2)*TimeToExpiration)/(CA16*TimeToExpiration^0.5), 0, 1, TRUE)
)</f>
        <v>18.94598775</v>
      </c>
      <c r="CC16" s="40">
        <f t="shared" si="39"/>
        <v>0.4058942871</v>
      </c>
      <c r="CD16" s="40">
        <f t="shared" si="40"/>
        <v>0.4066264648</v>
      </c>
      <c r="CE16" s="7">
        <f>CE$2*(Underlying*EXP(-DividendYield*TimeToExpiration)*_xlfn.NORM.DIST(CE$2*(LN(Underlying/$H16)+(RiskFreeRate-DividendYield+0.5*CC16^2)*TimeToExpiration)/(CC16*TimeToExpiration^0.5), 0, 1, TRUE) - 
       $H16*EXP(-RiskFreeRate*TimeToExpiration)*_xlfn.NORM.DIST(CE$2*(LN(Underlying/$H16)+(RiskFreeRate-DividendYield-0.5*CC16^2)*TimeToExpiration)/(CC16*TimeToExpiration^0.5), 0, 1, TRUE)
)</f>
        <v>18.94598775</v>
      </c>
      <c r="CF16" s="7">
        <f>CF$2*(Underlying*EXP(-DividendYield*TimeToExpiration)*_xlfn.NORM.DIST(CF$2*(LN(Underlying/$H16)+(RiskFreeRate-DividendYield+0.5*CD16^2)*TimeToExpiration)/(CD16*TimeToExpiration^0.5), 0, 1, TRUE) - 
       $H16*EXP(-RiskFreeRate*TimeToExpiration)*_xlfn.NORM.DIST(CF$2*(LN(Underlying/$H16)+(RiskFreeRate-DividendYield-0.5*CD16^2)*TimeToExpiration)/(CD16*TimeToExpiration^0.5), 0, 1, TRUE)
)</f>
        <v>18.95512135</v>
      </c>
      <c r="CG16" s="40">
        <f t="shared" si="41"/>
        <v>0.406260376</v>
      </c>
      <c r="CH16" s="8">
        <f>CH$2*(Underlying*EXP(-DividendYield*TimeToExpiration)*_xlfn.NORM.DIST(CH$2*(LN(Underlying/$H16)+(RiskFreeRate-DividendYield+0.5*CG16^2)*TimeToExpiration)/(CG16*TimeToExpiration^0.5), 0, 1, TRUE) - 
       $H16*EXP(-RiskFreeRate*TimeToExpiration)*_xlfn.NORM.DIST(CH$2*(LN(Underlying/$H16)+(RiskFreeRate-DividendYield-0.5*CG16^2)*TimeToExpiration)/(CG16*TimeToExpiration^0.5), 0, 1, TRUE)
)</f>
        <v>18.9505529</v>
      </c>
      <c r="CI16" s="40">
        <f t="shared" si="42"/>
        <v>0.4058942871</v>
      </c>
      <c r="CJ16" s="40">
        <f t="shared" si="43"/>
        <v>0.406260376</v>
      </c>
      <c r="CK16" s="7">
        <f>CK$2*(Underlying*EXP(-DividendYield*TimeToExpiration)*_xlfn.NORM.DIST(CK$2*(LN(Underlying/$H16)+(RiskFreeRate-DividendYield+0.5*CI16^2)*TimeToExpiration)/(CI16*TimeToExpiration^0.5), 0, 1, TRUE) - 
       $H16*EXP(-RiskFreeRate*TimeToExpiration)*_xlfn.NORM.DIST(CK$2*(LN(Underlying/$H16)+(RiskFreeRate-DividendYield-0.5*CI16^2)*TimeToExpiration)/(CI16*TimeToExpiration^0.5), 0, 1, TRUE)
)</f>
        <v>18.94598775</v>
      </c>
      <c r="CL16" s="7">
        <f>CL$2*(Underlying*EXP(-DividendYield*TimeToExpiration)*_xlfn.NORM.DIST(CL$2*(LN(Underlying/$H16)+(RiskFreeRate-DividendYield+0.5*CJ16^2)*TimeToExpiration)/(CJ16*TimeToExpiration^0.5), 0, 1, TRUE) - 
       $H16*EXP(-RiskFreeRate*TimeToExpiration)*_xlfn.NORM.DIST(CL$2*(LN(Underlying/$H16)+(RiskFreeRate-DividendYield-0.5*CJ16^2)*TimeToExpiration)/(CJ16*TimeToExpiration^0.5), 0, 1, TRUE)
)</f>
        <v>18.9505529</v>
      </c>
      <c r="CM16" s="40">
        <f t="shared" si="44"/>
        <v>0.4060773315</v>
      </c>
      <c r="CN16" s="8">
        <f>CN$2*(Underlying*EXP(-DividendYield*TimeToExpiration)*_xlfn.NORM.DIST(CN$2*(LN(Underlying/$H16)+(RiskFreeRate-DividendYield+0.5*CM16^2)*TimeToExpiration)/(CM16*TimeToExpiration^0.5), 0, 1, TRUE) - 
       $H16*EXP(-RiskFreeRate*TimeToExpiration)*_xlfn.NORM.DIST(CN$2*(LN(Underlying/$H16)+(RiskFreeRate-DividendYield-0.5*CM16^2)*TimeToExpiration)/(CM16*TimeToExpiration^0.5), 0, 1, TRUE)
)</f>
        <v>18.94826991</v>
      </c>
      <c r="CO16" s="40">
        <f t="shared" si="45"/>
        <v>0.4060773315</v>
      </c>
      <c r="CP16" s="40">
        <f t="shared" si="46"/>
        <v>0.406260376</v>
      </c>
      <c r="CQ16" s="7">
        <f>CQ$2*(Underlying*EXP(-DividendYield*TimeToExpiration)*_xlfn.NORM.DIST(CQ$2*(LN(Underlying/$H16)+(RiskFreeRate-DividendYield+0.5*CO16^2)*TimeToExpiration)/(CO16*TimeToExpiration^0.5), 0, 1, TRUE) - 
       $H16*EXP(-RiskFreeRate*TimeToExpiration)*_xlfn.NORM.DIST(CQ$2*(LN(Underlying/$H16)+(RiskFreeRate-DividendYield-0.5*CO16^2)*TimeToExpiration)/(CO16*TimeToExpiration^0.5), 0, 1, TRUE)
)</f>
        <v>18.94826991</v>
      </c>
      <c r="CR16" s="7">
        <f>CR$2*(Underlying*EXP(-DividendYield*TimeToExpiration)*_xlfn.NORM.DIST(CR$2*(LN(Underlying/$H16)+(RiskFreeRate-DividendYield+0.5*CP16^2)*TimeToExpiration)/(CP16*TimeToExpiration^0.5), 0, 1, TRUE) - 
       $H16*EXP(-RiskFreeRate*TimeToExpiration)*_xlfn.NORM.DIST(CR$2*(LN(Underlying/$H16)+(RiskFreeRate-DividendYield-0.5*CP16^2)*TimeToExpiration)/(CP16*TimeToExpiration^0.5), 0, 1, TRUE)
)</f>
        <v>18.9505529</v>
      </c>
      <c r="CS16" s="40">
        <f t="shared" si="47"/>
        <v>0.4061688538</v>
      </c>
      <c r="CT16" s="8">
        <f>CT$2*(Underlying*EXP(-DividendYield*TimeToExpiration)*_xlfn.NORM.DIST(CT$2*(LN(Underlying/$H16)+(RiskFreeRate-DividendYield+0.5*CS16^2)*TimeToExpiration)/(CS16*TimeToExpiration^0.5), 0, 1, TRUE) - 
       $H16*EXP(-RiskFreeRate*TimeToExpiration)*_xlfn.NORM.DIST(CT$2*(LN(Underlying/$H16)+(RiskFreeRate-DividendYield-0.5*CS16^2)*TimeToExpiration)/(CS16*TimeToExpiration^0.5), 0, 1, TRUE)
)</f>
        <v>18.9494113</v>
      </c>
      <c r="CU16" s="40">
        <f t="shared" si="48"/>
        <v>0.4061688538</v>
      </c>
      <c r="CV16" s="40">
        <f t="shared" si="49"/>
        <v>0.406260376</v>
      </c>
      <c r="CW16" s="7">
        <f>CW$2*(Underlying*EXP(-DividendYield*TimeToExpiration)*_xlfn.NORM.DIST(CW$2*(LN(Underlying/$H16)+(RiskFreeRate-DividendYield+0.5*CU16^2)*TimeToExpiration)/(CU16*TimeToExpiration^0.5), 0, 1, TRUE) - 
       $H16*EXP(-RiskFreeRate*TimeToExpiration)*_xlfn.NORM.DIST(CW$2*(LN(Underlying/$H16)+(RiskFreeRate-DividendYield-0.5*CU16^2)*TimeToExpiration)/(CU16*TimeToExpiration^0.5), 0, 1, TRUE)
)</f>
        <v>18.9494113</v>
      </c>
      <c r="CX16" s="7">
        <f>CX$2*(Underlying*EXP(-DividendYield*TimeToExpiration)*_xlfn.NORM.DIST(CX$2*(LN(Underlying/$H16)+(RiskFreeRate-DividendYield+0.5*CV16^2)*TimeToExpiration)/(CV16*TimeToExpiration^0.5), 0, 1, TRUE) - 
       $H16*EXP(-RiskFreeRate*TimeToExpiration)*_xlfn.NORM.DIST(CX$2*(LN(Underlying/$H16)+(RiskFreeRate-DividendYield-0.5*CV16^2)*TimeToExpiration)/(CV16*TimeToExpiration^0.5), 0, 1, TRUE)
)</f>
        <v>18.9505529</v>
      </c>
      <c r="CY16" s="40">
        <f t="shared" si="50"/>
        <v>0.4062146149</v>
      </c>
      <c r="CZ16" s="8">
        <f>CZ$2*(Underlying*EXP(-DividendYield*TimeToExpiration)*_xlfn.NORM.DIST(CZ$2*(LN(Underlying/$H16)+(RiskFreeRate-DividendYield+0.5*CY16^2)*TimeToExpiration)/(CY16*TimeToExpiration^0.5), 0, 1, TRUE) - 
       $H16*EXP(-RiskFreeRate*TimeToExpiration)*_xlfn.NORM.DIST(CZ$2*(LN(Underlying/$H16)+(RiskFreeRate-DividendYield-0.5*CY16^2)*TimeToExpiration)/(CY16*TimeToExpiration^0.5), 0, 1, TRUE)
)</f>
        <v>18.94998207</v>
      </c>
      <c r="DA16" s="40">
        <f t="shared" si="51"/>
        <v>0.4062146149</v>
      </c>
      <c r="DB16" s="40">
        <f t="shared" si="52"/>
        <v>0.406260376</v>
      </c>
      <c r="DC16" s="7">
        <f>DC$2*(Underlying*EXP(-DividendYield*TimeToExpiration)*_xlfn.NORM.DIST(DC$2*(LN(Underlying/$H16)+(RiskFreeRate-DividendYield+0.5*DA16^2)*TimeToExpiration)/(DA16*TimeToExpiration^0.5), 0, 1, TRUE) - 
       $H16*EXP(-RiskFreeRate*TimeToExpiration)*_xlfn.NORM.DIST(DC$2*(LN(Underlying/$H16)+(RiskFreeRate-DividendYield-0.5*DA16^2)*TimeToExpiration)/(DA16*TimeToExpiration^0.5), 0, 1, TRUE)
)</f>
        <v>18.94998207</v>
      </c>
      <c r="DD16" s="7">
        <f>DD$2*(Underlying*EXP(-DividendYield*TimeToExpiration)*_xlfn.NORM.DIST(DD$2*(LN(Underlying/$H16)+(RiskFreeRate-DividendYield+0.5*DB16^2)*TimeToExpiration)/(DB16*TimeToExpiration^0.5), 0, 1, TRUE) - 
       $H16*EXP(-RiskFreeRate*TimeToExpiration)*_xlfn.NORM.DIST(DD$2*(LN(Underlying/$H16)+(RiskFreeRate-DividendYield-0.5*DB16^2)*TimeToExpiration)/(DB16*TimeToExpiration^0.5), 0, 1, TRUE)
)</f>
        <v>18.9505529</v>
      </c>
      <c r="DE16" s="40">
        <f t="shared" si="53"/>
        <v>0.4062374954</v>
      </c>
      <c r="DF16" s="8">
        <f>DF$2*(Underlying*EXP(-DividendYield*TimeToExpiration)*_xlfn.NORM.DIST(DF$2*(LN(Underlying/$H16)+(RiskFreeRate-DividendYield+0.5*DE16^2)*TimeToExpiration)/(DE16*TimeToExpiration^0.5), 0, 1, TRUE) - 
       $H16*EXP(-RiskFreeRate*TimeToExpiration)*_xlfn.NORM.DIST(DF$2*(LN(Underlying/$H16)+(RiskFreeRate-DividendYield-0.5*DE16^2)*TimeToExpiration)/(DE16*TimeToExpiration^0.5), 0, 1, TRUE)
)</f>
        <v>18.95026748</v>
      </c>
    </row>
    <row r="17">
      <c r="A17" s="20">
        <f>'Option Mkt Data'!A17</f>
        <v>325</v>
      </c>
      <c r="B17" s="35">
        <f t="shared" ref="B17:C17" si="64">DE17</f>
        <v>0.3894889297</v>
      </c>
      <c r="C17" s="7">
        <f t="shared" si="64"/>
        <v>16.75009174</v>
      </c>
      <c r="D17" s="7">
        <f t="shared" si="3"/>
        <v>0.00009173831933</v>
      </c>
      <c r="E17" s="9">
        <f t="shared" si="4"/>
        <v>0.000005476914587</v>
      </c>
      <c r="F17" s="36">
        <f>D17/'Option Mkt Data'!L17</f>
        <v>0.0003058068339</v>
      </c>
      <c r="G17" s="5">
        <f>'Option Mkt Data'!J17</f>
        <v>16.75</v>
      </c>
      <c r="H17" s="33">
        <f>'Option Mkt Data'!A17</f>
        <v>325</v>
      </c>
      <c r="I17" s="37">
        <f>MinSolverVola</f>
        <v>0.001</v>
      </c>
      <c r="J17" s="38">
        <f>MaxSolverVola</f>
        <v>3</v>
      </c>
      <c r="K17" s="39">
        <f>K$2*(Underlying*EXP(-DividendYield*TimeToExpiration)*_xlfn.NORM.DIST(K$2*(LN(Underlying/$H17)+(RiskFreeRate-DividendYield+0.5*I17^2)*TimeToExpiration)/(I17*TimeToExpiration^0.5), 0, 1, TRUE) - 
       $H17*EXP(-RiskFreeRate*TimeToExpiration)*_xlfn.NORM.DIST(K$2*(LN(Underlying/$H17)+(RiskFreeRate-DividendYield-0.5*I17^2)*TimeToExpiration)/(I17*TimeToExpiration^0.5), 0, 1, TRUE)
)</f>
        <v>14.53337904</v>
      </c>
      <c r="L17" s="7">
        <f>L$2*(Underlying*EXP(-DividendYield*TimeToExpiration)*_xlfn.NORM.DIST(L$2*(LN(Underlying/$H17)+(RiskFreeRate-DividendYield+0.5*J17^2)*TimeToExpiration)/(J17*TimeToExpiration^0.5), 0, 1, TRUE) - 
       $H17*EXP(-RiskFreeRate*TimeToExpiration)*_xlfn.NORM.DIST(L$2*(LN(Underlying/$H17)+(RiskFreeRate-DividendYield-0.5*J17^2)*TimeToExpiration)/(J17*TimeToExpiration^0.5), 0, 1, TRUE)
)</f>
        <v>63.32816436</v>
      </c>
      <c r="M17" s="40">
        <f t="shared" si="5"/>
        <v>1.5005</v>
      </c>
      <c r="N17" s="8">
        <f>N$2*(Underlying*EXP(-DividendYield*TimeToExpiration)*_xlfn.NORM.DIST(N$2*(LN(Underlying/$H17)+(RiskFreeRate-DividendYield+0.5*M17^2)*TimeToExpiration)/(M17*TimeToExpiration^0.5), 0, 1, TRUE) - 
       $H17*EXP(-RiskFreeRate*TimeToExpiration)*_xlfn.NORM.DIST(N$2*(LN(Underlying/$H17)+(RiskFreeRate-DividendYield-0.5*M17^2)*TimeToExpiration)/(M17*TimeToExpiration^0.5), 0, 1, TRUE)
)</f>
        <v>35.90999702</v>
      </c>
      <c r="O17" s="41">
        <f t="shared" si="6"/>
        <v>0.001</v>
      </c>
      <c r="P17" s="40">
        <f t="shared" si="7"/>
        <v>1.5005</v>
      </c>
      <c r="Q17" s="7">
        <f>Q$2*(Underlying*EXP(-DividendYield*TimeToExpiration)*_xlfn.NORM.DIST(Q$2*(LN(Underlying/$H17)+(RiskFreeRate-DividendYield+0.5*O17^2)*TimeToExpiration)/(O17*TimeToExpiration^0.5), 0, 1, TRUE) - 
       $H17*EXP(-RiskFreeRate*TimeToExpiration)*_xlfn.NORM.DIST(Q$2*(LN(Underlying/$H17)+(RiskFreeRate-DividendYield-0.5*O17^2)*TimeToExpiration)/(O17*TimeToExpiration^0.5), 0, 1, TRUE))</f>
        <v>14.53337904</v>
      </c>
      <c r="R17" s="7">
        <f>R$2*(Underlying*EXP(-DividendYield*TimeToExpiration)*_xlfn.NORM.DIST(R$2*(LN(Underlying/$H17)+(RiskFreeRate-DividendYield+0.5*P17^2)*TimeToExpiration)/(P17*TimeToExpiration^0.5), 0, 1, TRUE) - 
       $H17*EXP(-RiskFreeRate*TimeToExpiration)*_xlfn.NORM.DIST(R$2*(LN(Underlying/$H17)+(RiskFreeRate-DividendYield-0.5*P17^2)*TimeToExpiration)/(P17*TimeToExpiration^0.5), 0, 1, TRUE)
)</f>
        <v>35.90999702</v>
      </c>
      <c r="S17" s="40">
        <f t="shared" si="8"/>
        <v>0.75075</v>
      </c>
      <c r="T17" s="8">
        <f>T$2*(Underlying*EXP(-DividendYield*TimeToExpiration)*_xlfn.NORM.DIST(T$2*(LN(Underlying/$H17)+(RiskFreeRate-DividendYield+0.5*S17^2)*TimeToExpiration)/(S17*TimeToExpiration^0.5), 0, 1, TRUE) - 
       $H17*EXP(-RiskFreeRate*TimeToExpiration)*_xlfn.NORM.DIST(T$2*(LN(Underlying/$H17)+(RiskFreeRate-DividendYield-0.5*S17^2)*TimeToExpiration)/(S17*TimeToExpiration^0.5), 0, 1, TRUE)
)</f>
        <v>22.49827991</v>
      </c>
      <c r="U17" s="41">
        <f t="shared" si="9"/>
        <v>0.001</v>
      </c>
      <c r="V17" s="40">
        <f t="shared" si="10"/>
        <v>0.75075</v>
      </c>
      <c r="W17" s="7">
        <f>W$2*(Underlying*EXP(-DividendYield*TimeToExpiration)*_xlfn.NORM.DIST(W$2*(LN(Underlying/$H17)+(RiskFreeRate-DividendYield+0.5*U17^2)*TimeToExpiration)/(U17*TimeToExpiration^0.5), 0, 1, TRUE) - 
       $H17*EXP(-RiskFreeRate*TimeToExpiration)*_xlfn.NORM.DIST(W$2*(LN(Underlying/$H17)+(RiskFreeRate-DividendYield-0.5*U17^2)*TimeToExpiration)/(U17*TimeToExpiration^0.5), 0, 1, TRUE)
)</f>
        <v>14.53337904</v>
      </c>
      <c r="X17" s="7">
        <f>X$2*(Underlying*EXP(-DividendYield*TimeToExpiration)*_xlfn.NORM.DIST(X$2*(LN(Underlying/$H17)+(RiskFreeRate-DividendYield+0.5*V17^2)*TimeToExpiration)/(V17*TimeToExpiration^0.5), 0, 1, TRUE) - 
       $H17*EXP(-RiskFreeRate*TimeToExpiration)*_xlfn.NORM.DIST(X$2*(LN(Underlying/$H17)+(RiskFreeRate-DividendYield-0.5*V17^2)*TimeToExpiration)/(V17*TimeToExpiration^0.5), 0, 1, TRUE)
)</f>
        <v>22.49827991</v>
      </c>
      <c r="Y17" s="40">
        <f t="shared" si="11"/>
        <v>0.375875</v>
      </c>
      <c r="Z17" s="8">
        <f>Z$2*(Underlying*EXP(-DividendYield*TimeToExpiration)*_xlfn.NORM.DIST(Z$2*(LN(Underlying/$H17)+(RiskFreeRate-DividendYield+0.5*Y17^2)*TimeToExpiration)/(Y17*TimeToExpiration^0.5), 0, 1, TRUE) - 
       $H17*EXP(-RiskFreeRate*TimeToExpiration)*_xlfn.NORM.DIST(Z$2*(LN(Underlying/$H17)+(RiskFreeRate-DividendYield-0.5*Y17^2)*TimeToExpiration)/(Y17*TimeToExpiration^0.5), 0, 1, TRUE)
)</f>
        <v>16.566412</v>
      </c>
      <c r="AA17" s="40">
        <f t="shared" si="12"/>
        <v>0.375875</v>
      </c>
      <c r="AB17" s="40">
        <f t="shared" si="13"/>
        <v>0.75075</v>
      </c>
      <c r="AC17" s="7">
        <f>AC$2*(Underlying*EXP(-DividendYield*TimeToExpiration)*_xlfn.NORM.DIST(AC$2*(LN(Underlying/$H17)+(RiskFreeRate-DividendYield+0.5*AA17^2)*TimeToExpiration)/(AA17*TimeToExpiration^0.5), 0, 1, TRUE) - 
       $H17*EXP(-RiskFreeRate*TimeToExpiration)*_xlfn.NORM.DIST(AC$2*(LN(Underlying/$H17)+(RiskFreeRate-DividendYield-0.5*AA17^2)*TimeToExpiration)/(AA17*TimeToExpiration^0.5), 0, 1, TRUE)
)</f>
        <v>16.566412</v>
      </c>
      <c r="AD17" s="7">
        <f>AD$2*(Underlying*EXP(-DividendYield*TimeToExpiration)*_xlfn.NORM.DIST(AD$2*(LN(Underlying/$H17)+(RiskFreeRate-DividendYield+0.5*AB17^2)*TimeToExpiration)/(AB17*TimeToExpiration^0.5), 0, 1, TRUE) - 
       $H17*EXP(-RiskFreeRate*TimeToExpiration)*_xlfn.NORM.DIST(AD$2*(LN(Underlying/$H17)+(RiskFreeRate-DividendYield-0.5*AB17^2)*TimeToExpiration)/(AB17*TimeToExpiration^0.5), 0, 1, TRUE)
)</f>
        <v>22.49827991</v>
      </c>
      <c r="AE17" s="40">
        <f t="shared" si="14"/>
        <v>0.5633125</v>
      </c>
      <c r="AF17" s="8">
        <f>AF$2*(Underlying*EXP(-DividendYield*TimeToExpiration)*_xlfn.NORM.DIST(AF$2*(LN(Underlying/$H17)+(RiskFreeRate-DividendYield+0.5*AE17^2)*TimeToExpiration)/(AE17*TimeToExpiration^0.5), 0, 1, TRUE) - 
       $H17*EXP(-RiskFreeRate*TimeToExpiration)*_xlfn.NORM.DIST(AF$2*(LN(Underlying/$H17)+(RiskFreeRate-DividendYield-0.5*AE17^2)*TimeToExpiration)/(AE17*TimeToExpiration^0.5), 0, 1, TRUE)
)</f>
        <v>19.36748638</v>
      </c>
      <c r="AG17" s="40">
        <f t="shared" si="15"/>
        <v>0.375875</v>
      </c>
      <c r="AH17" s="40">
        <f t="shared" si="16"/>
        <v>0.5633125</v>
      </c>
      <c r="AI17" s="7">
        <f>AI$2*(Underlying*EXP(-DividendYield*TimeToExpiration)*_xlfn.NORM.DIST(AI$2*(LN(Underlying/$H17)+(RiskFreeRate-DividendYield+0.5*AG17^2)*TimeToExpiration)/(AG17*TimeToExpiration^0.5), 0, 1, TRUE) - 
       $H17*EXP(-RiskFreeRate*TimeToExpiration)*_xlfn.NORM.DIST(AI$2*(LN(Underlying/$H17)+(RiskFreeRate-DividendYield-0.5*AG17^2)*TimeToExpiration)/(AG17*TimeToExpiration^0.5), 0, 1, TRUE)
)</f>
        <v>16.566412</v>
      </c>
      <c r="AJ17" s="7">
        <f>AJ$2*(Underlying*EXP(-DividendYield*TimeToExpiration)*_xlfn.NORM.DIST(AJ$2*(LN(Underlying/$H17)+(RiskFreeRate-DividendYield+0.5*AH17^2)*TimeToExpiration)/(AH17*TimeToExpiration^0.5), 0, 1, TRUE) - 
       $H17*EXP(-RiskFreeRate*TimeToExpiration)*_xlfn.NORM.DIST(AJ$2*(LN(Underlying/$H17)+(RiskFreeRate-DividendYield-0.5*AH17^2)*TimeToExpiration)/(AH17*TimeToExpiration^0.5), 0, 1, TRUE)
)</f>
        <v>19.36748638</v>
      </c>
      <c r="AK17" s="40">
        <f t="shared" si="17"/>
        <v>0.46959375</v>
      </c>
      <c r="AL17" s="8">
        <f>AL$2*(Underlying*EXP(-DividendYield*TimeToExpiration)*_xlfn.NORM.DIST(AL$2*(LN(Underlying/$H17)+(RiskFreeRate-DividendYield+0.5*AK17^2)*TimeToExpiration)/(AK17*TimeToExpiration^0.5), 0, 1, TRUE) - 
       $H17*EXP(-RiskFreeRate*TimeToExpiration)*_xlfn.NORM.DIST(AL$2*(LN(Underlying/$H17)+(RiskFreeRate-DividendYield-0.5*AK17^2)*TimeToExpiration)/(AK17*TimeToExpiration^0.5), 0, 1, TRUE)
)</f>
        <v>17.90417059</v>
      </c>
      <c r="AM17" s="40">
        <f t="shared" si="18"/>
        <v>0.375875</v>
      </c>
      <c r="AN17" s="40">
        <f t="shared" si="19"/>
        <v>0.46959375</v>
      </c>
      <c r="AO17" s="7">
        <f>AO$2*(Underlying*EXP(-DividendYield*TimeToExpiration)*_xlfn.NORM.DIST(AO$2*(LN(Underlying/$H17)+(RiskFreeRate-DividendYield+0.5*AM17^2)*TimeToExpiration)/(AM17*TimeToExpiration^0.5), 0, 1, TRUE) - 
       $H17*EXP(-RiskFreeRate*TimeToExpiration)*_xlfn.NORM.DIST(AO$2*(LN(Underlying/$H17)+(RiskFreeRate-DividendYield-0.5*AM17^2)*TimeToExpiration)/(AM17*TimeToExpiration^0.5), 0, 1, TRUE)
)</f>
        <v>16.566412</v>
      </c>
      <c r="AP17" s="7">
        <f>AP$2*(Underlying*EXP(-DividendYield*TimeToExpiration)*_xlfn.NORM.DIST(AP$2*(LN(Underlying/$H17)+(RiskFreeRate-DividendYield+0.5*AN17^2)*TimeToExpiration)/(AN17*TimeToExpiration^0.5), 0, 1, TRUE) - 
       $H17*EXP(-RiskFreeRate*TimeToExpiration)*_xlfn.NORM.DIST(AP$2*(LN(Underlying/$H17)+(RiskFreeRate-DividendYield-0.5*AN17^2)*TimeToExpiration)/(AN17*TimeToExpiration^0.5), 0, 1, TRUE)
)</f>
        <v>17.90417059</v>
      </c>
      <c r="AQ17" s="40">
        <f t="shared" si="20"/>
        <v>0.422734375</v>
      </c>
      <c r="AR17" s="8">
        <f>AR$2*(Underlying*EXP(-DividendYield*TimeToExpiration)*_xlfn.NORM.DIST(AR$2*(LN(Underlying/$H17)+(RiskFreeRate-DividendYield+0.5*AQ17^2)*TimeToExpiration)/(AQ17*TimeToExpiration^0.5), 0, 1, TRUE) - 
       $H17*EXP(-RiskFreeRate*TimeToExpiration)*_xlfn.NORM.DIST(AR$2*(LN(Underlying/$H17)+(RiskFreeRate-DividendYield-0.5*AQ17^2)*TimeToExpiration)/(AQ17*TimeToExpiration^0.5), 0, 1, TRUE)
)</f>
        <v>17.2152304</v>
      </c>
      <c r="AS17" s="40">
        <f t="shared" si="21"/>
        <v>0.375875</v>
      </c>
      <c r="AT17" s="40">
        <f t="shared" si="22"/>
        <v>0.422734375</v>
      </c>
      <c r="AU17" s="7">
        <f>AU$2*(Underlying*EXP(-DividendYield*TimeToExpiration)*_xlfn.NORM.DIST(AU$2*(LN(Underlying/$H17)+(RiskFreeRate-DividendYield+0.5*AS17^2)*TimeToExpiration)/(AS17*TimeToExpiration^0.5), 0, 1, TRUE) - 
       $H17*EXP(-RiskFreeRate*TimeToExpiration)*_xlfn.NORM.DIST(AU$2*(LN(Underlying/$H17)+(RiskFreeRate-DividendYield-0.5*AS17^2)*TimeToExpiration)/(AS17*TimeToExpiration^0.5), 0, 1, TRUE)
)</f>
        <v>16.566412</v>
      </c>
      <c r="AV17" s="7">
        <f>AV$2*(Underlying*EXP(-DividendYield*TimeToExpiration)*_xlfn.NORM.DIST(AV$2*(LN(Underlying/$H17)+(RiskFreeRate-DividendYield+0.5*AT17^2)*TimeToExpiration)/(AT17*TimeToExpiration^0.5), 0, 1, TRUE) - 
       $H17*EXP(-RiskFreeRate*TimeToExpiration)*_xlfn.NORM.DIST(AV$2*(LN(Underlying/$H17)+(RiskFreeRate-DividendYield-0.5*AT17^2)*TimeToExpiration)/(AT17*TimeToExpiration^0.5), 0, 1, TRUE)
)</f>
        <v>17.2152304</v>
      </c>
      <c r="AW17" s="40">
        <f t="shared" si="23"/>
        <v>0.3993046875</v>
      </c>
      <c r="AX17" s="8">
        <f>AX$2*(Underlying*EXP(-DividendYield*TimeToExpiration)*_xlfn.NORM.DIST(AX$2*(LN(Underlying/$H17)+(RiskFreeRate-DividendYield+0.5*AW17^2)*TimeToExpiration)/(AW17*TimeToExpiration^0.5), 0, 1, TRUE) - 
       $H17*EXP(-RiskFreeRate*TimeToExpiration)*_xlfn.NORM.DIST(AX$2*(LN(Underlying/$H17)+(RiskFreeRate-DividendYield-0.5*AW17^2)*TimeToExpiration)/(AW17*TimeToExpiration^0.5), 0, 1, TRUE)
)</f>
        <v>16.88509034</v>
      </c>
      <c r="AY17" s="40">
        <f t="shared" si="24"/>
        <v>0.375875</v>
      </c>
      <c r="AZ17" s="40">
        <f t="shared" si="25"/>
        <v>0.3993046875</v>
      </c>
      <c r="BA17" s="7">
        <f>BA$2*(Underlying*EXP(-DividendYield*TimeToExpiration)*_xlfn.NORM.DIST(BA$2*(LN(Underlying/$H17)+(RiskFreeRate-DividendYield+0.5*AY17^2)*TimeToExpiration)/(AY17*TimeToExpiration^0.5), 0, 1, TRUE) - 
       $H17*EXP(-RiskFreeRate*TimeToExpiration)*_xlfn.NORM.DIST(BA$2*(LN(Underlying/$H17)+(RiskFreeRate-DividendYield-0.5*AY17^2)*TimeToExpiration)/(AY17*TimeToExpiration^0.5), 0, 1, TRUE)
)</f>
        <v>16.566412</v>
      </c>
      <c r="BB17" s="7">
        <f>BB$2*(Underlying*EXP(-DividendYield*TimeToExpiration)*_xlfn.NORM.DIST(BB$2*(LN(Underlying/$H17)+(RiskFreeRate-DividendYield+0.5*AZ17^2)*TimeToExpiration)/(AZ17*TimeToExpiration^0.5), 0, 1, TRUE) - 
       $H17*EXP(-RiskFreeRate*TimeToExpiration)*_xlfn.NORM.DIST(BB$2*(LN(Underlying/$H17)+(RiskFreeRate-DividendYield-0.5*AZ17^2)*TimeToExpiration)/(AZ17*TimeToExpiration^0.5), 0, 1, TRUE)
)</f>
        <v>16.88509034</v>
      </c>
      <c r="BC17" s="40">
        <f t="shared" si="26"/>
        <v>0.3875898438</v>
      </c>
      <c r="BD17" s="8">
        <f>BD$2*(Underlying*EXP(-DividendYield*TimeToExpiration)*_xlfn.NORM.DIST(BD$2*(LN(Underlying/$H17)+(RiskFreeRate-DividendYield+0.5*BC17^2)*TimeToExpiration)/(BC17*TimeToExpiration^0.5), 0, 1, TRUE) - 
       $H17*EXP(-RiskFreeRate*TimeToExpiration)*_xlfn.NORM.DIST(BD$2*(LN(Underlying/$H17)+(RiskFreeRate-DividendYield-0.5*BC17^2)*TimeToExpiration)/(BC17*TimeToExpiration^0.5), 0, 1, TRUE)
)</f>
        <v>16.72421524</v>
      </c>
      <c r="BE17" s="40">
        <f t="shared" si="27"/>
        <v>0.3875898438</v>
      </c>
      <c r="BF17" s="40">
        <f t="shared" si="28"/>
        <v>0.3993046875</v>
      </c>
      <c r="BG17" s="7">
        <f>BG$2*(Underlying*EXP(-DividendYield*TimeToExpiration)*_xlfn.NORM.DIST(BG$2*(LN(Underlying/$H17)+(RiskFreeRate-DividendYield+0.5*BE17^2)*TimeToExpiration)/(BE17*TimeToExpiration^0.5), 0, 1, TRUE) - 
       $H17*EXP(-RiskFreeRate*TimeToExpiration)*_xlfn.NORM.DIST(BG$2*(LN(Underlying/$H17)+(RiskFreeRate-DividendYield-0.5*BE17^2)*TimeToExpiration)/(BE17*TimeToExpiration^0.5), 0, 1, TRUE)
)</f>
        <v>16.72421524</v>
      </c>
      <c r="BH17" s="7">
        <f>BH$2*(Underlying*EXP(-DividendYield*TimeToExpiration)*_xlfn.NORM.DIST(BH$2*(LN(Underlying/$H17)+(RiskFreeRate-DividendYield+0.5*BF17^2)*TimeToExpiration)/(BF17*TimeToExpiration^0.5), 0, 1, TRUE) - 
       $H17*EXP(-RiskFreeRate*TimeToExpiration)*_xlfn.NORM.DIST(BH$2*(LN(Underlying/$H17)+(RiskFreeRate-DividendYield-0.5*BF17^2)*TimeToExpiration)/(BF17*TimeToExpiration^0.5), 0, 1, TRUE)
)</f>
        <v>16.88509034</v>
      </c>
      <c r="BI17" s="40">
        <f t="shared" si="29"/>
        <v>0.3934472656</v>
      </c>
      <c r="BJ17" s="8">
        <f>BJ$2*(Underlying*EXP(-DividendYield*TimeToExpiration)*_xlfn.NORM.DIST(BJ$2*(LN(Underlying/$H17)+(RiskFreeRate-DividendYield+0.5*BI17^2)*TimeToExpiration)/(BI17*TimeToExpiration^0.5), 0, 1, TRUE) - 
       $H17*EXP(-RiskFreeRate*TimeToExpiration)*_xlfn.NORM.DIST(BJ$2*(LN(Underlying/$H17)+(RiskFreeRate-DividendYield-0.5*BI17^2)*TimeToExpiration)/(BI17*TimeToExpiration^0.5), 0, 1, TRUE)
)</f>
        <v>16.8042824</v>
      </c>
      <c r="BK17" s="40">
        <f t="shared" si="30"/>
        <v>0.3875898438</v>
      </c>
      <c r="BL17" s="40">
        <f t="shared" si="31"/>
        <v>0.3934472656</v>
      </c>
      <c r="BM17" s="7">
        <f>BM$2*(Underlying*EXP(-DividendYield*TimeToExpiration)*_xlfn.NORM.DIST(BM$2*(LN(Underlying/$H17)+(RiskFreeRate-DividendYield+0.5*BK17^2)*TimeToExpiration)/(BK17*TimeToExpiration^0.5), 0, 1, TRUE) - 
       $H17*EXP(-RiskFreeRate*TimeToExpiration)*_xlfn.NORM.DIST(BM$2*(LN(Underlying/$H17)+(RiskFreeRate-DividendYield-0.5*BK17^2)*TimeToExpiration)/(BK17*TimeToExpiration^0.5), 0, 1, TRUE)
)</f>
        <v>16.72421524</v>
      </c>
      <c r="BN17" s="7">
        <f>BN$2*(Underlying*EXP(-DividendYield*TimeToExpiration)*_xlfn.NORM.DIST(BN$2*(LN(Underlying/$H17)+(RiskFreeRate-DividendYield+0.5*BL17^2)*TimeToExpiration)/(BL17*TimeToExpiration^0.5), 0, 1, TRUE) - 
       $H17*EXP(-RiskFreeRate*TimeToExpiration)*_xlfn.NORM.DIST(BN$2*(LN(Underlying/$H17)+(RiskFreeRate-DividendYield-0.5*BL17^2)*TimeToExpiration)/(BL17*TimeToExpiration^0.5), 0, 1, TRUE)
)</f>
        <v>16.8042824</v>
      </c>
      <c r="BO17" s="40">
        <f t="shared" si="32"/>
        <v>0.3905185547</v>
      </c>
      <c r="BP17" s="8">
        <f>BP$2*(Underlying*EXP(-DividendYield*TimeToExpiration)*_xlfn.NORM.DIST(BP$2*(LN(Underlying/$H17)+(RiskFreeRate-DividendYield+0.5*BO17^2)*TimeToExpiration)/(BO17*TimeToExpiration^0.5), 0, 1, TRUE) - 
       $H17*EXP(-RiskFreeRate*TimeToExpiration)*_xlfn.NORM.DIST(BP$2*(LN(Underlying/$H17)+(RiskFreeRate-DividendYield-0.5*BO17^2)*TimeToExpiration)/(BO17*TimeToExpiration^0.5), 0, 1, TRUE)
)</f>
        <v>16.76415457</v>
      </c>
      <c r="BQ17" s="40">
        <f t="shared" si="33"/>
        <v>0.3875898438</v>
      </c>
      <c r="BR17" s="40">
        <f t="shared" si="34"/>
        <v>0.3905185547</v>
      </c>
      <c r="BS17" s="7">
        <f>BS$2*(Underlying*EXP(-DividendYield*TimeToExpiration)*_xlfn.NORM.DIST(BS$2*(LN(Underlying/$H17)+(RiskFreeRate-DividendYield+0.5*BQ17^2)*TimeToExpiration)/(BQ17*TimeToExpiration^0.5), 0, 1, TRUE) - 
       $H17*EXP(-RiskFreeRate*TimeToExpiration)*_xlfn.NORM.DIST(BS$2*(LN(Underlying/$H17)+(RiskFreeRate-DividendYield-0.5*BQ17^2)*TimeToExpiration)/(BQ17*TimeToExpiration^0.5), 0, 1, TRUE)
)</f>
        <v>16.72421524</v>
      </c>
      <c r="BT17" s="7">
        <f>BT$2*(Underlying*EXP(-DividendYield*TimeToExpiration)*_xlfn.NORM.DIST(BT$2*(LN(Underlying/$H17)+(RiskFreeRate-DividendYield+0.5*BR17^2)*TimeToExpiration)/(BR17*TimeToExpiration^0.5), 0, 1, TRUE) - 
       $H17*EXP(-RiskFreeRate*TimeToExpiration)*_xlfn.NORM.DIST(BT$2*(LN(Underlying/$H17)+(RiskFreeRate-DividendYield-0.5*BR17^2)*TimeToExpiration)/(BR17*TimeToExpiration^0.5), 0, 1, TRUE)
)</f>
        <v>16.76415457</v>
      </c>
      <c r="BU17" s="40">
        <f t="shared" si="35"/>
        <v>0.3890541992</v>
      </c>
      <c r="BV17" s="8">
        <f>BV$2*(Underlying*EXP(-DividendYield*TimeToExpiration)*_xlfn.NORM.DIST(BV$2*(LN(Underlying/$H17)+(RiskFreeRate-DividendYield+0.5*BU17^2)*TimeToExpiration)/(BU17*TimeToExpiration^0.5), 0, 1, TRUE) - 
       $H17*EXP(-RiskFreeRate*TimeToExpiration)*_xlfn.NORM.DIST(BV$2*(LN(Underlying/$H17)+(RiskFreeRate-DividendYield-0.5*BU17^2)*TimeToExpiration)/(BU17*TimeToExpiration^0.5), 0, 1, TRUE)
)</f>
        <v>16.74416113</v>
      </c>
      <c r="BW17" s="40">
        <f t="shared" si="36"/>
        <v>0.3890541992</v>
      </c>
      <c r="BX17" s="40">
        <f t="shared" si="37"/>
        <v>0.3905185547</v>
      </c>
      <c r="BY17" s="7">
        <f>BY$2*(Underlying*EXP(-DividendYield*TimeToExpiration)*_xlfn.NORM.DIST(BY$2*(LN(Underlying/$H17)+(RiskFreeRate-DividendYield+0.5*BW17^2)*TimeToExpiration)/(BW17*TimeToExpiration^0.5), 0, 1, TRUE) - 
       $H17*EXP(-RiskFreeRate*TimeToExpiration)*_xlfn.NORM.DIST(BY$2*(LN(Underlying/$H17)+(RiskFreeRate-DividendYield-0.5*BW17^2)*TimeToExpiration)/(BW17*TimeToExpiration^0.5), 0, 1, TRUE)
)</f>
        <v>16.74416113</v>
      </c>
      <c r="BZ17" s="7">
        <f>BZ$2*(Underlying*EXP(-DividendYield*TimeToExpiration)*_xlfn.NORM.DIST(BZ$2*(LN(Underlying/$H17)+(RiskFreeRate-DividendYield+0.5*BX17^2)*TimeToExpiration)/(BX17*TimeToExpiration^0.5), 0, 1, TRUE) - 
       $H17*EXP(-RiskFreeRate*TimeToExpiration)*_xlfn.NORM.DIST(BZ$2*(LN(Underlying/$H17)+(RiskFreeRate-DividendYield-0.5*BX17^2)*TimeToExpiration)/(BX17*TimeToExpiration^0.5), 0, 1, TRUE)
)</f>
        <v>16.76415457</v>
      </c>
      <c r="CA17" s="40">
        <f t="shared" si="38"/>
        <v>0.389786377</v>
      </c>
      <c r="CB17" s="8">
        <f>CB$2*(Underlying*EXP(-DividendYield*TimeToExpiration)*_xlfn.NORM.DIST(CB$2*(LN(Underlying/$H17)+(RiskFreeRate-DividendYield+0.5*CA17^2)*TimeToExpiration)/(CA17*TimeToExpiration^0.5), 0, 1, TRUE) - 
       $H17*EXP(-RiskFreeRate*TimeToExpiration)*_xlfn.NORM.DIST(CB$2*(LN(Underlying/$H17)+(RiskFreeRate-DividendYield-0.5*CA17^2)*TimeToExpiration)/(CA17*TimeToExpiration^0.5), 0, 1, TRUE)
)</f>
        <v>16.75415193</v>
      </c>
      <c r="CC17" s="40">
        <f t="shared" si="39"/>
        <v>0.3890541992</v>
      </c>
      <c r="CD17" s="40">
        <f t="shared" si="40"/>
        <v>0.389786377</v>
      </c>
      <c r="CE17" s="7">
        <f>CE$2*(Underlying*EXP(-DividendYield*TimeToExpiration)*_xlfn.NORM.DIST(CE$2*(LN(Underlying/$H17)+(RiskFreeRate-DividendYield+0.5*CC17^2)*TimeToExpiration)/(CC17*TimeToExpiration^0.5), 0, 1, TRUE) - 
       $H17*EXP(-RiskFreeRate*TimeToExpiration)*_xlfn.NORM.DIST(CE$2*(LN(Underlying/$H17)+(RiskFreeRate-DividendYield-0.5*CC17^2)*TimeToExpiration)/(CC17*TimeToExpiration^0.5), 0, 1, TRUE)
)</f>
        <v>16.74416113</v>
      </c>
      <c r="CF17" s="7">
        <f>CF$2*(Underlying*EXP(-DividendYield*TimeToExpiration)*_xlfn.NORM.DIST(CF$2*(LN(Underlying/$H17)+(RiskFreeRate-DividendYield+0.5*CD17^2)*TimeToExpiration)/(CD17*TimeToExpiration^0.5), 0, 1, TRUE) - 
       $H17*EXP(-RiskFreeRate*TimeToExpiration)*_xlfn.NORM.DIST(CF$2*(LN(Underlying/$H17)+(RiskFreeRate-DividendYield-0.5*CD17^2)*TimeToExpiration)/(CD17*TimeToExpiration^0.5), 0, 1, TRUE)
)</f>
        <v>16.75415193</v>
      </c>
      <c r="CG17" s="40">
        <f t="shared" si="41"/>
        <v>0.3894202881</v>
      </c>
      <c r="CH17" s="8">
        <f>CH$2*(Underlying*EXP(-DividendYield*TimeToExpiration)*_xlfn.NORM.DIST(CH$2*(LN(Underlying/$H17)+(RiskFreeRate-DividendYield+0.5*CG17^2)*TimeToExpiration)/(CG17*TimeToExpiration^0.5), 0, 1, TRUE) - 
       $H17*EXP(-RiskFreeRate*TimeToExpiration)*_xlfn.NORM.DIST(CH$2*(LN(Underlying/$H17)+(RiskFreeRate-DividendYield-0.5*CG17^2)*TimeToExpiration)/(CG17*TimeToExpiration^0.5), 0, 1, TRUE)
)</f>
        <v>16.74915505</v>
      </c>
      <c r="CI17" s="40">
        <f t="shared" si="42"/>
        <v>0.3894202881</v>
      </c>
      <c r="CJ17" s="40">
        <f t="shared" si="43"/>
        <v>0.389786377</v>
      </c>
      <c r="CK17" s="7">
        <f>CK$2*(Underlying*EXP(-DividendYield*TimeToExpiration)*_xlfn.NORM.DIST(CK$2*(LN(Underlying/$H17)+(RiskFreeRate-DividendYield+0.5*CI17^2)*TimeToExpiration)/(CI17*TimeToExpiration^0.5), 0, 1, TRUE) - 
       $H17*EXP(-RiskFreeRate*TimeToExpiration)*_xlfn.NORM.DIST(CK$2*(LN(Underlying/$H17)+(RiskFreeRate-DividendYield-0.5*CI17^2)*TimeToExpiration)/(CI17*TimeToExpiration^0.5), 0, 1, TRUE)
)</f>
        <v>16.74915505</v>
      </c>
      <c r="CL17" s="7">
        <f>CL$2*(Underlying*EXP(-DividendYield*TimeToExpiration)*_xlfn.NORM.DIST(CL$2*(LN(Underlying/$H17)+(RiskFreeRate-DividendYield+0.5*CJ17^2)*TimeToExpiration)/(CJ17*TimeToExpiration^0.5), 0, 1, TRUE) - 
       $H17*EXP(-RiskFreeRate*TimeToExpiration)*_xlfn.NORM.DIST(CL$2*(LN(Underlying/$H17)+(RiskFreeRate-DividendYield-0.5*CJ17^2)*TimeToExpiration)/(CJ17*TimeToExpiration^0.5), 0, 1, TRUE)
)</f>
        <v>16.75415193</v>
      </c>
      <c r="CM17" s="40">
        <f t="shared" si="44"/>
        <v>0.3896033325</v>
      </c>
      <c r="CN17" s="8">
        <f>CN$2*(Underlying*EXP(-DividendYield*TimeToExpiration)*_xlfn.NORM.DIST(CN$2*(LN(Underlying/$H17)+(RiskFreeRate-DividendYield+0.5*CM17^2)*TimeToExpiration)/(CM17*TimeToExpiration^0.5), 0, 1, TRUE) - 
       $H17*EXP(-RiskFreeRate*TimeToExpiration)*_xlfn.NORM.DIST(CN$2*(LN(Underlying/$H17)+(RiskFreeRate-DividendYield-0.5*CM17^2)*TimeToExpiration)/(CM17*TimeToExpiration^0.5), 0, 1, TRUE)
)</f>
        <v>16.75165312</v>
      </c>
      <c r="CO17" s="40">
        <f t="shared" si="45"/>
        <v>0.3894202881</v>
      </c>
      <c r="CP17" s="40">
        <f t="shared" si="46"/>
        <v>0.3896033325</v>
      </c>
      <c r="CQ17" s="7">
        <f>CQ$2*(Underlying*EXP(-DividendYield*TimeToExpiration)*_xlfn.NORM.DIST(CQ$2*(LN(Underlying/$H17)+(RiskFreeRate-DividendYield+0.5*CO17^2)*TimeToExpiration)/(CO17*TimeToExpiration^0.5), 0, 1, TRUE) - 
       $H17*EXP(-RiskFreeRate*TimeToExpiration)*_xlfn.NORM.DIST(CQ$2*(LN(Underlying/$H17)+(RiskFreeRate-DividendYield-0.5*CO17^2)*TimeToExpiration)/(CO17*TimeToExpiration^0.5), 0, 1, TRUE)
)</f>
        <v>16.74915505</v>
      </c>
      <c r="CR17" s="7">
        <f>CR$2*(Underlying*EXP(-DividendYield*TimeToExpiration)*_xlfn.NORM.DIST(CR$2*(LN(Underlying/$H17)+(RiskFreeRate-DividendYield+0.5*CP17^2)*TimeToExpiration)/(CP17*TimeToExpiration^0.5), 0, 1, TRUE) - 
       $H17*EXP(-RiskFreeRate*TimeToExpiration)*_xlfn.NORM.DIST(CR$2*(LN(Underlying/$H17)+(RiskFreeRate-DividendYield-0.5*CP17^2)*TimeToExpiration)/(CP17*TimeToExpiration^0.5), 0, 1, TRUE)
)</f>
        <v>16.75165312</v>
      </c>
      <c r="CS17" s="40">
        <f t="shared" si="47"/>
        <v>0.3895118103</v>
      </c>
      <c r="CT17" s="8">
        <f>CT$2*(Underlying*EXP(-DividendYield*TimeToExpiration)*_xlfn.NORM.DIST(CT$2*(LN(Underlying/$H17)+(RiskFreeRate-DividendYield+0.5*CS17^2)*TimeToExpiration)/(CS17*TimeToExpiration^0.5), 0, 1, TRUE) - 
       $H17*EXP(-RiskFreeRate*TimeToExpiration)*_xlfn.NORM.DIST(CT$2*(LN(Underlying/$H17)+(RiskFreeRate-DividendYield-0.5*CS17^2)*TimeToExpiration)/(CS17*TimeToExpiration^0.5), 0, 1, TRUE)
)</f>
        <v>16.75040399</v>
      </c>
      <c r="CU17" s="40">
        <f t="shared" si="48"/>
        <v>0.3894202881</v>
      </c>
      <c r="CV17" s="40">
        <f t="shared" si="49"/>
        <v>0.3895118103</v>
      </c>
      <c r="CW17" s="7">
        <f>CW$2*(Underlying*EXP(-DividendYield*TimeToExpiration)*_xlfn.NORM.DIST(CW$2*(LN(Underlying/$H17)+(RiskFreeRate-DividendYield+0.5*CU17^2)*TimeToExpiration)/(CU17*TimeToExpiration^0.5), 0, 1, TRUE) - 
       $H17*EXP(-RiskFreeRate*TimeToExpiration)*_xlfn.NORM.DIST(CW$2*(LN(Underlying/$H17)+(RiskFreeRate-DividendYield-0.5*CU17^2)*TimeToExpiration)/(CU17*TimeToExpiration^0.5), 0, 1, TRUE)
)</f>
        <v>16.74915505</v>
      </c>
      <c r="CX17" s="7">
        <f>CX$2*(Underlying*EXP(-DividendYield*TimeToExpiration)*_xlfn.NORM.DIST(CX$2*(LN(Underlying/$H17)+(RiskFreeRate-DividendYield+0.5*CV17^2)*TimeToExpiration)/(CV17*TimeToExpiration^0.5), 0, 1, TRUE) - 
       $H17*EXP(-RiskFreeRate*TimeToExpiration)*_xlfn.NORM.DIST(CX$2*(LN(Underlying/$H17)+(RiskFreeRate-DividendYield-0.5*CV17^2)*TimeToExpiration)/(CV17*TimeToExpiration^0.5), 0, 1, TRUE)
)</f>
        <v>16.75040399</v>
      </c>
      <c r="CY17" s="40">
        <f t="shared" si="50"/>
        <v>0.3894660492</v>
      </c>
      <c r="CZ17" s="8">
        <f>CZ$2*(Underlying*EXP(-DividendYield*TimeToExpiration)*_xlfn.NORM.DIST(CZ$2*(LN(Underlying/$H17)+(RiskFreeRate-DividendYield+0.5*CY17^2)*TimeToExpiration)/(CY17*TimeToExpiration^0.5), 0, 1, TRUE) - 
       $H17*EXP(-RiskFreeRate*TimeToExpiration)*_xlfn.NORM.DIST(CZ$2*(LN(Underlying/$H17)+(RiskFreeRate-DividendYield-0.5*CY17^2)*TimeToExpiration)/(CY17*TimeToExpiration^0.5), 0, 1, TRUE)
)</f>
        <v>16.7497795</v>
      </c>
      <c r="DA17" s="40">
        <f t="shared" si="51"/>
        <v>0.3894660492</v>
      </c>
      <c r="DB17" s="40">
        <f t="shared" si="52"/>
        <v>0.3895118103</v>
      </c>
      <c r="DC17" s="7">
        <f>DC$2*(Underlying*EXP(-DividendYield*TimeToExpiration)*_xlfn.NORM.DIST(DC$2*(LN(Underlying/$H17)+(RiskFreeRate-DividendYield+0.5*DA17^2)*TimeToExpiration)/(DA17*TimeToExpiration^0.5), 0, 1, TRUE) - 
       $H17*EXP(-RiskFreeRate*TimeToExpiration)*_xlfn.NORM.DIST(DC$2*(LN(Underlying/$H17)+(RiskFreeRate-DividendYield-0.5*DA17^2)*TimeToExpiration)/(DA17*TimeToExpiration^0.5), 0, 1, TRUE)
)</f>
        <v>16.7497795</v>
      </c>
      <c r="DD17" s="7">
        <f>DD$2*(Underlying*EXP(-DividendYield*TimeToExpiration)*_xlfn.NORM.DIST(DD$2*(LN(Underlying/$H17)+(RiskFreeRate-DividendYield+0.5*DB17^2)*TimeToExpiration)/(DB17*TimeToExpiration^0.5), 0, 1, TRUE) - 
       $H17*EXP(-RiskFreeRate*TimeToExpiration)*_xlfn.NORM.DIST(DD$2*(LN(Underlying/$H17)+(RiskFreeRate-DividendYield-0.5*DB17^2)*TimeToExpiration)/(DB17*TimeToExpiration^0.5), 0, 1, TRUE)
)</f>
        <v>16.75040399</v>
      </c>
      <c r="DE17" s="40">
        <f t="shared" si="53"/>
        <v>0.3894889297</v>
      </c>
      <c r="DF17" s="8">
        <f>DF$2*(Underlying*EXP(-DividendYield*TimeToExpiration)*_xlfn.NORM.DIST(DF$2*(LN(Underlying/$H17)+(RiskFreeRate-DividendYield+0.5*DE17^2)*TimeToExpiration)/(DE17*TimeToExpiration^0.5), 0, 1, TRUE) - 
       $H17*EXP(-RiskFreeRate*TimeToExpiration)*_xlfn.NORM.DIST(DF$2*(LN(Underlying/$H17)+(RiskFreeRate-DividendYield-0.5*DE17^2)*TimeToExpiration)/(DE17*TimeToExpiration^0.5), 0, 1, TRUE)
)</f>
        <v>16.75009174</v>
      </c>
    </row>
    <row r="18">
      <c r="A18" s="20">
        <f>'Option Mkt Data'!A18</f>
        <v>327.5</v>
      </c>
      <c r="B18" s="35">
        <f t="shared" ref="B18:C18" si="65">DE18</f>
        <v>0.3806112747</v>
      </c>
      <c r="C18" s="7">
        <f t="shared" si="65"/>
        <v>14.72499526</v>
      </c>
      <c r="D18" s="7">
        <f t="shared" si="3"/>
        <v>0.000004646379349</v>
      </c>
      <c r="E18" s="9">
        <f t="shared" si="4"/>
        <v>0.0000003155435911</v>
      </c>
      <c r="F18" s="36">
        <f>D18/'Option Mkt Data'!L18</f>
        <v>0.00003097574462</v>
      </c>
      <c r="G18" s="5">
        <f>'Option Mkt Data'!J18</f>
        <v>14.72499991</v>
      </c>
      <c r="H18" s="33">
        <f>'Option Mkt Data'!A18</f>
        <v>327.5</v>
      </c>
      <c r="I18" s="37">
        <f>MinSolverVola</f>
        <v>0.001</v>
      </c>
      <c r="J18" s="38">
        <f>MaxSolverVola</f>
        <v>3</v>
      </c>
      <c r="K18" s="39">
        <f>K$2*(Underlying*EXP(-DividendYield*TimeToExpiration)*_xlfn.NORM.DIST(K$2*(LN(Underlying/$H18)+(RiskFreeRate-DividendYield+0.5*I18^2)*TimeToExpiration)/(I18*TimeToExpiration^0.5), 0, 1, TRUE) - 
       $H18*EXP(-RiskFreeRate*TimeToExpiration)*_xlfn.NORM.DIST(K$2*(LN(Underlying/$H18)+(RiskFreeRate-DividendYield-0.5*I18^2)*TimeToExpiration)/(I18*TimeToExpiration^0.5), 0, 1, TRUE)
)</f>
        <v>12.03555888</v>
      </c>
      <c r="L18" s="7">
        <f>L$2*(Underlying*EXP(-DividendYield*TimeToExpiration)*_xlfn.NORM.DIST(L$2*(LN(Underlying/$H18)+(RiskFreeRate-DividendYield+0.5*J18^2)*TimeToExpiration)/(J18*TimeToExpiration^0.5), 0, 1, TRUE) - 
       $H18*EXP(-RiskFreeRate*TimeToExpiration)*_xlfn.NORM.DIST(L$2*(LN(Underlying/$H18)+(RiskFreeRate-DividendYield-0.5*J18^2)*TimeToExpiration)/(J18*TimeToExpiration^0.5), 0, 1, TRUE)
)</f>
        <v>62.19652485</v>
      </c>
      <c r="M18" s="40">
        <f t="shared" si="5"/>
        <v>1.5005</v>
      </c>
      <c r="N18" s="8">
        <f>N$2*(Underlying*EXP(-DividendYield*TimeToExpiration)*_xlfn.NORM.DIST(N$2*(LN(Underlying/$H18)+(RiskFreeRate-DividendYield+0.5*M18^2)*TimeToExpiration)/(M18*TimeToExpiration^0.5), 0, 1, TRUE) - 
       $H18*EXP(-RiskFreeRate*TimeToExpiration)*_xlfn.NORM.DIST(N$2*(LN(Underlying/$H18)+(RiskFreeRate-DividendYield-0.5*M18^2)*TimeToExpiration)/(M18*TimeToExpiration^0.5), 0, 1, TRUE)
)</f>
        <v>34.57930491</v>
      </c>
      <c r="O18" s="41">
        <f t="shared" si="6"/>
        <v>0.001</v>
      </c>
      <c r="P18" s="40">
        <f t="shared" si="7"/>
        <v>1.5005</v>
      </c>
      <c r="Q18" s="7">
        <f>Q$2*(Underlying*EXP(-DividendYield*TimeToExpiration)*_xlfn.NORM.DIST(Q$2*(LN(Underlying/$H18)+(RiskFreeRate-DividendYield+0.5*O18^2)*TimeToExpiration)/(O18*TimeToExpiration^0.5), 0, 1, TRUE) - 
       $H18*EXP(-RiskFreeRate*TimeToExpiration)*_xlfn.NORM.DIST(Q$2*(LN(Underlying/$H18)+(RiskFreeRate-DividendYield-0.5*O18^2)*TimeToExpiration)/(O18*TimeToExpiration^0.5), 0, 1, TRUE))</f>
        <v>12.03555888</v>
      </c>
      <c r="R18" s="7">
        <f>R$2*(Underlying*EXP(-DividendYield*TimeToExpiration)*_xlfn.NORM.DIST(R$2*(LN(Underlying/$H18)+(RiskFreeRate-DividendYield+0.5*P18^2)*TimeToExpiration)/(P18*TimeToExpiration^0.5), 0, 1, TRUE) - 
       $H18*EXP(-RiskFreeRate*TimeToExpiration)*_xlfn.NORM.DIST(R$2*(LN(Underlying/$H18)+(RiskFreeRate-DividendYield-0.5*P18^2)*TimeToExpiration)/(P18*TimeToExpiration^0.5), 0, 1, TRUE)
)</f>
        <v>34.57930491</v>
      </c>
      <c r="S18" s="40">
        <f t="shared" si="8"/>
        <v>0.75075</v>
      </c>
      <c r="T18" s="8">
        <f>T$2*(Underlying*EXP(-DividendYield*TimeToExpiration)*_xlfn.NORM.DIST(T$2*(LN(Underlying/$H18)+(RiskFreeRate-DividendYield+0.5*S18^2)*TimeToExpiration)/(S18*TimeToExpiration^0.5), 0, 1, TRUE) - 
       $H18*EXP(-RiskFreeRate*TimeToExpiration)*_xlfn.NORM.DIST(T$2*(LN(Underlying/$H18)+(RiskFreeRate-DividendYield-0.5*S18^2)*TimeToExpiration)/(S18*TimeToExpiration^0.5), 0, 1, TRUE)
)</f>
        <v>20.93289902</v>
      </c>
      <c r="U18" s="41">
        <f t="shared" si="9"/>
        <v>0.001</v>
      </c>
      <c r="V18" s="40">
        <f t="shared" si="10"/>
        <v>0.75075</v>
      </c>
      <c r="W18" s="7">
        <f>W$2*(Underlying*EXP(-DividendYield*TimeToExpiration)*_xlfn.NORM.DIST(W$2*(LN(Underlying/$H18)+(RiskFreeRate-DividendYield+0.5*U18^2)*TimeToExpiration)/(U18*TimeToExpiration^0.5), 0, 1, TRUE) - 
       $H18*EXP(-RiskFreeRate*TimeToExpiration)*_xlfn.NORM.DIST(W$2*(LN(Underlying/$H18)+(RiskFreeRate-DividendYield-0.5*U18^2)*TimeToExpiration)/(U18*TimeToExpiration^0.5), 0, 1, TRUE)
)</f>
        <v>12.03555888</v>
      </c>
      <c r="X18" s="7">
        <f>X$2*(Underlying*EXP(-DividendYield*TimeToExpiration)*_xlfn.NORM.DIST(X$2*(LN(Underlying/$H18)+(RiskFreeRate-DividendYield+0.5*V18^2)*TimeToExpiration)/(V18*TimeToExpiration^0.5), 0, 1, TRUE) - 
       $H18*EXP(-RiskFreeRate*TimeToExpiration)*_xlfn.NORM.DIST(X$2*(LN(Underlying/$H18)+(RiskFreeRate-DividendYield-0.5*V18^2)*TimeToExpiration)/(V18*TimeToExpiration^0.5), 0, 1, TRUE)
)</f>
        <v>20.93289902</v>
      </c>
      <c r="Y18" s="40">
        <f t="shared" si="11"/>
        <v>0.375875</v>
      </c>
      <c r="Z18" s="8">
        <f>Z$2*(Underlying*EXP(-DividendYield*TimeToExpiration)*_xlfn.NORM.DIST(Z$2*(LN(Underlying/$H18)+(RiskFreeRate-DividendYield+0.5*Y18^2)*TimeToExpiration)/(Y18*TimeToExpiration^0.5), 0, 1, TRUE) - 
       $H18*EXP(-RiskFreeRate*TimeToExpiration)*_xlfn.NORM.DIST(Z$2*(LN(Underlying/$H18)+(RiskFreeRate-DividendYield-0.5*Y18^2)*TimeToExpiration)/(Y18*TimeToExpiration^0.5), 0, 1, TRUE)
)</f>
        <v>14.65414674</v>
      </c>
      <c r="AA18" s="40">
        <f t="shared" si="12"/>
        <v>0.375875</v>
      </c>
      <c r="AB18" s="40">
        <f t="shared" si="13"/>
        <v>0.75075</v>
      </c>
      <c r="AC18" s="7">
        <f>AC$2*(Underlying*EXP(-DividendYield*TimeToExpiration)*_xlfn.NORM.DIST(AC$2*(LN(Underlying/$H18)+(RiskFreeRate-DividendYield+0.5*AA18^2)*TimeToExpiration)/(AA18*TimeToExpiration^0.5), 0, 1, TRUE) - 
       $H18*EXP(-RiskFreeRate*TimeToExpiration)*_xlfn.NORM.DIST(AC$2*(LN(Underlying/$H18)+(RiskFreeRate-DividendYield-0.5*AA18^2)*TimeToExpiration)/(AA18*TimeToExpiration^0.5), 0, 1, TRUE)
)</f>
        <v>14.65414674</v>
      </c>
      <c r="AD18" s="7">
        <f>AD$2*(Underlying*EXP(-DividendYield*TimeToExpiration)*_xlfn.NORM.DIST(AD$2*(LN(Underlying/$H18)+(RiskFreeRate-DividendYield+0.5*AB18^2)*TimeToExpiration)/(AB18*TimeToExpiration^0.5), 0, 1, TRUE) - 
       $H18*EXP(-RiskFreeRate*TimeToExpiration)*_xlfn.NORM.DIST(AD$2*(LN(Underlying/$H18)+(RiskFreeRate-DividendYield-0.5*AB18^2)*TimeToExpiration)/(AB18*TimeToExpiration^0.5), 0, 1, TRUE)
)</f>
        <v>20.93289902</v>
      </c>
      <c r="AE18" s="40">
        <f t="shared" si="14"/>
        <v>0.5633125</v>
      </c>
      <c r="AF18" s="8">
        <f>AF$2*(Underlying*EXP(-DividendYield*TimeToExpiration)*_xlfn.NORM.DIST(AF$2*(LN(Underlying/$H18)+(RiskFreeRate-DividendYield+0.5*AE18^2)*TimeToExpiration)/(AE18*TimeToExpiration^0.5), 0, 1, TRUE) - 
       $H18*EXP(-RiskFreeRate*TimeToExpiration)*_xlfn.NORM.DIST(AF$2*(LN(Underlying/$H18)+(RiskFreeRate-DividendYield-0.5*AE18^2)*TimeToExpiration)/(AE18*TimeToExpiration^0.5), 0, 1, TRUE)
)</f>
        <v>17.67453994</v>
      </c>
      <c r="AG18" s="40">
        <f t="shared" si="15"/>
        <v>0.375875</v>
      </c>
      <c r="AH18" s="40">
        <f t="shared" si="16"/>
        <v>0.5633125</v>
      </c>
      <c r="AI18" s="7">
        <f>AI$2*(Underlying*EXP(-DividendYield*TimeToExpiration)*_xlfn.NORM.DIST(AI$2*(LN(Underlying/$H18)+(RiskFreeRate-DividendYield+0.5*AG18^2)*TimeToExpiration)/(AG18*TimeToExpiration^0.5), 0, 1, TRUE) - 
       $H18*EXP(-RiskFreeRate*TimeToExpiration)*_xlfn.NORM.DIST(AI$2*(LN(Underlying/$H18)+(RiskFreeRate-DividendYield-0.5*AG18^2)*TimeToExpiration)/(AG18*TimeToExpiration^0.5), 0, 1, TRUE)
)</f>
        <v>14.65414674</v>
      </c>
      <c r="AJ18" s="7">
        <f>AJ$2*(Underlying*EXP(-DividendYield*TimeToExpiration)*_xlfn.NORM.DIST(AJ$2*(LN(Underlying/$H18)+(RiskFreeRate-DividendYield+0.5*AH18^2)*TimeToExpiration)/(AH18*TimeToExpiration^0.5), 0, 1, TRUE) - 
       $H18*EXP(-RiskFreeRate*TimeToExpiration)*_xlfn.NORM.DIST(AJ$2*(LN(Underlying/$H18)+(RiskFreeRate-DividendYield-0.5*AH18^2)*TimeToExpiration)/(AH18*TimeToExpiration^0.5), 0, 1, TRUE)
)</f>
        <v>17.67453994</v>
      </c>
      <c r="AK18" s="40">
        <f t="shared" si="17"/>
        <v>0.46959375</v>
      </c>
      <c r="AL18" s="8">
        <f>AL$2*(Underlying*EXP(-DividendYield*TimeToExpiration)*_xlfn.NORM.DIST(AL$2*(LN(Underlying/$H18)+(RiskFreeRate-DividendYield+0.5*AK18^2)*TimeToExpiration)/(AK18*TimeToExpiration^0.5), 0, 1, TRUE) - 
       $H18*EXP(-RiskFreeRate*TimeToExpiration)*_xlfn.NORM.DIST(AL$2*(LN(Underlying/$H18)+(RiskFreeRate-DividendYield-0.5*AK18^2)*TimeToExpiration)/(AK18*TimeToExpiration^0.5), 0, 1, TRUE)
)</f>
        <v>16.11823696</v>
      </c>
      <c r="AM18" s="40">
        <f t="shared" si="18"/>
        <v>0.375875</v>
      </c>
      <c r="AN18" s="40">
        <f t="shared" si="19"/>
        <v>0.46959375</v>
      </c>
      <c r="AO18" s="7">
        <f>AO$2*(Underlying*EXP(-DividendYield*TimeToExpiration)*_xlfn.NORM.DIST(AO$2*(LN(Underlying/$H18)+(RiskFreeRate-DividendYield+0.5*AM18^2)*TimeToExpiration)/(AM18*TimeToExpiration^0.5), 0, 1, TRUE) - 
       $H18*EXP(-RiskFreeRate*TimeToExpiration)*_xlfn.NORM.DIST(AO$2*(LN(Underlying/$H18)+(RiskFreeRate-DividendYield-0.5*AM18^2)*TimeToExpiration)/(AM18*TimeToExpiration^0.5), 0, 1, TRUE)
)</f>
        <v>14.65414674</v>
      </c>
      <c r="AP18" s="7">
        <f>AP$2*(Underlying*EXP(-DividendYield*TimeToExpiration)*_xlfn.NORM.DIST(AP$2*(LN(Underlying/$H18)+(RiskFreeRate-DividendYield+0.5*AN18^2)*TimeToExpiration)/(AN18*TimeToExpiration^0.5), 0, 1, TRUE) - 
       $H18*EXP(-RiskFreeRate*TimeToExpiration)*_xlfn.NORM.DIST(AP$2*(LN(Underlying/$H18)+(RiskFreeRate-DividendYield-0.5*AN18^2)*TimeToExpiration)/(AN18*TimeToExpiration^0.5), 0, 1, TRUE)
)</f>
        <v>16.11823696</v>
      </c>
      <c r="AQ18" s="40">
        <f t="shared" si="20"/>
        <v>0.422734375</v>
      </c>
      <c r="AR18" s="8">
        <f>AR$2*(Underlying*EXP(-DividendYield*TimeToExpiration)*_xlfn.NORM.DIST(AR$2*(LN(Underlying/$H18)+(RiskFreeRate-DividendYield+0.5*AQ18^2)*TimeToExpiration)/(AQ18*TimeToExpiration^0.5), 0, 1, TRUE) - 
       $H18*EXP(-RiskFreeRate*TimeToExpiration)*_xlfn.NORM.DIST(AR$2*(LN(Underlying/$H18)+(RiskFreeRate-DividendYield-0.5*AQ18^2)*TimeToExpiration)/(AQ18*TimeToExpiration^0.5), 0, 1, TRUE)
)</f>
        <v>15.37125005</v>
      </c>
      <c r="AS18" s="40">
        <f t="shared" si="21"/>
        <v>0.375875</v>
      </c>
      <c r="AT18" s="40">
        <f t="shared" si="22"/>
        <v>0.422734375</v>
      </c>
      <c r="AU18" s="7">
        <f>AU$2*(Underlying*EXP(-DividendYield*TimeToExpiration)*_xlfn.NORM.DIST(AU$2*(LN(Underlying/$H18)+(RiskFreeRate-DividendYield+0.5*AS18^2)*TimeToExpiration)/(AS18*TimeToExpiration^0.5), 0, 1, TRUE) - 
       $H18*EXP(-RiskFreeRate*TimeToExpiration)*_xlfn.NORM.DIST(AU$2*(LN(Underlying/$H18)+(RiskFreeRate-DividendYield-0.5*AS18^2)*TimeToExpiration)/(AS18*TimeToExpiration^0.5), 0, 1, TRUE)
)</f>
        <v>14.65414674</v>
      </c>
      <c r="AV18" s="7">
        <f>AV$2*(Underlying*EXP(-DividendYield*TimeToExpiration)*_xlfn.NORM.DIST(AV$2*(LN(Underlying/$H18)+(RiskFreeRate-DividendYield+0.5*AT18^2)*TimeToExpiration)/(AT18*TimeToExpiration^0.5), 0, 1, TRUE) - 
       $H18*EXP(-RiskFreeRate*TimeToExpiration)*_xlfn.NORM.DIST(AV$2*(LN(Underlying/$H18)+(RiskFreeRate-DividendYield-0.5*AT18^2)*TimeToExpiration)/(AT18*TimeToExpiration^0.5), 0, 1, TRUE)
)</f>
        <v>15.37125005</v>
      </c>
      <c r="AW18" s="40">
        <f t="shared" si="23"/>
        <v>0.3993046875</v>
      </c>
      <c r="AX18" s="8">
        <f>AX$2*(Underlying*EXP(-DividendYield*TimeToExpiration)*_xlfn.NORM.DIST(AX$2*(LN(Underlying/$H18)+(RiskFreeRate-DividendYield+0.5*AW18^2)*TimeToExpiration)/(AW18*TimeToExpiration^0.5), 0, 1, TRUE) - 
       $H18*EXP(-RiskFreeRate*TimeToExpiration)*_xlfn.NORM.DIST(AX$2*(LN(Underlying/$H18)+(RiskFreeRate-DividendYield-0.5*AW18^2)*TimeToExpiration)/(AW18*TimeToExpiration^0.5), 0, 1, TRUE)
)</f>
        <v>15.00838918</v>
      </c>
      <c r="AY18" s="40">
        <f t="shared" si="24"/>
        <v>0.375875</v>
      </c>
      <c r="AZ18" s="40">
        <f t="shared" si="25"/>
        <v>0.3993046875</v>
      </c>
      <c r="BA18" s="7">
        <f>BA$2*(Underlying*EXP(-DividendYield*TimeToExpiration)*_xlfn.NORM.DIST(BA$2*(LN(Underlying/$H18)+(RiskFreeRate-DividendYield+0.5*AY18^2)*TimeToExpiration)/(AY18*TimeToExpiration^0.5), 0, 1, TRUE) - 
       $H18*EXP(-RiskFreeRate*TimeToExpiration)*_xlfn.NORM.DIST(BA$2*(LN(Underlying/$H18)+(RiskFreeRate-DividendYield-0.5*AY18^2)*TimeToExpiration)/(AY18*TimeToExpiration^0.5), 0, 1, TRUE)
)</f>
        <v>14.65414674</v>
      </c>
      <c r="BB18" s="7">
        <f>BB$2*(Underlying*EXP(-DividendYield*TimeToExpiration)*_xlfn.NORM.DIST(BB$2*(LN(Underlying/$H18)+(RiskFreeRate-DividendYield+0.5*AZ18^2)*TimeToExpiration)/(AZ18*TimeToExpiration^0.5), 0, 1, TRUE) - 
       $H18*EXP(-RiskFreeRate*TimeToExpiration)*_xlfn.NORM.DIST(BB$2*(LN(Underlying/$H18)+(RiskFreeRate-DividendYield-0.5*AZ18^2)*TimeToExpiration)/(AZ18*TimeToExpiration^0.5), 0, 1, TRUE)
)</f>
        <v>15.00838918</v>
      </c>
      <c r="BC18" s="40">
        <f t="shared" si="26"/>
        <v>0.3875898438</v>
      </c>
      <c r="BD18" s="8">
        <f>BD$2*(Underlying*EXP(-DividendYield*TimeToExpiration)*_xlfn.NORM.DIST(BD$2*(LN(Underlying/$H18)+(RiskFreeRate-DividendYield+0.5*BC18^2)*TimeToExpiration)/(BC18*TimeToExpiration^0.5), 0, 1, TRUE) - 
       $H18*EXP(-RiskFreeRate*TimeToExpiration)*_xlfn.NORM.DIST(BD$2*(LN(Underlying/$H18)+(RiskFreeRate-DividendYield-0.5*BC18^2)*TimeToExpiration)/(BC18*TimeToExpiration^0.5), 0, 1, TRUE)
)</f>
        <v>14.83010651</v>
      </c>
      <c r="BE18" s="40">
        <f t="shared" si="27"/>
        <v>0.375875</v>
      </c>
      <c r="BF18" s="40">
        <f t="shared" si="28"/>
        <v>0.3875898438</v>
      </c>
      <c r="BG18" s="7">
        <f>BG$2*(Underlying*EXP(-DividendYield*TimeToExpiration)*_xlfn.NORM.DIST(BG$2*(LN(Underlying/$H18)+(RiskFreeRate-DividendYield+0.5*BE18^2)*TimeToExpiration)/(BE18*TimeToExpiration^0.5), 0, 1, TRUE) - 
       $H18*EXP(-RiskFreeRate*TimeToExpiration)*_xlfn.NORM.DIST(BG$2*(LN(Underlying/$H18)+(RiskFreeRate-DividendYield-0.5*BE18^2)*TimeToExpiration)/(BE18*TimeToExpiration^0.5), 0, 1, TRUE)
)</f>
        <v>14.65414674</v>
      </c>
      <c r="BH18" s="7">
        <f>BH$2*(Underlying*EXP(-DividendYield*TimeToExpiration)*_xlfn.NORM.DIST(BH$2*(LN(Underlying/$H18)+(RiskFreeRate-DividendYield+0.5*BF18^2)*TimeToExpiration)/(BF18*TimeToExpiration^0.5), 0, 1, TRUE) - 
       $H18*EXP(-RiskFreeRate*TimeToExpiration)*_xlfn.NORM.DIST(BH$2*(LN(Underlying/$H18)+(RiskFreeRate-DividendYield-0.5*BF18^2)*TimeToExpiration)/(BF18*TimeToExpiration^0.5), 0, 1, TRUE)
)</f>
        <v>14.83010651</v>
      </c>
      <c r="BI18" s="40">
        <f t="shared" si="29"/>
        <v>0.3817324219</v>
      </c>
      <c r="BJ18" s="8">
        <f>BJ$2*(Underlying*EXP(-DividendYield*TimeToExpiration)*_xlfn.NORM.DIST(BJ$2*(LN(Underlying/$H18)+(RiskFreeRate-DividendYield+0.5*BI18^2)*TimeToExpiration)/(BI18*TimeToExpiration^0.5), 0, 1, TRUE) - 
       $H18*EXP(-RiskFreeRate*TimeToExpiration)*_xlfn.NORM.DIST(BJ$2*(LN(Underlying/$H18)+(RiskFreeRate-DividendYield-0.5*BI18^2)*TimeToExpiration)/(BI18*TimeToExpiration^0.5), 0, 1, TRUE)
)</f>
        <v>14.74182483</v>
      </c>
      <c r="BK18" s="40">
        <f t="shared" si="30"/>
        <v>0.375875</v>
      </c>
      <c r="BL18" s="40">
        <f t="shared" si="31"/>
        <v>0.3817324219</v>
      </c>
      <c r="BM18" s="7">
        <f>BM$2*(Underlying*EXP(-DividendYield*TimeToExpiration)*_xlfn.NORM.DIST(BM$2*(LN(Underlying/$H18)+(RiskFreeRate-DividendYield+0.5*BK18^2)*TimeToExpiration)/(BK18*TimeToExpiration^0.5), 0, 1, TRUE) - 
       $H18*EXP(-RiskFreeRate*TimeToExpiration)*_xlfn.NORM.DIST(BM$2*(LN(Underlying/$H18)+(RiskFreeRate-DividendYield-0.5*BK18^2)*TimeToExpiration)/(BK18*TimeToExpiration^0.5), 0, 1, TRUE)
)</f>
        <v>14.65414674</v>
      </c>
      <c r="BN18" s="7">
        <f>BN$2*(Underlying*EXP(-DividendYield*TimeToExpiration)*_xlfn.NORM.DIST(BN$2*(LN(Underlying/$H18)+(RiskFreeRate-DividendYield+0.5*BL18^2)*TimeToExpiration)/(BL18*TimeToExpiration^0.5), 0, 1, TRUE) - 
       $H18*EXP(-RiskFreeRate*TimeToExpiration)*_xlfn.NORM.DIST(BN$2*(LN(Underlying/$H18)+(RiskFreeRate-DividendYield-0.5*BL18^2)*TimeToExpiration)/(BL18*TimeToExpiration^0.5), 0, 1, TRUE)
)</f>
        <v>14.74182483</v>
      </c>
      <c r="BO18" s="40">
        <f t="shared" si="32"/>
        <v>0.3788037109</v>
      </c>
      <c r="BP18" s="8">
        <f>BP$2*(Underlying*EXP(-DividendYield*TimeToExpiration)*_xlfn.NORM.DIST(BP$2*(LN(Underlying/$H18)+(RiskFreeRate-DividendYield+0.5*BO18^2)*TimeToExpiration)/(BO18*TimeToExpiration^0.5), 0, 1, TRUE) - 
       $H18*EXP(-RiskFreeRate*TimeToExpiration)*_xlfn.NORM.DIST(BP$2*(LN(Underlying/$H18)+(RiskFreeRate-DividendYield-0.5*BO18^2)*TimeToExpiration)/(BO18*TimeToExpiration^0.5), 0, 1, TRUE)
)</f>
        <v>14.69790885</v>
      </c>
      <c r="BQ18" s="40">
        <f t="shared" si="33"/>
        <v>0.3788037109</v>
      </c>
      <c r="BR18" s="40">
        <f t="shared" si="34"/>
        <v>0.3817324219</v>
      </c>
      <c r="BS18" s="7">
        <f>BS$2*(Underlying*EXP(-DividendYield*TimeToExpiration)*_xlfn.NORM.DIST(BS$2*(LN(Underlying/$H18)+(RiskFreeRate-DividendYield+0.5*BQ18^2)*TimeToExpiration)/(BQ18*TimeToExpiration^0.5), 0, 1, TRUE) - 
       $H18*EXP(-RiskFreeRate*TimeToExpiration)*_xlfn.NORM.DIST(BS$2*(LN(Underlying/$H18)+(RiskFreeRate-DividendYield-0.5*BQ18^2)*TimeToExpiration)/(BQ18*TimeToExpiration^0.5), 0, 1, TRUE)
)</f>
        <v>14.69790885</v>
      </c>
      <c r="BT18" s="7">
        <f>BT$2*(Underlying*EXP(-DividendYield*TimeToExpiration)*_xlfn.NORM.DIST(BT$2*(LN(Underlying/$H18)+(RiskFreeRate-DividendYield+0.5*BR18^2)*TimeToExpiration)/(BR18*TimeToExpiration^0.5), 0, 1, TRUE) - 
       $H18*EXP(-RiskFreeRate*TimeToExpiration)*_xlfn.NORM.DIST(BT$2*(LN(Underlying/$H18)+(RiskFreeRate-DividendYield-0.5*BR18^2)*TimeToExpiration)/(BR18*TimeToExpiration^0.5), 0, 1, TRUE)
)</f>
        <v>14.74182483</v>
      </c>
      <c r="BU18" s="40">
        <f t="shared" si="35"/>
        <v>0.3802680664</v>
      </c>
      <c r="BV18" s="8">
        <f>BV$2*(Underlying*EXP(-DividendYield*TimeToExpiration)*_xlfn.NORM.DIST(BV$2*(LN(Underlying/$H18)+(RiskFreeRate-DividendYield+0.5*BU18^2)*TimeToExpiration)/(BU18*TimeToExpiration^0.5), 0, 1, TRUE) - 
       $H18*EXP(-RiskFreeRate*TimeToExpiration)*_xlfn.NORM.DIST(BV$2*(LN(Underlying/$H18)+(RiskFreeRate-DividendYield-0.5*BU18^2)*TimeToExpiration)/(BU18*TimeToExpiration^0.5), 0, 1, TRUE)
)</f>
        <v>14.71984779</v>
      </c>
      <c r="BW18" s="40">
        <f t="shared" si="36"/>
        <v>0.3802680664</v>
      </c>
      <c r="BX18" s="40">
        <f t="shared" si="37"/>
        <v>0.3817324219</v>
      </c>
      <c r="BY18" s="7">
        <f>BY$2*(Underlying*EXP(-DividendYield*TimeToExpiration)*_xlfn.NORM.DIST(BY$2*(LN(Underlying/$H18)+(RiskFreeRate-DividendYield+0.5*BW18^2)*TimeToExpiration)/(BW18*TimeToExpiration^0.5), 0, 1, TRUE) - 
       $H18*EXP(-RiskFreeRate*TimeToExpiration)*_xlfn.NORM.DIST(BY$2*(LN(Underlying/$H18)+(RiskFreeRate-DividendYield-0.5*BW18^2)*TimeToExpiration)/(BW18*TimeToExpiration^0.5), 0, 1, TRUE)
)</f>
        <v>14.71984779</v>
      </c>
      <c r="BZ18" s="7">
        <f>BZ$2*(Underlying*EXP(-DividendYield*TimeToExpiration)*_xlfn.NORM.DIST(BZ$2*(LN(Underlying/$H18)+(RiskFreeRate-DividendYield+0.5*BX18^2)*TimeToExpiration)/(BX18*TimeToExpiration^0.5), 0, 1, TRUE) - 
       $H18*EXP(-RiskFreeRate*TimeToExpiration)*_xlfn.NORM.DIST(BZ$2*(LN(Underlying/$H18)+(RiskFreeRate-DividendYield-0.5*BX18^2)*TimeToExpiration)/(BX18*TimeToExpiration^0.5), 0, 1, TRUE)
)</f>
        <v>14.74182483</v>
      </c>
      <c r="CA18" s="40">
        <f t="shared" si="38"/>
        <v>0.3810002441</v>
      </c>
      <c r="CB18" s="8">
        <f>CB$2*(Underlying*EXP(-DividendYield*TimeToExpiration)*_xlfn.NORM.DIST(CB$2*(LN(Underlying/$H18)+(RiskFreeRate-DividendYield+0.5*CA18^2)*TimeToExpiration)/(CA18*TimeToExpiration^0.5), 0, 1, TRUE) - 
       $H18*EXP(-RiskFreeRate*TimeToExpiration)*_xlfn.NORM.DIST(CB$2*(LN(Underlying/$H18)+(RiskFreeRate-DividendYield-0.5*CA18^2)*TimeToExpiration)/(CA18*TimeToExpiration^0.5), 0, 1, TRUE)
)</f>
        <v>14.73083157</v>
      </c>
      <c r="CC18" s="40">
        <f t="shared" si="39"/>
        <v>0.3802680664</v>
      </c>
      <c r="CD18" s="40">
        <f t="shared" si="40"/>
        <v>0.3810002441</v>
      </c>
      <c r="CE18" s="7">
        <f>CE$2*(Underlying*EXP(-DividendYield*TimeToExpiration)*_xlfn.NORM.DIST(CE$2*(LN(Underlying/$H18)+(RiskFreeRate-DividendYield+0.5*CC18^2)*TimeToExpiration)/(CC18*TimeToExpiration^0.5), 0, 1, TRUE) - 
       $H18*EXP(-RiskFreeRate*TimeToExpiration)*_xlfn.NORM.DIST(CE$2*(LN(Underlying/$H18)+(RiskFreeRate-DividendYield-0.5*CC18^2)*TimeToExpiration)/(CC18*TimeToExpiration^0.5), 0, 1, TRUE)
)</f>
        <v>14.71984779</v>
      </c>
      <c r="CF18" s="7">
        <f>CF$2*(Underlying*EXP(-DividendYield*TimeToExpiration)*_xlfn.NORM.DIST(CF$2*(LN(Underlying/$H18)+(RiskFreeRate-DividendYield+0.5*CD18^2)*TimeToExpiration)/(CD18*TimeToExpiration^0.5), 0, 1, TRUE) - 
       $H18*EXP(-RiskFreeRate*TimeToExpiration)*_xlfn.NORM.DIST(CF$2*(LN(Underlying/$H18)+(RiskFreeRate-DividendYield-0.5*CD18^2)*TimeToExpiration)/(CD18*TimeToExpiration^0.5), 0, 1, TRUE)
)</f>
        <v>14.73083157</v>
      </c>
      <c r="CG18" s="40">
        <f t="shared" si="41"/>
        <v>0.3806341553</v>
      </c>
      <c r="CH18" s="8">
        <f>CH$2*(Underlying*EXP(-DividendYield*TimeToExpiration)*_xlfn.NORM.DIST(CH$2*(LN(Underlying/$H18)+(RiskFreeRate-DividendYield+0.5*CG18^2)*TimeToExpiration)/(CG18*TimeToExpiration^0.5), 0, 1, TRUE) - 
       $H18*EXP(-RiskFreeRate*TimeToExpiration)*_xlfn.NORM.DIST(CH$2*(LN(Underlying/$H18)+(RiskFreeRate-DividendYield-0.5*CG18^2)*TimeToExpiration)/(CG18*TimeToExpiration^0.5), 0, 1, TRUE)
)</f>
        <v>14.7253385</v>
      </c>
      <c r="CI18" s="40">
        <f t="shared" si="42"/>
        <v>0.3802680664</v>
      </c>
      <c r="CJ18" s="40">
        <f t="shared" si="43"/>
        <v>0.3806341553</v>
      </c>
      <c r="CK18" s="7">
        <f>CK$2*(Underlying*EXP(-DividendYield*TimeToExpiration)*_xlfn.NORM.DIST(CK$2*(LN(Underlying/$H18)+(RiskFreeRate-DividendYield+0.5*CI18^2)*TimeToExpiration)/(CI18*TimeToExpiration^0.5), 0, 1, TRUE) - 
       $H18*EXP(-RiskFreeRate*TimeToExpiration)*_xlfn.NORM.DIST(CK$2*(LN(Underlying/$H18)+(RiskFreeRate-DividendYield-0.5*CI18^2)*TimeToExpiration)/(CI18*TimeToExpiration^0.5), 0, 1, TRUE)
)</f>
        <v>14.71984779</v>
      </c>
      <c r="CL18" s="7">
        <f>CL$2*(Underlying*EXP(-DividendYield*TimeToExpiration)*_xlfn.NORM.DIST(CL$2*(LN(Underlying/$H18)+(RiskFreeRate-DividendYield+0.5*CJ18^2)*TimeToExpiration)/(CJ18*TimeToExpiration^0.5), 0, 1, TRUE) - 
       $H18*EXP(-RiskFreeRate*TimeToExpiration)*_xlfn.NORM.DIST(CL$2*(LN(Underlying/$H18)+(RiskFreeRate-DividendYield-0.5*CJ18^2)*TimeToExpiration)/(CJ18*TimeToExpiration^0.5), 0, 1, TRUE)
)</f>
        <v>14.7253385</v>
      </c>
      <c r="CM18" s="40">
        <f t="shared" si="44"/>
        <v>0.3804511108</v>
      </c>
      <c r="CN18" s="8">
        <f>CN$2*(Underlying*EXP(-DividendYield*TimeToExpiration)*_xlfn.NORM.DIST(CN$2*(LN(Underlying/$H18)+(RiskFreeRate-DividendYield+0.5*CM18^2)*TimeToExpiration)/(CM18*TimeToExpiration^0.5), 0, 1, TRUE) - 
       $H18*EXP(-RiskFreeRate*TimeToExpiration)*_xlfn.NORM.DIST(CN$2*(LN(Underlying/$H18)+(RiskFreeRate-DividendYield-0.5*CM18^2)*TimeToExpiration)/(CM18*TimeToExpiration^0.5), 0, 1, TRUE)
)</f>
        <v>14.72259285</v>
      </c>
      <c r="CO18" s="40">
        <f t="shared" si="45"/>
        <v>0.3804511108</v>
      </c>
      <c r="CP18" s="40">
        <f t="shared" si="46"/>
        <v>0.3806341553</v>
      </c>
      <c r="CQ18" s="7">
        <f>CQ$2*(Underlying*EXP(-DividendYield*TimeToExpiration)*_xlfn.NORM.DIST(CQ$2*(LN(Underlying/$H18)+(RiskFreeRate-DividendYield+0.5*CO18^2)*TimeToExpiration)/(CO18*TimeToExpiration^0.5), 0, 1, TRUE) - 
       $H18*EXP(-RiskFreeRate*TimeToExpiration)*_xlfn.NORM.DIST(CQ$2*(LN(Underlying/$H18)+(RiskFreeRate-DividendYield-0.5*CO18^2)*TimeToExpiration)/(CO18*TimeToExpiration^0.5), 0, 1, TRUE)
)</f>
        <v>14.72259285</v>
      </c>
      <c r="CR18" s="7">
        <f>CR$2*(Underlying*EXP(-DividendYield*TimeToExpiration)*_xlfn.NORM.DIST(CR$2*(LN(Underlying/$H18)+(RiskFreeRate-DividendYield+0.5*CP18^2)*TimeToExpiration)/(CP18*TimeToExpiration^0.5), 0, 1, TRUE) - 
       $H18*EXP(-RiskFreeRate*TimeToExpiration)*_xlfn.NORM.DIST(CR$2*(LN(Underlying/$H18)+(RiskFreeRate-DividendYield-0.5*CP18^2)*TimeToExpiration)/(CP18*TimeToExpiration^0.5), 0, 1, TRUE)
)</f>
        <v>14.7253385</v>
      </c>
      <c r="CS18" s="40">
        <f t="shared" si="47"/>
        <v>0.3805426331</v>
      </c>
      <c r="CT18" s="8">
        <f>CT$2*(Underlying*EXP(-DividendYield*TimeToExpiration)*_xlfn.NORM.DIST(CT$2*(LN(Underlying/$H18)+(RiskFreeRate-DividendYield+0.5*CS18^2)*TimeToExpiration)/(CS18*TimeToExpiration^0.5), 0, 1, TRUE) - 
       $H18*EXP(-RiskFreeRate*TimeToExpiration)*_xlfn.NORM.DIST(CT$2*(LN(Underlying/$H18)+(RiskFreeRate-DividendYield-0.5*CS18^2)*TimeToExpiration)/(CS18*TimeToExpiration^0.5), 0, 1, TRUE)
)</f>
        <v>14.7239656</v>
      </c>
      <c r="CU18" s="40">
        <f t="shared" si="48"/>
        <v>0.3805426331</v>
      </c>
      <c r="CV18" s="40">
        <f t="shared" si="49"/>
        <v>0.3806341553</v>
      </c>
      <c r="CW18" s="7">
        <f>CW$2*(Underlying*EXP(-DividendYield*TimeToExpiration)*_xlfn.NORM.DIST(CW$2*(LN(Underlying/$H18)+(RiskFreeRate-DividendYield+0.5*CU18^2)*TimeToExpiration)/(CU18*TimeToExpiration^0.5), 0, 1, TRUE) - 
       $H18*EXP(-RiskFreeRate*TimeToExpiration)*_xlfn.NORM.DIST(CW$2*(LN(Underlying/$H18)+(RiskFreeRate-DividendYield-0.5*CU18^2)*TimeToExpiration)/(CU18*TimeToExpiration^0.5), 0, 1, TRUE)
)</f>
        <v>14.7239656</v>
      </c>
      <c r="CX18" s="7">
        <f>CX$2*(Underlying*EXP(-DividendYield*TimeToExpiration)*_xlfn.NORM.DIST(CX$2*(LN(Underlying/$H18)+(RiskFreeRate-DividendYield+0.5*CV18^2)*TimeToExpiration)/(CV18*TimeToExpiration^0.5), 0, 1, TRUE) - 
       $H18*EXP(-RiskFreeRate*TimeToExpiration)*_xlfn.NORM.DIST(CX$2*(LN(Underlying/$H18)+(RiskFreeRate-DividendYield-0.5*CV18^2)*TimeToExpiration)/(CV18*TimeToExpiration^0.5), 0, 1, TRUE)
)</f>
        <v>14.7253385</v>
      </c>
      <c r="CY18" s="40">
        <f t="shared" si="50"/>
        <v>0.3805883942</v>
      </c>
      <c r="CZ18" s="8">
        <f>CZ$2*(Underlying*EXP(-DividendYield*TimeToExpiration)*_xlfn.NORM.DIST(CZ$2*(LN(Underlying/$H18)+(RiskFreeRate-DividendYield+0.5*CY18^2)*TimeToExpiration)/(CY18*TimeToExpiration^0.5), 0, 1, TRUE) - 
       $H18*EXP(-RiskFreeRate*TimeToExpiration)*_xlfn.NORM.DIST(CZ$2*(LN(Underlying/$H18)+(RiskFreeRate-DividendYield-0.5*CY18^2)*TimeToExpiration)/(CY18*TimeToExpiration^0.5), 0, 1, TRUE)
)</f>
        <v>14.72465203</v>
      </c>
      <c r="DA18" s="40">
        <f t="shared" si="51"/>
        <v>0.3805883942</v>
      </c>
      <c r="DB18" s="40">
        <f t="shared" si="52"/>
        <v>0.3806341553</v>
      </c>
      <c r="DC18" s="7">
        <f>DC$2*(Underlying*EXP(-DividendYield*TimeToExpiration)*_xlfn.NORM.DIST(DC$2*(LN(Underlying/$H18)+(RiskFreeRate-DividendYield+0.5*DA18^2)*TimeToExpiration)/(DA18*TimeToExpiration^0.5), 0, 1, TRUE) - 
       $H18*EXP(-RiskFreeRate*TimeToExpiration)*_xlfn.NORM.DIST(DC$2*(LN(Underlying/$H18)+(RiskFreeRate-DividendYield-0.5*DA18^2)*TimeToExpiration)/(DA18*TimeToExpiration^0.5), 0, 1, TRUE)
)</f>
        <v>14.72465203</v>
      </c>
      <c r="DD18" s="7">
        <f>DD$2*(Underlying*EXP(-DividendYield*TimeToExpiration)*_xlfn.NORM.DIST(DD$2*(LN(Underlying/$H18)+(RiskFreeRate-DividendYield+0.5*DB18^2)*TimeToExpiration)/(DB18*TimeToExpiration^0.5), 0, 1, TRUE) - 
       $H18*EXP(-RiskFreeRate*TimeToExpiration)*_xlfn.NORM.DIST(DD$2*(LN(Underlying/$H18)+(RiskFreeRate-DividendYield-0.5*DB18^2)*TimeToExpiration)/(DB18*TimeToExpiration^0.5), 0, 1, TRUE)
)</f>
        <v>14.7253385</v>
      </c>
      <c r="DE18" s="40">
        <f t="shared" si="53"/>
        <v>0.3806112747</v>
      </c>
      <c r="DF18" s="8">
        <f>DF$2*(Underlying*EXP(-DividendYield*TimeToExpiration)*_xlfn.NORM.DIST(DF$2*(LN(Underlying/$H18)+(RiskFreeRate-DividendYield+0.5*DE18^2)*TimeToExpiration)/(DE18*TimeToExpiration^0.5), 0, 1, TRUE) - 
       $H18*EXP(-RiskFreeRate*TimeToExpiration)*_xlfn.NORM.DIST(DF$2*(LN(Underlying/$H18)+(RiskFreeRate-DividendYield-0.5*DE18^2)*TimeToExpiration)/(DE18*TimeToExpiration^0.5), 0, 1, TRUE)
)</f>
        <v>14.72499526</v>
      </c>
    </row>
    <row r="19">
      <c r="A19" s="20">
        <f>'Option Mkt Data'!A19</f>
        <v>330</v>
      </c>
      <c r="B19" s="35">
        <f t="shared" ref="B19:C19" si="66">DE19</f>
        <v>0.3754402695</v>
      </c>
      <c r="C19" s="7">
        <f t="shared" si="66"/>
        <v>12.85027937</v>
      </c>
      <c r="D19" s="7">
        <f t="shared" si="3"/>
        <v>0.0002794684108</v>
      </c>
      <c r="E19" s="9">
        <f t="shared" si="4"/>
        <v>0.00002174851462</v>
      </c>
      <c r="F19" s="36">
        <f>D19/'Option Mkt Data'!L19</f>
        <v>0.002794700038</v>
      </c>
      <c r="G19" s="5">
        <f>'Option Mkt Data'!J19</f>
        <v>12.84999991</v>
      </c>
      <c r="H19" s="33">
        <f>'Option Mkt Data'!A19</f>
        <v>330</v>
      </c>
      <c r="I19" s="37">
        <f>MinSolverVola</f>
        <v>0.001</v>
      </c>
      <c r="J19" s="38">
        <f>MaxSolverVola</f>
        <v>3</v>
      </c>
      <c r="K19" s="39">
        <f>K$2*(Underlying*EXP(-DividendYield*TimeToExpiration)*_xlfn.NORM.DIST(K$2*(LN(Underlying/$H19)+(RiskFreeRate-DividendYield+0.5*I19^2)*TimeToExpiration)/(I19*TimeToExpiration^0.5), 0, 1, TRUE) - 
       $H19*EXP(-RiskFreeRate*TimeToExpiration)*_xlfn.NORM.DIST(K$2*(LN(Underlying/$H19)+(RiskFreeRate-DividendYield-0.5*I19^2)*TimeToExpiration)/(I19*TimeToExpiration^0.5), 0, 1, TRUE)
)</f>
        <v>9.537738715</v>
      </c>
      <c r="L19" s="7">
        <f>L$2*(Underlying*EXP(-DividendYield*TimeToExpiration)*_xlfn.NORM.DIST(L$2*(LN(Underlying/$H19)+(RiskFreeRate-DividendYield+0.5*J19^2)*TimeToExpiration)/(J19*TimeToExpiration^0.5), 0, 1, TRUE) - 
       $H19*EXP(-RiskFreeRate*TimeToExpiration)*_xlfn.NORM.DIST(L$2*(LN(Underlying/$H19)+(RiskFreeRate-DividendYield-0.5*J19^2)*TimeToExpiration)/(J19*TimeToExpiration^0.5), 0, 1, TRUE)
)</f>
        <v>61.08267134</v>
      </c>
      <c r="M19" s="40">
        <f t="shared" si="5"/>
        <v>1.5005</v>
      </c>
      <c r="N19" s="8">
        <f>N$2*(Underlying*EXP(-DividendYield*TimeToExpiration)*_xlfn.NORM.DIST(N$2*(LN(Underlying/$H19)+(RiskFreeRate-DividendYield+0.5*M19^2)*TimeToExpiration)/(M19*TimeToExpiration^0.5), 0, 1, TRUE) - 
       $H19*EXP(-RiskFreeRate*TimeToExpiration)*_xlfn.NORM.DIST(N$2*(LN(Underlying/$H19)+(RiskFreeRate-DividendYield-0.5*M19^2)*TimeToExpiration)/(M19*TimeToExpiration^0.5), 0, 1, TRUE)
)</f>
        <v>33.28438391</v>
      </c>
      <c r="O19" s="41">
        <f t="shared" si="6"/>
        <v>0.001</v>
      </c>
      <c r="P19" s="40">
        <f t="shared" si="7"/>
        <v>1.5005</v>
      </c>
      <c r="Q19" s="7">
        <f>Q$2*(Underlying*EXP(-DividendYield*TimeToExpiration)*_xlfn.NORM.DIST(Q$2*(LN(Underlying/$H19)+(RiskFreeRate-DividendYield+0.5*O19^2)*TimeToExpiration)/(O19*TimeToExpiration^0.5), 0, 1, TRUE) - 
       $H19*EXP(-RiskFreeRate*TimeToExpiration)*_xlfn.NORM.DIST(Q$2*(LN(Underlying/$H19)+(RiskFreeRate-DividendYield-0.5*O19^2)*TimeToExpiration)/(O19*TimeToExpiration^0.5), 0, 1, TRUE))</f>
        <v>9.537738715</v>
      </c>
      <c r="R19" s="7">
        <f>R$2*(Underlying*EXP(-DividendYield*TimeToExpiration)*_xlfn.NORM.DIST(R$2*(LN(Underlying/$H19)+(RiskFreeRate-DividendYield+0.5*P19^2)*TimeToExpiration)/(P19*TimeToExpiration^0.5), 0, 1, TRUE) - 
       $H19*EXP(-RiskFreeRate*TimeToExpiration)*_xlfn.NORM.DIST(R$2*(LN(Underlying/$H19)+(RiskFreeRate-DividendYield-0.5*P19^2)*TimeToExpiration)/(P19*TimeToExpiration^0.5), 0, 1, TRUE)
)</f>
        <v>33.28438391</v>
      </c>
      <c r="S19" s="40">
        <f t="shared" si="8"/>
        <v>0.75075</v>
      </c>
      <c r="T19" s="8">
        <f>T$2*(Underlying*EXP(-DividendYield*TimeToExpiration)*_xlfn.NORM.DIST(T$2*(LN(Underlying/$H19)+(RiskFreeRate-DividendYield+0.5*S19^2)*TimeToExpiration)/(S19*TimeToExpiration^0.5), 0, 1, TRUE) - 
       $H19*EXP(-RiskFreeRate*TimeToExpiration)*_xlfn.NORM.DIST(T$2*(LN(Underlying/$H19)+(RiskFreeRate-DividendYield-0.5*S19^2)*TimeToExpiration)/(S19*TimeToExpiration^0.5), 0, 1, TRUE)
)</f>
        <v>19.43624414</v>
      </c>
      <c r="U19" s="41">
        <f t="shared" si="9"/>
        <v>0.001</v>
      </c>
      <c r="V19" s="40">
        <f t="shared" si="10"/>
        <v>0.75075</v>
      </c>
      <c r="W19" s="7">
        <f>W$2*(Underlying*EXP(-DividendYield*TimeToExpiration)*_xlfn.NORM.DIST(W$2*(LN(Underlying/$H19)+(RiskFreeRate-DividendYield+0.5*U19^2)*TimeToExpiration)/(U19*TimeToExpiration^0.5), 0, 1, TRUE) - 
       $H19*EXP(-RiskFreeRate*TimeToExpiration)*_xlfn.NORM.DIST(W$2*(LN(Underlying/$H19)+(RiskFreeRate-DividendYield-0.5*U19^2)*TimeToExpiration)/(U19*TimeToExpiration^0.5), 0, 1, TRUE)
)</f>
        <v>9.537738715</v>
      </c>
      <c r="X19" s="7">
        <f>X$2*(Underlying*EXP(-DividendYield*TimeToExpiration)*_xlfn.NORM.DIST(X$2*(LN(Underlying/$H19)+(RiskFreeRate-DividendYield+0.5*V19^2)*TimeToExpiration)/(V19*TimeToExpiration^0.5), 0, 1, TRUE) - 
       $H19*EXP(-RiskFreeRate*TimeToExpiration)*_xlfn.NORM.DIST(X$2*(LN(Underlying/$H19)+(RiskFreeRate-DividendYield-0.5*V19^2)*TimeToExpiration)/(V19*TimeToExpiration^0.5), 0, 1, TRUE)
)</f>
        <v>19.43624414</v>
      </c>
      <c r="Y19" s="40">
        <f t="shared" si="11"/>
        <v>0.375875</v>
      </c>
      <c r="Z19" s="8">
        <f>Z$2*(Underlying*EXP(-DividendYield*TimeToExpiration)*_xlfn.NORM.DIST(Z$2*(LN(Underlying/$H19)+(RiskFreeRate-DividendYield+0.5*Y19^2)*TimeToExpiration)/(Y19*TimeToExpiration^0.5), 0, 1, TRUE) - 
       $H19*EXP(-RiskFreeRate*TimeToExpiration)*_xlfn.NORM.DIST(Z$2*(LN(Underlying/$H19)+(RiskFreeRate-DividendYield-0.5*Y19^2)*TimeToExpiration)/(Y19*TimeToExpiration^0.5), 0, 1, TRUE)
)</f>
        <v>12.85737883</v>
      </c>
      <c r="AA19" s="41">
        <f t="shared" si="12"/>
        <v>0.001</v>
      </c>
      <c r="AB19" s="40">
        <f t="shared" si="13"/>
        <v>0.375875</v>
      </c>
      <c r="AC19" s="7">
        <f>AC$2*(Underlying*EXP(-DividendYield*TimeToExpiration)*_xlfn.NORM.DIST(AC$2*(LN(Underlying/$H19)+(RiskFreeRate-DividendYield+0.5*AA19^2)*TimeToExpiration)/(AA19*TimeToExpiration^0.5), 0, 1, TRUE) - 
       $H19*EXP(-RiskFreeRate*TimeToExpiration)*_xlfn.NORM.DIST(AC$2*(LN(Underlying/$H19)+(RiskFreeRate-DividendYield-0.5*AA19^2)*TimeToExpiration)/(AA19*TimeToExpiration^0.5), 0, 1, TRUE)
)</f>
        <v>9.537738715</v>
      </c>
      <c r="AD19" s="7">
        <f>AD$2*(Underlying*EXP(-DividendYield*TimeToExpiration)*_xlfn.NORM.DIST(AD$2*(LN(Underlying/$H19)+(RiskFreeRate-DividendYield+0.5*AB19^2)*TimeToExpiration)/(AB19*TimeToExpiration^0.5), 0, 1, TRUE) - 
       $H19*EXP(-RiskFreeRate*TimeToExpiration)*_xlfn.NORM.DIST(AD$2*(LN(Underlying/$H19)+(RiskFreeRate-DividendYield-0.5*AB19^2)*TimeToExpiration)/(AB19*TimeToExpiration^0.5), 0, 1, TRUE)
)</f>
        <v>12.85737883</v>
      </c>
      <c r="AE19" s="40">
        <f t="shared" si="14"/>
        <v>0.1884375</v>
      </c>
      <c r="AF19" s="8">
        <f>AF$2*(Underlying*EXP(-DividendYield*TimeToExpiration)*_xlfn.NORM.DIST(AF$2*(LN(Underlying/$H19)+(RiskFreeRate-DividendYield+0.5*AE19^2)*TimeToExpiration)/(AE19*TimeToExpiration^0.5), 0, 1, TRUE) - 
       $H19*EXP(-RiskFreeRate*TimeToExpiration)*_xlfn.NORM.DIST(AF$2*(LN(Underlying/$H19)+(RiskFreeRate-DividendYield-0.5*AE19^2)*TimeToExpiration)/(AE19*TimeToExpiration^0.5), 0, 1, TRUE)
)</f>
        <v>10.18623241</v>
      </c>
      <c r="AG19" s="40">
        <f t="shared" si="15"/>
        <v>0.1884375</v>
      </c>
      <c r="AH19" s="40">
        <f t="shared" si="16"/>
        <v>0.375875</v>
      </c>
      <c r="AI19" s="7">
        <f>AI$2*(Underlying*EXP(-DividendYield*TimeToExpiration)*_xlfn.NORM.DIST(AI$2*(LN(Underlying/$H19)+(RiskFreeRate-DividendYield+0.5*AG19^2)*TimeToExpiration)/(AG19*TimeToExpiration^0.5), 0, 1, TRUE) - 
       $H19*EXP(-RiskFreeRate*TimeToExpiration)*_xlfn.NORM.DIST(AI$2*(LN(Underlying/$H19)+(RiskFreeRate-DividendYield-0.5*AG19^2)*TimeToExpiration)/(AG19*TimeToExpiration^0.5), 0, 1, TRUE)
)</f>
        <v>10.18623241</v>
      </c>
      <c r="AJ19" s="7">
        <f>AJ$2*(Underlying*EXP(-DividendYield*TimeToExpiration)*_xlfn.NORM.DIST(AJ$2*(LN(Underlying/$H19)+(RiskFreeRate-DividendYield+0.5*AH19^2)*TimeToExpiration)/(AH19*TimeToExpiration^0.5), 0, 1, TRUE) - 
       $H19*EXP(-RiskFreeRate*TimeToExpiration)*_xlfn.NORM.DIST(AJ$2*(LN(Underlying/$H19)+(RiskFreeRate-DividendYield-0.5*AH19^2)*TimeToExpiration)/(AH19*TimeToExpiration^0.5), 0, 1, TRUE)
)</f>
        <v>12.85737883</v>
      </c>
      <c r="AK19" s="40">
        <f t="shared" si="17"/>
        <v>0.28215625</v>
      </c>
      <c r="AL19" s="8">
        <f>AL$2*(Underlying*EXP(-DividendYield*TimeToExpiration)*_xlfn.NORM.DIST(AL$2*(LN(Underlying/$H19)+(RiskFreeRate-DividendYield+0.5*AK19^2)*TimeToExpiration)/(AK19*TimeToExpiration^0.5), 0, 1, TRUE) - 
       $H19*EXP(-RiskFreeRate*TimeToExpiration)*_xlfn.NORM.DIST(AL$2*(LN(Underlying/$H19)+(RiskFreeRate-DividendYield-0.5*AK19^2)*TimeToExpiration)/(AK19*TimeToExpiration^0.5), 0, 1, TRUE)
)</f>
        <v>11.39722651</v>
      </c>
      <c r="AM19" s="40">
        <f t="shared" si="18"/>
        <v>0.28215625</v>
      </c>
      <c r="AN19" s="40">
        <f t="shared" si="19"/>
        <v>0.375875</v>
      </c>
      <c r="AO19" s="7">
        <f>AO$2*(Underlying*EXP(-DividendYield*TimeToExpiration)*_xlfn.NORM.DIST(AO$2*(LN(Underlying/$H19)+(RiskFreeRate-DividendYield+0.5*AM19^2)*TimeToExpiration)/(AM19*TimeToExpiration^0.5), 0, 1, TRUE) - 
       $H19*EXP(-RiskFreeRate*TimeToExpiration)*_xlfn.NORM.DIST(AO$2*(LN(Underlying/$H19)+(RiskFreeRate-DividendYield-0.5*AM19^2)*TimeToExpiration)/(AM19*TimeToExpiration^0.5), 0, 1, TRUE)
)</f>
        <v>11.39722651</v>
      </c>
      <c r="AP19" s="7">
        <f>AP$2*(Underlying*EXP(-DividendYield*TimeToExpiration)*_xlfn.NORM.DIST(AP$2*(LN(Underlying/$H19)+(RiskFreeRate-DividendYield+0.5*AN19^2)*TimeToExpiration)/(AN19*TimeToExpiration^0.5), 0, 1, TRUE) - 
       $H19*EXP(-RiskFreeRate*TimeToExpiration)*_xlfn.NORM.DIST(AP$2*(LN(Underlying/$H19)+(RiskFreeRate-DividendYield-0.5*AN19^2)*TimeToExpiration)/(AN19*TimeToExpiration^0.5), 0, 1, TRUE)
)</f>
        <v>12.85737883</v>
      </c>
      <c r="AQ19" s="40">
        <f t="shared" si="20"/>
        <v>0.329015625</v>
      </c>
      <c r="AR19" s="8">
        <f>AR$2*(Underlying*EXP(-DividendYield*TimeToExpiration)*_xlfn.NORM.DIST(AR$2*(LN(Underlying/$H19)+(RiskFreeRate-DividendYield+0.5*AQ19^2)*TimeToExpiration)/(AQ19*TimeToExpiration^0.5), 0, 1, TRUE) - 
       $H19*EXP(-RiskFreeRate*TimeToExpiration)*_xlfn.NORM.DIST(AR$2*(LN(Underlying/$H19)+(RiskFreeRate-DividendYield-0.5*AQ19^2)*TimeToExpiration)/(AQ19*TimeToExpiration^0.5), 0, 1, TRUE)
)</f>
        <v>12.10744104</v>
      </c>
      <c r="AS19" s="40">
        <f t="shared" si="21"/>
        <v>0.329015625</v>
      </c>
      <c r="AT19" s="40">
        <f t="shared" si="22"/>
        <v>0.375875</v>
      </c>
      <c r="AU19" s="7">
        <f>AU$2*(Underlying*EXP(-DividendYield*TimeToExpiration)*_xlfn.NORM.DIST(AU$2*(LN(Underlying/$H19)+(RiskFreeRate-DividendYield+0.5*AS19^2)*TimeToExpiration)/(AS19*TimeToExpiration^0.5), 0, 1, TRUE) - 
       $H19*EXP(-RiskFreeRate*TimeToExpiration)*_xlfn.NORM.DIST(AU$2*(LN(Underlying/$H19)+(RiskFreeRate-DividendYield-0.5*AS19^2)*TimeToExpiration)/(AS19*TimeToExpiration^0.5), 0, 1, TRUE)
)</f>
        <v>12.10744104</v>
      </c>
      <c r="AV19" s="7">
        <f>AV$2*(Underlying*EXP(-DividendYield*TimeToExpiration)*_xlfn.NORM.DIST(AV$2*(LN(Underlying/$H19)+(RiskFreeRate-DividendYield+0.5*AT19^2)*TimeToExpiration)/(AT19*TimeToExpiration^0.5), 0, 1, TRUE) - 
       $H19*EXP(-RiskFreeRate*TimeToExpiration)*_xlfn.NORM.DIST(AV$2*(LN(Underlying/$H19)+(RiskFreeRate-DividendYield-0.5*AT19^2)*TimeToExpiration)/(AT19*TimeToExpiration^0.5), 0, 1, TRUE)
)</f>
        <v>12.85737883</v>
      </c>
      <c r="AW19" s="40">
        <f t="shared" si="23"/>
        <v>0.3524453125</v>
      </c>
      <c r="AX19" s="8">
        <f>AX$2*(Underlying*EXP(-DividendYield*TimeToExpiration)*_xlfn.NORM.DIST(AX$2*(LN(Underlying/$H19)+(RiskFreeRate-DividendYield+0.5*AW19^2)*TimeToExpiration)/(AW19*TimeToExpiration^0.5), 0, 1, TRUE) - 
       $H19*EXP(-RiskFreeRate*TimeToExpiration)*_xlfn.NORM.DIST(AX$2*(LN(Underlying/$H19)+(RiskFreeRate-DividendYield-0.5*AW19^2)*TimeToExpiration)/(AW19*TimeToExpiration^0.5), 0, 1, TRUE)
)</f>
        <v>12.47832109</v>
      </c>
      <c r="AY19" s="40">
        <f t="shared" si="24"/>
        <v>0.3524453125</v>
      </c>
      <c r="AZ19" s="40">
        <f t="shared" si="25"/>
        <v>0.375875</v>
      </c>
      <c r="BA19" s="7">
        <f>BA$2*(Underlying*EXP(-DividendYield*TimeToExpiration)*_xlfn.NORM.DIST(BA$2*(LN(Underlying/$H19)+(RiskFreeRate-DividendYield+0.5*AY19^2)*TimeToExpiration)/(AY19*TimeToExpiration^0.5), 0, 1, TRUE) - 
       $H19*EXP(-RiskFreeRate*TimeToExpiration)*_xlfn.NORM.DIST(BA$2*(LN(Underlying/$H19)+(RiskFreeRate-DividendYield-0.5*AY19^2)*TimeToExpiration)/(AY19*TimeToExpiration^0.5), 0, 1, TRUE)
)</f>
        <v>12.47832109</v>
      </c>
      <c r="BB19" s="7">
        <f>BB$2*(Underlying*EXP(-DividendYield*TimeToExpiration)*_xlfn.NORM.DIST(BB$2*(LN(Underlying/$H19)+(RiskFreeRate-DividendYield+0.5*AZ19^2)*TimeToExpiration)/(AZ19*TimeToExpiration^0.5), 0, 1, TRUE) - 
       $H19*EXP(-RiskFreeRate*TimeToExpiration)*_xlfn.NORM.DIST(BB$2*(LN(Underlying/$H19)+(RiskFreeRate-DividendYield-0.5*AZ19^2)*TimeToExpiration)/(AZ19*TimeToExpiration^0.5), 0, 1, TRUE)
)</f>
        <v>12.85737883</v>
      </c>
      <c r="BC19" s="40">
        <f t="shared" si="26"/>
        <v>0.3641601563</v>
      </c>
      <c r="BD19" s="8">
        <f>BD$2*(Underlying*EXP(-DividendYield*TimeToExpiration)*_xlfn.NORM.DIST(BD$2*(LN(Underlying/$H19)+(RiskFreeRate-DividendYield+0.5*BC19^2)*TimeToExpiration)/(BC19*TimeToExpiration^0.5), 0, 1, TRUE) - 
       $H19*EXP(-RiskFreeRate*TimeToExpiration)*_xlfn.NORM.DIST(BD$2*(LN(Underlying/$H19)+(RiskFreeRate-DividendYield-0.5*BC19^2)*TimeToExpiration)/(BC19*TimeToExpiration^0.5), 0, 1, TRUE)
)</f>
        <v>12.66691629</v>
      </c>
      <c r="BE19" s="40">
        <f t="shared" si="27"/>
        <v>0.3641601563</v>
      </c>
      <c r="BF19" s="40">
        <f t="shared" si="28"/>
        <v>0.375875</v>
      </c>
      <c r="BG19" s="7">
        <f>BG$2*(Underlying*EXP(-DividendYield*TimeToExpiration)*_xlfn.NORM.DIST(BG$2*(LN(Underlying/$H19)+(RiskFreeRate-DividendYield+0.5*BE19^2)*TimeToExpiration)/(BE19*TimeToExpiration^0.5), 0, 1, TRUE) - 
       $H19*EXP(-RiskFreeRate*TimeToExpiration)*_xlfn.NORM.DIST(BG$2*(LN(Underlying/$H19)+(RiskFreeRate-DividendYield-0.5*BE19^2)*TimeToExpiration)/(BE19*TimeToExpiration^0.5), 0, 1, TRUE)
)</f>
        <v>12.66691629</v>
      </c>
      <c r="BH19" s="7">
        <f>BH$2*(Underlying*EXP(-DividendYield*TimeToExpiration)*_xlfn.NORM.DIST(BH$2*(LN(Underlying/$H19)+(RiskFreeRate-DividendYield+0.5*BF19^2)*TimeToExpiration)/(BF19*TimeToExpiration^0.5), 0, 1, TRUE) - 
       $H19*EXP(-RiskFreeRate*TimeToExpiration)*_xlfn.NORM.DIST(BH$2*(LN(Underlying/$H19)+(RiskFreeRate-DividendYield-0.5*BF19^2)*TimeToExpiration)/(BF19*TimeToExpiration^0.5), 0, 1, TRUE)
)</f>
        <v>12.85737883</v>
      </c>
      <c r="BI19" s="40">
        <f t="shared" si="29"/>
        <v>0.3700175781</v>
      </c>
      <c r="BJ19" s="8">
        <f>BJ$2*(Underlying*EXP(-DividendYield*TimeToExpiration)*_xlfn.NORM.DIST(BJ$2*(LN(Underlying/$H19)+(RiskFreeRate-DividendYield+0.5*BI19^2)*TimeToExpiration)/(BI19*TimeToExpiration^0.5), 0, 1, TRUE) - 
       $H19*EXP(-RiskFreeRate*TimeToExpiration)*_xlfn.NORM.DIST(BJ$2*(LN(Underlying/$H19)+(RiskFreeRate-DividendYield-0.5*BI19^2)*TimeToExpiration)/(BI19*TimeToExpiration^0.5), 0, 1, TRUE)
)</f>
        <v>12.76192415</v>
      </c>
      <c r="BK19" s="40">
        <f t="shared" si="30"/>
        <v>0.3700175781</v>
      </c>
      <c r="BL19" s="40">
        <f t="shared" si="31"/>
        <v>0.375875</v>
      </c>
      <c r="BM19" s="7">
        <f>BM$2*(Underlying*EXP(-DividendYield*TimeToExpiration)*_xlfn.NORM.DIST(BM$2*(LN(Underlying/$H19)+(RiskFreeRate-DividendYield+0.5*BK19^2)*TimeToExpiration)/(BK19*TimeToExpiration^0.5), 0, 1, TRUE) - 
       $H19*EXP(-RiskFreeRate*TimeToExpiration)*_xlfn.NORM.DIST(BM$2*(LN(Underlying/$H19)+(RiskFreeRate-DividendYield-0.5*BK19^2)*TimeToExpiration)/(BK19*TimeToExpiration^0.5), 0, 1, TRUE)
)</f>
        <v>12.76192415</v>
      </c>
      <c r="BN19" s="7">
        <f>BN$2*(Underlying*EXP(-DividendYield*TimeToExpiration)*_xlfn.NORM.DIST(BN$2*(LN(Underlying/$H19)+(RiskFreeRate-DividendYield+0.5*BL19^2)*TimeToExpiration)/(BL19*TimeToExpiration^0.5), 0, 1, TRUE) - 
       $H19*EXP(-RiskFreeRate*TimeToExpiration)*_xlfn.NORM.DIST(BN$2*(LN(Underlying/$H19)+(RiskFreeRate-DividendYield-0.5*BL19^2)*TimeToExpiration)/(BL19*TimeToExpiration^0.5), 0, 1, TRUE)
)</f>
        <v>12.85737883</v>
      </c>
      <c r="BO19" s="40">
        <f t="shared" si="32"/>
        <v>0.3729462891</v>
      </c>
      <c r="BP19" s="8">
        <f>BP$2*(Underlying*EXP(-DividendYield*TimeToExpiration)*_xlfn.NORM.DIST(BP$2*(LN(Underlying/$H19)+(RiskFreeRate-DividendYield+0.5*BO19^2)*TimeToExpiration)/(BO19*TimeToExpiration^0.5), 0, 1, TRUE) - 
       $H19*EXP(-RiskFreeRate*TimeToExpiration)*_xlfn.NORM.DIST(BP$2*(LN(Underlying/$H19)+(RiskFreeRate-DividendYield-0.5*BO19^2)*TimeToExpiration)/(BO19*TimeToExpiration^0.5), 0, 1, TRUE)
)</f>
        <v>12.80959683</v>
      </c>
      <c r="BQ19" s="40">
        <f t="shared" si="33"/>
        <v>0.3729462891</v>
      </c>
      <c r="BR19" s="40">
        <f t="shared" si="34"/>
        <v>0.375875</v>
      </c>
      <c r="BS19" s="7">
        <f>BS$2*(Underlying*EXP(-DividendYield*TimeToExpiration)*_xlfn.NORM.DIST(BS$2*(LN(Underlying/$H19)+(RiskFreeRate-DividendYield+0.5*BQ19^2)*TimeToExpiration)/(BQ19*TimeToExpiration^0.5), 0, 1, TRUE) - 
       $H19*EXP(-RiskFreeRate*TimeToExpiration)*_xlfn.NORM.DIST(BS$2*(LN(Underlying/$H19)+(RiskFreeRate-DividendYield-0.5*BQ19^2)*TimeToExpiration)/(BQ19*TimeToExpiration^0.5), 0, 1, TRUE)
)</f>
        <v>12.80959683</v>
      </c>
      <c r="BT19" s="7">
        <f>BT$2*(Underlying*EXP(-DividendYield*TimeToExpiration)*_xlfn.NORM.DIST(BT$2*(LN(Underlying/$H19)+(RiskFreeRate-DividendYield+0.5*BR19^2)*TimeToExpiration)/(BR19*TimeToExpiration^0.5), 0, 1, TRUE) - 
       $H19*EXP(-RiskFreeRate*TimeToExpiration)*_xlfn.NORM.DIST(BT$2*(LN(Underlying/$H19)+(RiskFreeRate-DividendYield-0.5*BR19^2)*TimeToExpiration)/(BR19*TimeToExpiration^0.5), 0, 1, TRUE)
)</f>
        <v>12.85737883</v>
      </c>
      <c r="BU19" s="40">
        <f t="shared" si="35"/>
        <v>0.3744106445</v>
      </c>
      <c r="BV19" s="8">
        <f>BV$2*(Underlying*EXP(-DividendYield*TimeToExpiration)*_xlfn.NORM.DIST(BV$2*(LN(Underlying/$H19)+(RiskFreeRate-DividendYield+0.5*BU19^2)*TimeToExpiration)/(BU19*TimeToExpiration^0.5), 0, 1, TRUE) - 
       $H19*EXP(-RiskFreeRate*TimeToExpiration)*_xlfn.NORM.DIST(BV$2*(LN(Underlying/$H19)+(RiskFreeRate-DividendYield-0.5*BU19^2)*TimeToExpiration)/(BU19*TimeToExpiration^0.5), 0, 1, TRUE)
)</f>
        <v>12.83347431</v>
      </c>
      <c r="BW19" s="40">
        <f t="shared" si="36"/>
        <v>0.3744106445</v>
      </c>
      <c r="BX19" s="40">
        <f t="shared" si="37"/>
        <v>0.375875</v>
      </c>
      <c r="BY19" s="7">
        <f>BY$2*(Underlying*EXP(-DividendYield*TimeToExpiration)*_xlfn.NORM.DIST(BY$2*(LN(Underlying/$H19)+(RiskFreeRate-DividendYield+0.5*BW19^2)*TimeToExpiration)/(BW19*TimeToExpiration^0.5), 0, 1, TRUE) - 
       $H19*EXP(-RiskFreeRate*TimeToExpiration)*_xlfn.NORM.DIST(BY$2*(LN(Underlying/$H19)+(RiskFreeRate-DividendYield-0.5*BW19^2)*TimeToExpiration)/(BW19*TimeToExpiration^0.5), 0, 1, TRUE)
)</f>
        <v>12.83347431</v>
      </c>
      <c r="BZ19" s="7">
        <f>BZ$2*(Underlying*EXP(-DividendYield*TimeToExpiration)*_xlfn.NORM.DIST(BZ$2*(LN(Underlying/$H19)+(RiskFreeRate-DividendYield+0.5*BX19^2)*TimeToExpiration)/(BX19*TimeToExpiration^0.5), 0, 1, TRUE) - 
       $H19*EXP(-RiskFreeRate*TimeToExpiration)*_xlfn.NORM.DIST(BZ$2*(LN(Underlying/$H19)+(RiskFreeRate-DividendYield-0.5*BX19^2)*TimeToExpiration)/(BX19*TimeToExpiration^0.5), 0, 1, TRUE)
)</f>
        <v>12.85737883</v>
      </c>
      <c r="CA19" s="40">
        <f t="shared" si="38"/>
        <v>0.3751428223</v>
      </c>
      <c r="CB19" s="8">
        <f>CB$2*(Underlying*EXP(-DividendYield*TimeToExpiration)*_xlfn.NORM.DIST(CB$2*(LN(Underlying/$H19)+(RiskFreeRate-DividendYield+0.5*CA19^2)*TimeToExpiration)/(CA19*TimeToExpiration^0.5), 0, 1, TRUE) - 
       $H19*EXP(-RiskFreeRate*TimeToExpiration)*_xlfn.NORM.DIST(CB$2*(LN(Underlying/$H19)+(RiskFreeRate-DividendYield-0.5*CA19^2)*TimeToExpiration)/(CA19*TimeToExpiration^0.5), 0, 1, TRUE)
)</f>
        <v>12.84542321</v>
      </c>
      <c r="CC19" s="40">
        <f t="shared" si="39"/>
        <v>0.3751428223</v>
      </c>
      <c r="CD19" s="40">
        <f t="shared" si="40"/>
        <v>0.375875</v>
      </c>
      <c r="CE19" s="7">
        <f>CE$2*(Underlying*EXP(-DividendYield*TimeToExpiration)*_xlfn.NORM.DIST(CE$2*(LN(Underlying/$H19)+(RiskFreeRate-DividendYield+0.5*CC19^2)*TimeToExpiration)/(CC19*TimeToExpiration^0.5), 0, 1, TRUE) - 
       $H19*EXP(-RiskFreeRate*TimeToExpiration)*_xlfn.NORM.DIST(CE$2*(LN(Underlying/$H19)+(RiskFreeRate-DividendYield-0.5*CC19^2)*TimeToExpiration)/(CC19*TimeToExpiration^0.5), 0, 1, TRUE)
)</f>
        <v>12.84542321</v>
      </c>
      <c r="CF19" s="7">
        <f>CF$2*(Underlying*EXP(-DividendYield*TimeToExpiration)*_xlfn.NORM.DIST(CF$2*(LN(Underlying/$H19)+(RiskFreeRate-DividendYield+0.5*CD19^2)*TimeToExpiration)/(CD19*TimeToExpiration^0.5), 0, 1, TRUE) - 
       $H19*EXP(-RiskFreeRate*TimeToExpiration)*_xlfn.NORM.DIST(CF$2*(LN(Underlying/$H19)+(RiskFreeRate-DividendYield-0.5*CD19^2)*TimeToExpiration)/(CD19*TimeToExpiration^0.5), 0, 1, TRUE)
)</f>
        <v>12.85737883</v>
      </c>
      <c r="CG19" s="40">
        <f t="shared" si="41"/>
        <v>0.3755089111</v>
      </c>
      <c r="CH19" s="8">
        <f>CH$2*(Underlying*EXP(-DividendYield*TimeToExpiration)*_xlfn.NORM.DIST(CH$2*(LN(Underlying/$H19)+(RiskFreeRate-DividendYield+0.5*CG19^2)*TimeToExpiration)/(CG19*TimeToExpiration^0.5), 0, 1, TRUE) - 
       $H19*EXP(-RiskFreeRate*TimeToExpiration)*_xlfn.NORM.DIST(CH$2*(LN(Underlying/$H19)+(RiskFreeRate-DividendYield-0.5*CG19^2)*TimeToExpiration)/(CG19*TimeToExpiration^0.5), 0, 1, TRUE)
)</f>
        <v>12.85140018</v>
      </c>
      <c r="CI19" s="40">
        <f t="shared" si="42"/>
        <v>0.3751428223</v>
      </c>
      <c r="CJ19" s="40">
        <f t="shared" si="43"/>
        <v>0.3755089111</v>
      </c>
      <c r="CK19" s="7">
        <f>CK$2*(Underlying*EXP(-DividendYield*TimeToExpiration)*_xlfn.NORM.DIST(CK$2*(LN(Underlying/$H19)+(RiskFreeRate-DividendYield+0.5*CI19^2)*TimeToExpiration)/(CI19*TimeToExpiration^0.5), 0, 1, TRUE) - 
       $H19*EXP(-RiskFreeRate*TimeToExpiration)*_xlfn.NORM.DIST(CK$2*(LN(Underlying/$H19)+(RiskFreeRate-DividendYield-0.5*CI19^2)*TimeToExpiration)/(CI19*TimeToExpiration^0.5), 0, 1, TRUE)
)</f>
        <v>12.84542321</v>
      </c>
      <c r="CL19" s="7">
        <f>CL$2*(Underlying*EXP(-DividendYield*TimeToExpiration)*_xlfn.NORM.DIST(CL$2*(LN(Underlying/$H19)+(RiskFreeRate-DividendYield+0.5*CJ19^2)*TimeToExpiration)/(CJ19*TimeToExpiration^0.5), 0, 1, TRUE) - 
       $H19*EXP(-RiskFreeRate*TimeToExpiration)*_xlfn.NORM.DIST(CL$2*(LN(Underlying/$H19)+(RiskFreeRate-DividendYield-0.5*CJ19^2)*TimeToExpiration)/(CJ19*TimeToExpiration^0.5), 0, 1, TRUE)
)</f>
        <v>12.85140018</v>
      </c>
      <c r="CM19" s="40">
        <f t="shared" si="44"/>
        <v>0.3753258667</v>
      </c>
      <c r="CN19" s="8">
        <f>CN$2*(Underlying*EXP(-DividendYield*TimeToExpiration)*_xlfn.NORM.DIST(CN$2*(LN(Underlying/$H19)+(RiskFreeRate-DividendYield+0.5*CM19^2)*TimeToExpiration)/(CM19*TimeToExpiration^0.5), 0, 1, TRUE) - 
       $H19*EXP(-RiskFreeRate*TimeToExpiration)*_xlfn.NORM.DIST(CN$2*(LN(Underlying/$H19)+(RiskFreeRate-DividendYield-0.5*CM19^2)*TimeToExpiration)/(CM19*TimeToExpiration^0.5), 0, 1, TRUE)
)</f>
        <v>12.84841149</v>
      </c>
      <c r="CO19" s="40">
        <f t="shared" si="45"/>
        <v>0.3753258667</v>
      </c>
      <c r="CP19" s="40">
        <f t="shared" si="46"/>
        <v>0.3755089111</v>
      </c>
      <c r="CQ19" s="7">
        <f>CQ$2*(Underlying*EXP(-DividendYield*TimeToExpiration)*_xlfn.NORM.DIST(CQ$2*(LN(Underlying/$H19)+(RiskFreeRate-DividendYield+0.5*CO19^2)*TimeToExpiration)/(CO19*TimeToExpiration^0.5), 0, 1, TRUE) - 
       $H19*EXP(-RiskFreeRate*TimeToExpiration)*_xlfn.NORM.DIST(CQ$2*(LN(Underlying/$H19)+(RiskFreeRate-DividendYield-0.5*CO19^2)*TimeToExpiration)/(CO19*TimeToExpiration^0.5), 0, 1, TRUE)
)</f>
        <v>12.84841149</v>
      </c>
      <c r="CR19" s="7">
        <f>CR$2*(Underlying*EXP(-DividendYield*TimeToExpiration)*_xlfn.NORM.DIST(CR$2*(LN(Underlying/$H19)+(RiskFreeRate-DividendYield+0.5*CP19^2)*TimeToExpiration)/(CP19*TimeToExpiration^0.5), 0, 1, TRUE) - 
       $H19*EXP(-RiskFreeRate*TimeToExpiration)*_xlfn.NORM.DIST(CR$2*(LN(Underlying/$H19)+(RiskFreeRate-DividendYield-0.5*CP19^2)*TimeToExpiration)/(CP19*TimeToExpiration^0.5), 0, 1, TRUE)
)</f>
        <v>12.85140018</v>
      </c>
      <c r="CS19" s="40">
        <f t="shared" si="47"/>
        <v>0.3754173889</v>
      </c>
      <c r="CT19" s="8">
        <f>CT$2*(Underlying*EXP(-DividendYield*TimeToExpiration)*_xlfn.NORM.DIST(CT$2*(LN(Underlying/$H19)+(RiskFreeRate-DividendYield+0.5*CS19^2)*TimeToExpiration)/(CS19*TimeToExpiration^0.5), 0, 1, TRUE) - 
       $H19*EXP(-RiskFreeRate*TimeToExpiration)*_xlfn.NORM.DIST(CT$2*(LN(Underlying/$H19)+(RiskFreeRate-DividendYield-0.5*CS19^2)*TimeToExpiration)/(CS19*TimeToExpiration^0.5), 0, 1, TRUE)
)</f>
        <v>12.84990578</v>
      </c>
      <c r="CU19" s="40">
        <f t="shared" si="48"/>
        <v>0.3754173889</v>
      </c>
      <c r="CV19" s="40">
        <f t="shared" si="49"/>
        <v>0.3755089111</v>
      </c>
      <c r="CW19" s="7">
        <f>CW$2*(Underlying*EXP(-DividendYield*TimeToExpiration)*_xlfn.NORM.DIST(CW$2*(LN(Underlying/$H19)+(RiskFreeRate-DividendYield+0.5*CU19^2)*TimeToExpiration)/(CU19*TimeToExpiration^0.5), 0, 1, TRUE) - 
       $H19*EXP(-RiskFreeRate*TimeToExpiration)*_xlfn.NORM.DIST(CW$2*(LN(Underlying/$H19)+(RiskFreeRate-DividendYield-0.5*CU19^2)*TimeToExpiration)/(CU19*TimeToExpiration^0.5), 0, 1, TRUE)
)</f>
        <v>12.84990578</v>
      </c>
      <c r="CX19" s="7">
        <f>CX$2*(Underlying*EXP(-DividendYield*TimeToExpiration)*_xlfn.NORM.DIST(CX$2*(LN(Underlying/$H19)+(RiskFreeRate-DividendYield+0.5*CV19^2)*TimeToExpiration)/(CV19*TimeToExpiration^0.5), 0, 1, TRUE) - 
       $H19*EXP(-RiskFreeRate*TimeToExpiration)*_xlfn.NORM.DIST(CX$2*(LN(Underlying/$H19)+(RiskFreeRate-DividendYield-0.5*CV19^2)*TimeToExpiration)/(CV19*TimeToExpiration^0.5), 0, 1, TRUE)
)</f>
        <v>12.85140018</v>
      </c>
      <c r="CY19" s="40">
        <f t="shared" si="50"/>
        <v>0.37546315</v>
      </c>
      <c r="CZ19" s="8">
        <f>CZ$2*(Underlying*EXP(-DividendYield*TimeToExpiration)*_xlfn.NORM.DIST(CZ$2*(LN(Underlying/$H19)+(RiskFreeRate-DividendYield+0.5*CY19^2)*TimeToExpiration)/(CY19*TimeToExpiration^0.5), 0, 1, TRUE) - 
       $H19*EXP(-RiskFreeRate*TimeToExpiration)*_xlfn.NORM.DIST(CZ$2*(LN(Underlying/$H19)+(RiskFreeRate-DividendYield-0.5*CY19^2)*TimeToExpiration)/(CY19*TimeToExpiration^0.5), 0, 1, TRUE)
)</f>
        <v>12.85065297</v>
      </c>
      <c r="DA19" s="40">
        <f t="shared" si="51"/>
        <v>0.3754173889</v>
      </c>
      <c r="DB19" s="40">
        <f t="shared" si="52"/>
        <v>0.37546315</v>
      </c>
      <c r="DC19" s="7">
        <f>DC$2*(Underlying*EXP(-DividendYield*TimeToExpiration)*_xlfn.NORM.DIST(DC$2*(LN(Underlying/$H19)+(RiskFreeRate-DividendYield+0.5*DA19^2)*TimeToExpiration)/(DA19*TimeToExpiration^0.5), 0, 1, TRUE) - 
       $H19*EXP(-RiskFreeRate*TimeToExpiration)*_xlfn.NORM.DIST(DC$2*(LN(Underlying/$H19)+(RiskFreeRate-DividendYield-0.5*DA19^2)*TimeToExpiration)/(DA19*TimeToExpiration^0.5), 0, 1, TRUE)
)</f>
        <v>12.84990578</v>
      </c>
      <c r="DD19" s="7">
        <f>DD$2*(Underlying*EXP(-DividendYield*TimeToExpiration)*_xlfn.NORM.DIST(DD$2*(LN(Underlying/$H19)+(RiskFreeRate-DividendYield+0.5*DB19^2)*TimeToExpiration)/(DB19*TimeToExpiration^0.5), 0, 1, TRUE) - 
       $H19*EXP(-RiskFreeRate*TimeToExpiration)*_xlfn.NORM.DIST(DD$2*(LN(Underlying/$H19)+(RiskFreeRate-DividendYield-0.5*DB19^2)*TimeToExpiration)/(DB19*TimeToExpiration^0.5), 0, 1, TRUE)
)</f>
        <v>12.85065297</v>
      </c>
      <c r="DE19" s="40">
        <f t="shared" si="53"/>
        <v>0.3754402695</v>
      </c>
      <c r="DF19" s="8">
        <f>DF$2*(Underlying*EXP(-DividendYield*TimeToExpiration)*_xlfn.NORM.DIST(DF$2*(LN(Underlying/$H19)+(RiskFreeRate-DividendYield+0.5*DE19^2)*TimeToExpiration)/(DE19*TimeToExpiration^0.5), 0, 1, TRUE) - 
       $H19*EXP(-RiskFreeRate*TimeToExpiration)*_xlfn.NORM.DIST(DF$2*(LN(Underlying/$H19)+(RiskFreeRate-DividendYield-0.5*DE19^2)*TimeToExpiration)/(DE19*TimeToExpiration^0.5), 0, 1, TRUE)
)</f>
        <v>12.85027937</v>
      </c>
    </row>
    <row r="20">
      <c r="A20" s="20">
        <f>'Option Mkt Data'!A20</f>
        <v>332.5</v>
      </c>
      <c r="B20" s="35">
        <f t="shared" ref="B20:C20" si="67">DE20</f>
        <v>0.371001442</v>
      </c>
      <c r="C20" s="7">
        <f t="shared" si="67"/>
        <v>11.09987241</v>
      </c>
      <c r="D20" s="7">
        <f t="shared" si="3"/>
        <v>0.0001274969397</v>
      </c>
      <c r="E20" s="9">
        <f t="shared" si="4"/>
        <v>0.00001148621088</v>
      </c>
      <c r="F20" s="36">
        <f>D20/'Option Mkt Data'!L20</f>
        <v>0.001274976664</v>
      </c>
      <c r="G20" s="5">
        <f>'Option Mkt Data'!J20</f>
        <v>11.09999991</v>
      </c>
      <c r="H20" s="33">
        <f>'Option Mkt Data'!A20</f>
        <v>332.5</v>
      </c>
      <c r="I20" s="37">
        <f>MinSolverVola</f>
        <v>0.001</v>
      </c>
      <c r="J20" s="38">
        <f>MaxSolverVola</f>
        <v>3</v>
      </c>
      <c r="K20" s="39">
        <f>K$2*(Underlying*EXP(-DividendYield*TimeToExpiration)*_xlfn.NORM.DIST(K$2*(LN(Underlying/$H20)+(RiskFreeRate-DividendYield+0.5*I20^2)*TimeToExpiration)/(I20*TimeToExpiration^0.5), 0, 1, TRUE) - 
       $H20*EXP(-RiskFreeRate*TimeToExpiration)*_xlfn.NORM.DIST(K$2*(LN(Underlying/$H20)+(RiskFreeRate-DividendYield-0.5*I20^2)*TimeToExpiration)/(I20*TimeToExpiration^0.5), 0, 1, TRUE)
)</f>
        <v>7.039918554</v>
      </c>
      <c r="L20" s="7">
        <f>L$2*(Underlying*EXP(-DividendYield*TimeToExpiration)*_xlfn.NORM.DIST(L$2*(LN(Underlying/$H20)+(RiskFreeRate-DividendYield+0.5*J20^2)*TimeToExpiration)/(J20*TimeToExpiration^0.5), 0, 1, TRUE) - 
       $H20*EXP(-RiskFreeRate*TimeToExpiration)*_xlfn.NORM.DIST(L$2*(LN(Underlying/$H20)+(RiskFreeRate-DividendYield-0.5*J20^2)*TimeToExpiration)/(J20*TimeToExpiration^0.5), 0, 1, TRUE)
)</f>
        <v>59.98642613</v>
      </c>
      <c r="M20" s="40">
        <f t="shared" si="5"/>
        <v>1.5005</v>
      </c>
      <c r="N20" s="8">
        <f>N$2*(Underlying*EXP(-DividendYield*TimeToExpiration)*_xlfn.NORM.DIST(N$2*(LN(Underlying/$H20)+(RiskFreeRate-DividendYield+0.5*M20^2)*TimeToExpiration)/(M20*TimeToExpiration^0.5), 0, 1, TRUE) - 
       $H20*EXP(-RiskFreeRate*TimeToExpiration)*_xlfn.NORM.DIST(N$2*(LN(Underlying/$H20)+(RiskFreeRate-DividendYield-0.5*M20^2)*TimeToExpiration)/(M20*TimeToExpiration^0.5), 0, 1, TRUE)
)</f>
        <v>32.025022</v>
      </c>
      <c r="O20" s="41">
        <f t="shared" si="6"/>
        <v>0.001</v>
      </c>
      <c r="P20" s="40">
        <f t="shared" si="7"/>
        <v>1.5005</v>
      </c>
      <c r="Q20" s="7">
        <f>Q$2*(Underlying*EXP(-DividendYield*TimeToExpiration)*_xlfn.NORM.DIST(Q$2*(LN(Underlying/$H20)+(RiskFreeRate-DividendYield+0.5*O20^2)*TimeToExpiration)/(O20*TimeToExpiration^0.5), 0, 1, TRUE) - 
       $H20*EXP(-RiskFreeRate*TimeToExpiration)*_xlfn.NORM.DIST(Q$2*(LN(Underlying/$H20)+(RiskFreeRate-DividendYield-0.5*O20^2)*TimeToExpiration)/(O20*TimeToExpiration^0.5), 0, 1, TRUE))</f>
        <v>7.039918554</v>
      </c>
      <c r="R20" s="7">
        <f>R$2*(Underlying*EXP(-DividendYield*TimeToExpiration)*_xlfn.NORM.DIST(R$2*(LN(Underlying/$H20)+(RiskFreeRate-DividendYield+0.5*P20^2)*TimeToExpiration)/(P20*TimeToExpiration^0.5), 0, 1, TRUE) - 
       $H20*EXP(-RiskFreeRate*TimeToExpiration)*_xlfn.NORM.DIST(R$2*(LN(Underlying/$H20)+(RiskFreeRate-DividendYield-0.5*P20^2)*TimeToExpiration)/(P20*TimeToExpiration^0.5), 0, 1, TRUE)
)</f>
        <v>32.025022</v>
      </c>
      <c r="S20" s="40">
        <f t="shared" si="8"/>
        <v>0.75075</v>
      </c>
      <c r="T20" s="8">
        <f>T$2*(Underlying*EXP(-DividendYield*TimeToExpiration)*_xlfn.NORM.DIST(T$2*(LN(Underlying/$H20)+(RiskFreeRate-DividendYield+0.5*S20^2)*TimeToExpiration)/(S20*TimeToExpiration^0.5), 0, 1, TRUE) - 
       $H20*EXP(-RiskFreeRate*TimeToExpiration)*_xlfn.NORM.DIST(T$2*(LN(Underlying/$H20)+(RiskFreeRate-DividendYield-0.5*S20^2)*TimeToExpiration)/(S20*TimeToExpiration^0.5), 0, 1, TRUE)
)</f>
        <v>18.00903368</v>
      </c>
      <c r="U20" s="41">
        <f t="shared" si="9"/>
        <v>0.001</v>
      </c>
      <c r="V20" s="40">
        <f t="shared" si="10"/>
        <v>0.75075</v>
      </c>
      <c r="W20" s="7">
        <f>W$2*(Underlying*EXP(-DividendYield*TimeToExpiration)*_xlfn.NORM.DIST(W$2*(LN(Underlying/$H20)+(RiskFreeRate-DividendYield+0.5*U20^2)*TimeToExpiration)/(U20*TimeToExpiration^0.5), 0, 1, TRUE) - 
       $H20*EXP(-RiskFreeRate*TimeToExpiration)*_xlfn.NORM.DIST(W$2*(LN(Underlying/$H20)+(RiskFreeRate-DividendYield-0.5*U20^2)*TimeToExpiration)/(U20*TimeToExpiration^0.5), 0, 1, TRUE)
)</f>
        <v>7.039918554</v>
      </c>
      <c r="X20" s="7">
        <f>X$2*(Underlying*EXP(-DividendYield*TimeToExpiration)*_xlfn.NORM.DIST(X$2*(LN(Underlying/$H20)+(RiskFreeRate-DividendYield+0.5*V20^2)*TimeToExpiration)/(V20*TimeToExpiration^0.5), 0, 1, TRUE) - 
       $H20*EXP(-RiskFreeRate*TimeToExpiration)*_xlfn.NORM.DIST(X$2*(LN(Underlying/$H20)+(RiskFreeRate-DividendYield-0.5*V20^2)*TimeToExpiration)/(V20*TimeToExpiration^0.5), 0, 1, TRUE)
)</f>
        <v>18.00903368</v>
      </c>
      <c r="Y20" s="40">
        <f t="shared" si="11"/>
        <v>0.375875</v>
      </c>
      <c r="Z20" s="8">
        <f>Z$2*(Underlying*EXP(-DividendYield*TimeToExpiration)*_xlfn.NORM.DIST(Z$2*(LN(Underlying/$H20)+(RiskFreeRate-DividendYield+0.5*Y20^2)*TimeToExpiration)/(Y20*TimeToExpiration^0.5), 0, 1, TRUE) - 
       $H20*EXP(-RiskFreeRate*TimeToExpiration)*_xlfn.NORM.DIST(Z$2*(LN(Underlying/$H20)+(RiskFreeRate-DividendYield-0.5*Y20^2)*TimeToExpiration)/(Y20*TimeToExpiration^0.5), 0, 1, TRUE)
)</f>
        <v>11.1851481</v>
      </c>
      <c r="AA20" s="41">
        <f t="shared" si="12"/>
        <v>0.001</v>
      </c>
      <c r="AB20" s="40">
        <f t="shared" si="13"/>
        <v>0.375875</v>
      </c>
      <c r="AC20" s="7">
        <f>AC$2*(Underlying*EXP(-DividendYield*TimeToExpiration)*_xlfn.NORM.DIST(AC$2*(LN(Underlying/$H20)+(RiskFreeRate-DividendYield+0.5*AA20^2)*TimeToExpiration)/(AA20*TimeToExpiration^0.5), 0, 1, TRUE) - 
       $H20*EXP(-RiskFreeRate*TimeToExpiration)*_xlfn.NORM.DIST(AC$2*(LN(Underlying/$H20)+(RiskFreeRate-DividendYield-0.5*AA20^2)*TimeToExpiration)/(AA20*TimeToExpiration^0.5), 0, 1, TRUE)
)</f>
        <v>7.039918554</v>
      </c>
      <c r="AD20" s="7">
        <f>AD$2*(Underlying*EXP(-DividendYield*TimeToExpiration)*_xlfn.NORM.DIST(AD$2*(LN(Underlying/$H20)+(RiskFreeRate-DividendYield+0.5*AB20^2)*TimeToExpiration)/(AB20*TimeToExpiration^0.5), 0, 1, TRUE) - 
       $H20*EXP(-RiskFreeRate*TimeToExpiration)*_xlfn.NORM.DIST(AD$2*(LN(Underlying/$H20)+(RiskFreeRate-DividendYield-0.5*AB20^2)*TimeToExpiration)/(AB20*TimeToExpiration^0.5), 0, 1, TRUE)
)</f>
        <v>11.1851481</v>
      </c>
      <c r="AE20" s="40">
        <f t="shared" si="14"/>
        <v>0.1884375</v>
      </c>
      <c r="AF20" s="8">
        <f>AF$2*(Underlying*EXP(-DividendYield*TimeToExpiration)*_xlfn.NORM.DIST(AF$2*(LN(Underlying/$H20)+(RiskFreeRate-DividendYield+0.5*AE20^2)*TimeToExpiration)/(AE20*TimeToExpiration^0.5), 0, 1, TRUE) - 
       $H20*EXP(-RiskFreeRate*TimeToExpiration)*_xlfn.NORM.DIST(AF$2*(LN(Underlying/$H20)+(RiskFreeRate-DividendYield-0.5*AE20^2)*TimeToExpiration)/(AE20*TimeToExpiration^0.5), 0, 1, TRUE)
)</f>
        <v>8.14023981</v>
      </c>
      <c r="AG20" s="40">
        <f t="shared" si="15"/>
        <v>0.1884375</v>
      </c>
      <c r="AH20" s="40">
        <f t="shared" si="16"/>
        <v>0.375875</v>
      </c>
      <c r="AI20" s="7">
        <f>AI$2*(Underlying*EXP(-DividendYield*TimeToExpiration)*_xlfn.NORM.DIST(AI$2*(LN(Underlying/$H20)+(RiskFreeRate-DividendYield+0.5*AG20^2)*TimeToExpiration)/(AG20*TimeToExpiration^0.5), 0, 1, TRUE) - 
       $H20*EXP(-RiskFreeRate*TimeToExpiration)*_xlfn.NORM.DIST(AI$2*(LN(Underlying/$H20)+(RiskFreeRate-DividendYield-0.5*AG20^2)*TimeToExpiration)/(AG20*TimeToExpiration^0.5), 0, 1, TRUE)
)</f>
        <v>8.14023981</v>
      </c>
      <c r="AJ20" s="7">
        <f>AJ$2*(Underlying*EXP(-DividendYield*TimeToExpiration)*_xlfn.NORM.DIST(AJ$2*(LN(Underlying/$H20)+(RiskFreeRate-DividendYield+0.5*AH20^2)*TimeToExpiration)/(AH20*TimeToExpiration^0.5), 0, 1, TRUE) - 
       $H20*EXP(-RiskFreeRate*TimeToExpiration)*_xlfn.NORM.DIST(AJ$2*(LN(Underlying/$H20)+(RiskFreeRate-DividendYield-0.5*AH20^2)*TimeToExpiration)/(AH20*TimeToExpiration^0.5), 0, 1, TRUE)
)</f>
        <v>11.1851481</v>
      </c>
      <c r="AK20" s="40">
        <f t="shared" si="17"/>
        <v>0.28215625</v>
      </c>
      <c r="AL20" s="8">
        <f>AL$2*(Underlying*EXP(-DividendYield*TimeToExpiration)*_xlfn.NORM.DIST(AL$2*(LN(Underlying/$H20)+(RiskFreeRate-DividendYield+0.5*AK20^2)*TimeToExpiration)/(AK20*TimeToExpiration^0.5), 0, 1, TRUE) - 
       $H20*EXP(-RiskFreeRate*TimeToExpiration)*_xlfn.NORM.DIST(AL$2*(LN(Underlying/$H20)+(RiskFreeRate-DividendYield-0.5*AK20^2)*TimeToExpiration)/(AK20*TimeToExpiration^0.5), 0, 1, TRUE)
)</f>
        <v>9.585143911</v>
      </c>
      <c r="AM20" s="40">
        <f t="shared" si="18"/>
        <v>0.28215625</v>
      </c>
      <c r="AN20" s="40">
        <f t="shared" si="19"/>
        <v>0.375875</v>
      </c>
      <c r="AO20" s="7">
        <f>AO$2*(Underlying*EXP(-DividendYield*TimeToExpiration)*_xlfn.NORM.DIST(AO$2*(LN(Underlying/$H20)+(RiskFreeRate-DividendYield+0.5*AM20^2)*TimeToExpiration)/(AM20*TimeToExpiration^0.5), 0, 1, TRUE) - 
       $H20*EXP(-RiskFreeRate*TimeToExpiration)*_xlfn.NORM.DIST(AO$2*(LN(Underlying/$H20)+(RiskFreeRate-DividendYield-0.5*AM20^2)*TimeToExpiration)/(AM20*TimeToExpiration^0.5), 0, 1, TRUE)
)</f>
        <v>9.585143911</v>
      </c>
      <c r="AP20" s="7">
        <f>AP$2*(Underlying*EXP(-DividendYield*TimeToExpiration)*_xlfn.NORM.DIST(AP$2*(LN(Underlying/$H20)+(RiskFreeRate-DividendYield+0.5*AN20^2)*TimeToExpiration)/(AN20*TimeToExpiration^0.5), 0, 1, TRUE) - 
       $H20*EXP(-RiskFreeRate*TimeToExpiration)*_xlfn.NORM.DIST(AP$2*(LN(Underlying/$H20)+(RiskFreeRate-DividendYield-0.5*AN20^2)*TimeToExpiration)/(AN20*TimeToExpiration^0.5), 0, 1, TRUE)
)</f>
        <v>11.1851481</v>
      </c>
      <c r="AQ20" s="40">
        <f t="shared" si="20"/>
        <v>0.329015625</v>
      </c>
      <c r="AR20" s="8">
        <f>AR$2*(Underlying*EXP(-DividendYield*TimeToExpiration)*_xlfn.NORM.DIST(AR$2*(LN(Underlying/$H20)+(RiskFreeRate-DividendYield+0.5*AQ20^2)*TimeToExpiration)/(AQ20*TimeToExpiration^0.5), 0, 1, TRUE) - 
       $H20*EXP(-RiskFreeRate*TimeToExpiration)*_xlfn.NORM.DIST(AR$2*(LN(Underlying/$H20)+(RiskFreeRate-DividendYield-0.5*AQ20^2)*TimeToExpiration)/(AQ20*TimeToExpiration^0.5), 0, 1, TRUE)
)</f>
        <v>10.37337888</v>
      </c>
      <c r="AS20" s="40">
        <f t="shared" si="21"/>
        <v>0.329015625</v>
      </c>
      <c r="AT20" s="40">
        <f t="shared" si="22"/>
        <v>0.375875</v>
      </c>
      <c r="AU20" s="7">
        <f>AU$2*(Underlying*EXP(-DividendYield*TimeToExpiration)*_xlfn.NORM.DIST(AU$2*(LN(Underlying/$H20)+(RiskFreeRate-DividendYield+0.5*AS20^2)*TimeToExpiration)/(AS20*TimeToExpiration^0.5), 0, 1, TRUE) - 
       $H20*EXP(-RiskFreeRate*TimeToExpiration)*_xlfn.NORM.DIST(AU$2*(LN(Underlying/$H20)+(RiskFreeRate-DividendYield-0.5*AS20^2)*TimeToExpiration)/(AS20*TimeToExpiration^0.5), 0, 1, TRUE)
)</f>
        <v>10.37337888</v>
      </c>
      <c r="AV20" s="7">
        <f>AV$2*(Underlying*EXP(-DividendYield*TimeToExpiration)*_xlfn.NORM.DIST(AV$2*(LN(Underlying/$H20)+(RiskFreeRate-DividendYield+0.5*AT20^2)*TimeToExpiration)/(AT20*TimeToExpiration^0.5), 0, 1, TRUE) - 
       $H20*EXP(-RiskFreeRate*TimeToExpiration)*_xlfn.NORM.DIST(AV$2*(LN(Underlying/$H20)+(RiskFreeRate-DividendYield-0.5*AT20^2)*TimeToExpiration)/(AT20*TimeToExpiration^0.5), 0, 1, TRUE)
)</f>
        <v>11.1851481</v>
      </c>
      <c r="AW20" s="40">
        <f t="shared" si="23"/>
        <v>0.3524453125</v>
      </c>
      <c r="AX20" s="8">
        <f>AX$2*(Underlying*EXP(-DividendYield*TimeToExpiration)*_xlfn.NORM.DIST(AX$2*(LN(Underlying/$H20)+(RiskFreeRate-DividendYield+0.5*AW20^2)*TimeToExpiration)/(AW20*TimeToExpiration^0.5), 0, 1, TRUE) - 
       $H20*EXP(-RiskFreeRate*TimeToExpiration)*_xlfn.NORM.DIST(AX$2*(LN(Underlying/$H20)+(RiskFreeRate-DividendYield-0.5*AW20^2)*TimeToExpiration)/(AW20*TimeToExpiration^0.5), 0, 1, TRUE)
)</f>
        <v>10.77687361</v>
      </c>
      <c r="AY20" s="40">
        <f t="shared" si="24"/>
        <v>0.3524453125</v>
      </c>
      <c r="AZ20" s="40">
        <f t="shared" si="25"/>
        <v>0.375875</v>
      </c>
      <c r="BA20" s="7">
        <f>BA$2*(Underlying*EXP(-DividendYield*TimeToExpiration)*_xlfn.NORM.DIST(BA$2*(LN(Underlying/$H20)+(RiskFreeRate-DividendYield+0.5*AY20^2)*TimeToExpiration)/(AY20*TimeToExpiration^0.5), 0, 1, TRUE) - 
       $H20*EXP(-RiskFreeRate*TimeToExpiration)*_xlfn.NORM.DIST(BA$2*(LN(Underlying/$H20)+(RiskFreeRate-DividendYield-0.5*AY20^2)*TimeToExpiration)/(AY20*TimeToExpiration^0.5), 0, 1, TRUE)
)</f>
        <v>10.77687361</v>
      </c>
      <c r="BB20" s="7">
        <f>BB$2*(Underlying*EXP(-DividendYield*TimeToExpiration)*_xlfn.NORM.DIST(BB$2*(LN(Underlying/$H20)+(RiskFreeRate-DividendYield+0.5*AZ20^2)*TimeToExpiration)/(AZ20*TimeToExpiration^0.5), 0, 1, TRUE) - 
       $H20*EXP(-RiskFreeRate*TimeToExpiration)*_xlfn.NORM.DIST(BB$2*(LN(Underlying/$H20)+(RiskFreeRate-DividendYield-0.5*AZ20^2)*TimeToExpiration)/(AZ20*TimeToExpiration^0.5), 0, 1, TRUE)
)</f>
        <v>11.1851481</v>
      </c>
      <c r="BC20" s="40">
        <f t="shared" si="26"/>
        <v>0.3641601563</v>
      </c>
      <c r="BD20" s="8">
        <f>BD$2*(Underlying*EXP(-DividendYield*TimeToExpiration)*_xlfn.NORM.DIST(BD$2*(LN(Underlying/$H20)+(RiskFreeRate-DividendYield+0.5*BC20^2)*TimeToExpiration)/(BC20*TimeToExpiration^0.5), 0, 1, TRUE) - 
       $H20*EXP(-RiskFreeRate*TimeToExpiration)*_xlfn.NORM.DIST(BD$2*(LN(Underlying/$H20)+(RiskFreeRate-DividendYield-0.5*BC20^2)*TimeToExpiration)/(BC20*TimeToExpiration^0.5), 0, 1, TRUE)
)</f>
        <v>10.98046805</v>
      </c>
      <c r="BE20" s="40">
        <f t="shared" si="27"/>
        <v>0.3641601563</v>
      </c>
      <c r="BF20" s="40">
        <f t="shared" si="28"/>
        <v>0.375875</v>
      </c>
      <c r="BG20" s="7">
        <f>BG$2*(Underlying*EXP(-DividendYield*TimeToExpiration)*_xlfn.NORM.DIST(BG$2*(LN(Underlying/$H20)+(RiskFreeRate-DividendYield+0.5*BE20^2)*TimeToExpiration)/(BE20*TimeToExpiration^0.5), 0, 1, TRUE) - 
       $H20*EXP(-RiskFreeRate*TimeToExpiration)*_xlfn.NORM.DIST(BG$2*(LN(Underlying/$H20)+(RiskFreeRate-DividendYield-0.5*BE20^2)*TimeToExpiration)/(BE20*TimeToExpiration^0.5), 0, 1, TRUE)
)</f>
        <v>10.98046805</v>
      </c>
      <c r="BH20" s="7">
        <f>BH$2*(Underlying*EXP(-DividendYield*TimeToExpiration)*_xlfn.NORM.DIST(BH$2*(LN(Underlying/$H20)+(RiskFreeRate-DividendYield+0.5*BF20^2)*TimeToExpiration)/(BF20*TimeToExpiration^0.5), 0, 1, TRUE) - 
       $H20*EXP(-RiskFreeRate*TimeToExpiration)*_xlfn.NORM.DIST(BH$2*(LN(Underlying/$H20)+(RiskFreeRate-DividendYield-0.5*BF20^2)*TimeToExpiration)/(BF20*TimeToExpiration^0.5), 0, 1, TRUE)
)</f>
        <v>11.1851481</v>
      </c>
      <c r="BI20" s="40">
        <f t="shared" si="29"/>
        <v>0.3700175781</v>
      </c>
      <c r="BJ20" s="8">
        <f>BJ$2*(Underlying*EXP(-DividendYield*TimeToExpiration)*_xlfn.NORM.DIST(BJ$2*(LN(Underlying/$H20)+(RiskFreeRate-DividendYield+0.5*BI20^2)*TimeToExpiration)/(BI20*TimeToExpiration^0.5), 0, 1, TRUE) - 
       $H20*EXP(-RiskFreeRate*TimeToExpiration)*_xlfn.NORM.DIST(BJ$2*(LN(Underlying/$H20)+(RiskFreeRate-DividendYield-0.5*BI20^2)*TimeToExpiration)/(BI20*TimeToExpiration^0.5), 0, 1, TRUE)
)</f>
        <v>11.08267851</v>
      </c>
      <c r="BK20" s="40">
        <f t="shared" si="30"/>
        <v>0.3700175781</v>
      </c>
      <c r="BL20" s="40">
        <f t="shared" si="31"/>
        <v>0.375875</v>
      </c>
      <c r="BM20" s="7">
        <f>BM$2*(Underlying*EXP(-DividendYield*TimeToExpiration)*_xlfn.NORM.DIST(BM$2*(LN(Underlying/$H20)+(RiskFreeRate-DividendYield+0.5*BK20^2)*TimeToExpiration)/(BK20*TimeToExpiration^0.5), 0, 1, TRUE) - 
       $H20*EXP(-RiskFreeRate*TimeToExpiration)*_xlfn.NORM.DIST(BM$2*(LN(Underlying/$H20)+(RiskFreeRate-DividendYield-0.5*BK20^2)*TimeToExpiration)/(BK20*TimeToExpiration^0.5), 0, 1, TRUE)
)</f>
        <v>11.08267851</v>
      </c>
      <c r="BN20" s="7">
        <f>BN$2*(Underlying*EXP(-DividendYield*TimeToExpiration)*_xlfn.NORM.DIST(BN$2*(LN(Underlying/$H20)+(RiskFreeRate-DividendYield+0.5*BL20^2)*TimeToExpiration)/(BL20*TimeToExpiration^0.5), 0, 1, TRUE) - 
       $H20*EXP(-RiskFreeRate*TimeToExpiration)*_xlfn.NORM.DIST(BN$2*(LN(Underlying/$H20)+(RiskFreeRate-DividendYield-0.5*BL20^2)*TimeToExpiration)/(BL20*TimeToExpiration^0.5), 0, 1, TRUE)
)</f>
        <v>11.1851481</v>
      </c>
      <c r="BO20" s="40">
        <f t="shared" si="32"/>
        <v>0.3729462891</v>
      </c>
      <c r="BP20" s="8">
        <f>BP$2*(Underlying*EXP(-DividendYield*TimeToExpiration)*_xlfn.NORM.DIST(BP$2*(LN(Underlying/$H20)+(RiskFreeRate-DividendYield+0.5*BO20^2)*TimeToExpiration)/(BO20*TimeToExpiration^0.5), 0, 1, TRUE) - 
       $H20*EXP(-RiskFreeRate*TimeToExpiration)*_xlfn.NORM.DIST(BP$2*(LN(Underlying/$H20)+(RiskFreeRate-DividendYield-0.5*BO20^2)*TimeToExpiration)/(BO20*TimeToExpiration^0.5), 0, 1, TRUE)
)</f>
        <v>11.13388164</v>
      </c>
      <c r="BQ20" s="40">
        <f t="shared" si="33"/>
        <v>0.3700175781</v>
      </c>
      <c r="BR20" s="40">
        <f t="shared" si="34"/>
        <v>0.3729462891</v>
      </c>
      <c r="BS20" s="7">
        <f>BS$2*(Underlying*EXP(-DividendYield*TimeToExpiration)*_xlfn.NORM.DIST(BS$2*(LN(Underlying/$H20)+(RiskFreeRate-DividendYield+0.5*BQ20^2)*TimeToExpiration)/(BQ20*TimeToExpiration^0.5), 0, 1, TRUE) - 
       $H20*EXP(-RiskFreeRate*TimeToExpiration)*_xlfn.NORM.DIST(BS$2*(LN(Underlying/$H20)+(RiskFreeRate-DividendYield-0.5*BQ20^2)*TimeToExpiration)/(BQ20*TimeToExpiration^0.5), 0, 1, TRUE)
)</f>
        <v>11.08267851</v>
      </c>
      <c r="BT20" s="7">
        <f>BT$2*(Underlying*EXP(-DividendYield*TimeToExpiration)*_xlfn.NORM.DIST(BT$2*(LN(Underlying/$H20)+(RiskFreeRate-DividendYield+0.5*BR20^2)*TimeToExpiration)/(BR20*TimeToExpiration^0.5), 0, 1, TRUE) - 
       $H20*EXP(-RiskFreeRate*TimeToExpiration)*_xlfn.NORM.DIST(BT$2*(LN(Underlying/$H20)+(RiskFreeRate-DividendYield-0.5*BR20^2)*TimeToExpiration)/(BR20*TimeToExpiration^0.5), 0, 1, TRUE)
)</f>
        <v>11.13388164</v>
      </c>
      <c r="BU20" s="40">
        <f t="shared" si="35"/>
        <v>0.3714819336</v>
      </c>
      <c r="BV20" s="8">
        <f>BV$2*(Underlying*EXP(-DividendYield*TimeToExpiration)*_xlfn.NORM.DIST(BV$2*(LN(Underlying/$H20)+(RiskFreeRate-DividendYield+0.5*BU20^2)*TimeToExpiration)/(BU20*TimeToExpiration^0.5), 0, 1, TRUE) - 
       $H20*EXP(-RiskFreeRate*TimeToExpiration)*_xlfn.NORM.DIST(BV$2*(LN(Underlying/$H20)+(RiskFreeRate-DividendYield-0.5*BU20^2)*TimeToExpiration)/(BU20*TimeToExpiration^0.5), 0, 1, TRUE)
)</f>
        <v>11.10827207</v>
      </c>
      <c r="BW20" s="40">
        <f t="shared" si="36"/>
        <v>0.3700175781</v>
      </c>
      <c r="BX20" s="40">
        <f t="shared" si="37"/>
        <v>0.3714819336</v>
      </c>
      <c r="BY20" s="7">
        <f>BY$2*(Underlying*EXP(-DividendYield*TimeToExpiration)*_xlfn.NORM.DIST(BY$2*(LN(Underlying/$H20)+(RiskFreeRate-DividendYield+0.5*BW20^2)*TimeToExpiration)/(BW20*TimeToExpiration^0.5), 0, 1, TRUE) - 
       $H20*EXP(-RiskFreeRate*TimeToExpiration)*_xlfn.NORM.DIST(BY$2*(LN(Underlying/$H20)+(RiskFreeRate-DividendYield-0.5*BW20^2)*TimeToExpiration)/(BW20*TimeToExpiration^0.5), 0, 1, TRUE)
)</f>
        <v>11.08267851</v>
      </c>
      <c r="BZ20" s="7">
        <f>BZ$2*(Underlying*EXP(-DividendYield*TimeToExpiration)*_xlfn.NORM.DIST(BZ$2*(LN(Underlying/$H20)+(RiskFreeRate-DividendYield+0.5*BX20^2)*TimeToExpiration)/(BX20*TimeToExpiration^0.5), 0, 1, TRUE) - 
       $H20*EXP(-RiskFreeRate*TimeToExpiration)*_xlfn.NORM.DIST(BZ$2*(LN(Underlying/$H20)+(RiskFreeRate-DividendYield-0.5*BX20^2)*TimeToExpiration)/(BX20*TimeToExpiration^0.5), 0, 1, TRUE)
)</f>
        <v>11.10827207</v>
      </c>
      <c r="CA20" s="40">
        <f t="shared" si="38"/>
        <v>0.3707497559</v>
      </c>
      <c r="CB20" s="8">
        <f>CB$2*(Underlying*EXP(-DividendYield*TimeToExpiration)*_xlfn.NORM.DIST(CB$2*(LN(Underlying/$H20)+(RiskFreeRate-DividendYield+0.5*CA20^2)*TimeToExpiration)/(CA20*TimeToExpiration^0.5), 0, 1, TRUE) - 
       $H20*EXP(-RiskFreeRate*TimeToExpiration)*_xlfn.NORM.DIST(CB$2*(LN(Underlying/$H20)+(RiskFreeRate-DividendYield-0.5*CA20^2)*TimeToExpiration)/(CA20*TimeToExpiration^0.5), 0, 1, TRUE)
)</f>
        <v>11.09547328</v>
      </c>
      <c r="CC20" s="40">
        <f t="shared" si="39"/>
        <v>0.3707497559</v>
      </c>
      <c r="CD20" s="40">
        <f t="shared" si="40"/>
        <v>0.3714819336</v>
      </c>
      <c r="CE20" s="7">
        <f>CE$2*(Underlying*EXP(-DividendYield*TimeToExpiration)*_xlfn.NORM.DIST(CE$2*(LN(Underlying/$H20)+(RiskFreeRate-DividendYield+0.5*CC20^2)*TimeToExpiration)/(CC20*TimeToExpiration^0.5), 0, 1, TRUE) - 
       $H20*EXP(-RiskFreeRate*TimeToExpiration)*_xlfn.NORM.DIST(CE$2*(LN(Underlying/$H20)+(RiskFreeRate-DividendYield-0.5*CC20^2)*TimeToExpiration)/(CC20*TimeToExpiration^0.5), 0, 1, TRUE)
)</f>
        <v>11.09547328</v>
      </c>
      <c r="CF20" s="7">
        <f>CF$2*(Underlying*EXP(-DividendYield*TimeToExpiration)*_xlfn.NORM.DIST(CF$2*(LN(Underlying/$H20)+(RiskFreeRate-DividendYield+0.5*CD20^2)*TimeToExpiration)/(CD20*TimeToExpiration^0.5), 0, 1, TRUE) - 
       $H20*EXP(-RiskFreeRate*TimeToExpiration)*_xlfn.NORM.DIST(CF$2*(LN(Underlying/$H20)+(RiskFreeRate-DividendYield-0.5*CD20^2)*TimeToExpiration)/(CD20*TimeToExpiration^0.5), 0, 1, TRUE)
)</f>
        <v>11.10827207</v>
      </c>
      <c r="CG20" s="40">
        <f t="shared" si="41"/>
        <v>0.3711158447</v>
      </c>
      <c r="CH20" s="8">
        <f>CH$2*(Underlying*EXP(-DividendYield*TimeToExpiration)*_xlfn.NORM.DIST(CH$2*(LN(Underlying/$H20)+(RiskFreeRate-DividendYield+0.5*CG20^2)*TimeToExpiration)/(CG20*TimeToExpiration^0.5), 0, 1, TRUE) - 
       $H20*EXP(-RiskFreeRate*TimeToExpiration)*_xlfn.NORM.DIST(CH$2*(LN(Underlying/$H20)+(RiskFreeRate-DividendYield-0.5*CG20^2)*TimeToExpiration)/(CG20*TimeToExpiration^0.5), 0, 1, TRUE)
)</f>
        <v>11.10187217</v>
      </c>
      <c r="CI20" s="40">
        <f t="shared" si="42"/>
        <v>0.3707497559</v>
      </c>
      <c r="CJ20" s="40">
        <f t="shared" si="43"/>
        <v>0.3711158447</v>
      </c>
      <c r="CK20" s="7">
        <f>CK$2*(Underlying*EXP(-DividendYield*TimeToExpiration)*_xlfn.NORM.DIST(CK$2*(LN(Underlying/$H20)+(RiskFreeRate-DividendYield+0.5*CI20^2)*TimeToExpiration)/(CI20*TimeToExpiration^0.5), 0, 1, TRUE) - 
       $H20*EXP(-RiskFreeRate*TimeToExpiration)*_xlfn.NORM.DIST(CK$2*(LN(Underlying/$H20)+(RiskFreeRate-DividendYield-0.5*CI20^2)*TimeToExpiration)/(CI20*TimeToExpiration^0.5), 0, 1, TRUE)
)</f>
        <v>11.09547328</v>
      </c>
      <c r="CL20" s="7">
        <f>CL$2*(Underlying*EXP(-DividendYield*TimeToExpiration)*_xlfn.NORM.DIST(CL$2*(LN(Underlying/$H20)+(RiskFreeRate-DividendYield+0.5*CJ20^2)*TimeToExpiration)/(CJ20*TimeToExpiration^0.5), 0, 1, TRUE) - 
       $H20*EXP(-RiskFreeRate*TimeToExpiration)*_xlfn.NORM.DIST(CL$2*(LN(Underlying/$H20)+(RiskFreeRate-DividendYield-0.5*CJ20^2)*TimeToExpiration)/(CJ20*TimeToExpiration^0.5), 0, 1, TRUE)
)</f>
        <v>11.10187217</v>
      </c>
      <c r="CM20" s="40">
        <f t="shared" si="44"/>
        <v>0.3709328003</v>
      </c>
      <c r="CN20" s="8">
        <f>CN$2*(Underlying*EXP(-DividendYield*TimeToExpiration)*_xlfn.NORM.DIST(CN$2*(LN(Underlying/$H20)+(RiskFreeRate-DividendYield+0.5*CM20^2)*TimeToExpiration)/(CM20*TimeToExpiration^0.5), 0, 1, TRUE) - 
       $H20*EXP(-RiskFreeRate*TimeToExpiration)*_xlfn.NORM.DIST(CN$2*(LN(Underlying/$H20)+(RiskFreeRate-DividendYield-0.5*CM20^2)*TimeToExpiration)/(CM20*TimeToExpiration^0.5), 0, 1, TRUE)
)</f>
        <v>11.0986726</v>
      </c>
      <c r="CO20" s="40">
        <f t="shared" si="45"/>
        <v>0.3709328003</v>
      </c>
      <c r="CP20" s="40">
        <f t="shared" si="46"/>
        <v>0.3711158447</v>
      </c>
      <c r="CQ20" s="7">
        <f>CQ$2*(Underlying*EXP(-DividendYield*TimeToExpiration)*_xlfn.NORM.DIST(CQ$2*(LN(Underlying/$H20)+(RiskFreeRate-DividendYield+0.5*CO20^2)*TimeToExpiration)/(CO20*TimeToExpiration^0.5), 0, 1, TRUE) - 
       $H20*EXP(-RiskFreeRate*TimeToExpiration)*_xlfn.NORM.DIST(CQ$2*(LN(Underlying/$H20)+(RiskFreeRate-DividendYield-0.5*CO20^2)*TimeToExpiration)/(CO20*TimeToExpiration^0.5), 0, 1, TRUE)
)</f>
        <v>11.0986726</v>
      </c>
      <c r="CR20" s="7">
        <f>CR$2*(Underlying*EXP(-DividendYield*TimeToExpiration)*_xlfn.NORM.DIST(CR$2*(LN(Underlying/$H20)+(RiskFreeRate-DividendYield+0.5*CP20^2)*TimeToExpiration)/(CP20*TimeToExpiration^0.5), 0, 1, TRUE) - 
       $H20*EXP(-RiskFreeRate*TimeToExpiration)*_xlfn.NORM.DIST(CR$2*(LN(Underlying/$H20)+(RiskFreeRate-DividendYield-0.5*CP20^2)*TimeToExpiration)/(CP20*TimeToExpiration^0.5), 0, 1, TRUE)
)</f>
        <v>11.10187217</v>
      </c>
      <c r="CS20" s="40">
        <f t="shared" si="47"/>
        <v>0.3710243225</v>
      </c>
      <c r="CT20" s="8">
        <f>CT$2*(Underlying*EXP(-DividendYield*TimeToExpiration)*_xlfn.NORM.DIST(CT$2*(LN(Underlying/$H20)+(RiskFreeRate-DividendYield+0.5*CS20^2)*TimeToExpiration)/(CS20*TimeToExpiration^0.5), 0, 1, TRUE) - 
       $H20*EXP(-RiskFreeRate*TimeToExpiration)*_xlfn.NORM.DIST(CT$2*(LN(Underlying/$H20)+(RiskFreeRate-DividendYield-0.5*CS20^2)*TimeToExpiration)/(CS20*TimeToExpiration^0.5), 0, 1, TRUE)
)</f>
        <v>11.10027235</v>
      </c>
      <c r="CU20" s="40">
        <f t="shared" si="48"/>
        <v>0.3709328003</v>
      </c>
      <c r="CV20" s="40">
        <f t="shared" si="49"/>
        <v>0.3710243225</v>
      </c>
      <c r="CW20" s="7">
        <f>CW$2*(Underlying*EXP(-DividendYield*TimeToExpiration)*_xlfn.NORM.DIST(CW$2*(LN(Underlying/$H20)+(RiskFreeRate-DividendYield+0.5*CU20^2)*TimeToExpiration)/(CU20*TimeToExpiration^0.5), 0, 1, TRUE) - 
       $H20*EXP(-RiskFreeRate*TimeToExpiration)*_xlfn.NORM.DIST(CW$2*(LN(Underlying/$H20)+(RiskFreeRate-DividendYield-0.5*CU20^2)*TimeToExpiration)/(CU20*TimeToExpiration^0.5), 0, 1, TRUE)
)</f>
        <v>11.0986726</v>
      </c>
      <c r="CX20" s="7">
        <f>CX$2*(Underlying*EXP(-DividendYield*TimeToExpiration)*_xlfn.NORM.DIST(CX$2*(LN(Underlying/$H20)+(RiskFreeRate-DividendYield+0.5*CV20^2)*TimeToExpiration)/(CV20*TimeToExpiration^0.5), 0, 1, TRUE) - 
       $H20*EXP(-RiskFreeRate*TimeToExpiration)*_xlfn.NORM.DIST(CX$2*(LN(Underlying/$H20)+(RiskFreeRate-DividendYield-0.5*CV20^2)*TimeToExpiration)/(CV20*TimeToExpiration^0.5), 0, 1, TRUE)
)</f>
        <v>11.10027235</v>
      </c>
      <c r="CY20" s="40">
        <f t="shared" si="50"/>
        <v>0.3709785614</v>
      </c>
      <c r="CZ20" s="8">
        <f>CZ$2*(Underlying*EXP(-DividendYield*TimeToExpiration)*_xlfn.NORM.DIST(CZ$2*(LN(Underlying/$H20)+(RiskFreeRate-DividendYield+0.5*CY20^2)*TimeToExpiration)/(CY20*TimeToExpiration^0.5), 0, 1, TRUE) - 
       $H20*EXP(-RiskFreeRate*TimeToExpiration)*_xlfn.NORM.DIST(CZ$2*(LN(Underlying/$H20)+(RiskFreeRate-DividendYield-0.5*CY20^2)*TimeToExpiration)/(CY20*TimeToExpiration^0.5), 0, 1, TRUE)
)</f>
        <v>11.09947247</v>
      </c>
      <c r="DA20" s="40">
        <f t="shared" si="51"/>
        <v>0.3709785614</v>
      </c>
      <c r="DB20" s="40">
        <f t="shared" si="52"/>
        <v>0.3710243225</v>
      </c>
      <c r="DC20" s="7">
        <f>DC$2*(Underlying*EXP(-DividendYield*TimeToExpiration)*_xlfn.NORM.DIST(DC$2*(LN(Underlying/$H20)+(RiskFreeRate-DividendYield+0.5*DA20^2)*TimeToExpiration)/(DA20*TimeToExpiration^0.5), 0, 1, TRUE) - 
       $H20*EXP(-RiskFreeRate*TimeToExpiration)*_xlfn.NORM.DIST(DC$2*(LN(Underlying/$H20)+(RiskFreeRate-DividendYield-0.5*DA20^2)*TimeToExpiration)/(DA20*TimeToExpiration^0.5), 0, 1, TRUE)
)</f>
        <v>11.09947247</v>
      </c>
      <c r="DD20" s="7">
        <f>DD$2*(Underlying*EXP(-DividendYield*TimeToExpiration)*_xlfn.NORM.DIST(DD$2*(LN(Underlying/$H20)+(RiskFreeRate-DividendYield+0.5*DB20^2)*TimeToExpiration)/(DB20*TimeToExpiration^0.5), 0, 1, TRUE) - 
       $H20*EXP(-RiskFreeRate*TimeToExpiration)*_xlfn.NORM.DIST(DD$2*(LN(Underlying/$H20)+(RiskFreeRate-DividendYield-0.5*DB20^2)*TimeToExpiration)/(DB20*TimeToExpiration^0.5), 0, 1, TRUE)
)</f>
        <v>11.10027235</v>
      </c>
      <c r="DE20" s="40">
        <f t="shared" si="53"/>
        <v>0.371001442</v>
      </c>
      <c r="DF20" s="8">
        <f>DF$2*(Underlying*EXP(-DividendYield*TimeToExpiration)*_xlfn.NORM.DIST(DF$2*(LN(Underlying/$H20)+(RiskFreeRate-DividendYield+0.5*DE20^2)*TimeToExpiration)/(DE20*TimeToExpiration^0.5), 0, 1, TRUE) - 
       $H20*EXP(-RiskFreeRate*TimeToExpiration)*_xlfn.NORM.DIST(DF$2*(LN(Underlying/$H20)+(RiskFreeRate-DividendYield-0.5*DE20^2)*TimeToExpiration)/(DE20*TimeToExpiration^0.5), 0, 1, TRUE)
)</f>
        <v>11.09987241</v>
      </c>
    </row>
    <row r="21">
      <c r="A21" s="20">
        <f>'Option Mkt Data'!A21</f>
        <v>335</v>
      </c>
      <c r="B21" s="35">
        <f t="shared" ref="B21:C21" si="68">DE21</f>
        <v>0.3680269699</v>
      </c>
      <c r="C21" s="7">
        <f t="shared" si="68"/>
        <v>9.500120159</v>
      </c>
      <c r="D21" s="7">
        <f t="shared" si="3"/>
        <v>0.0001201591573</v>
      </c>
      <c r="E21" s="9">
        <f t="shared" si="4"/>
        <v>0.00001264833235</v>
      </c>
      <c r="F21" s="36">
        <f>D21/'Option Mkt Data'!L21</f>
        <v>0.001201586983</v>
      </c>
      <c r="G21" s="5">
        <f>'Option Mkt Data'!J21</f>
        <v>9.5</v>
      </c>
      <c r="H21" s="33">
        <f>'Option Mkt Data'!A21</f>
        <v>335</v>
      </c>
      <c r="I21" s="37">
        <f>MinSolverVola</f>
        <v>0.001</v>
      </c>
      <c r="J21" s="38">
        <f>MaxSolverVola</f>
        <v>3</v>
      </c>
      <c r="K21" s="39">
        <f>K$2*(Underlying*EXP(-DividendYield*TimeToExpiration)*_xlfn.NORM.DIST(K$2*(LN(Underlying/$H21)+(RiskFreeRate-DividendYield+0.5*I21^2)*TimeToExpiration)/(I21*TimeToExpiration^0.5), 0, 1, TRUE) - 
       $H21*EXP(-RiskFreeRate*TimeToExpiration)*_xlfn.NORM.DIST(K$2*(LN(Underlying/$H21)+(RiskFreeRate-DividendYield-0.5*I21^2)*TimeToExpiration)/(I21*TimeToExpiration^0.5), 0, 1, TRUE)
)</f>
        <v>4.542098392</v>
      </c>
      <c r="L21" s="7">
        <f>L$2*(Underlying*EXP(-DividendYield*TimeToExpiration)*_xlfn.NORM.DIST(L$2*(LN(Underlying/$H21)+(RiskFreeRate-DividendYield+0.5*J21^2)*TimeToExpiration)/(J21*TimeToExpiration^0.5), 0, 1, TRUE) - 
       $H21*EXP(-RiskFreeRate*TimeToExpiration)*_xlfn.NORM.DIST(L$2*(LN(Underlying/$H21)+(RiskFreeRate-DividendYield-0.5*J21^2)*TimeToExpiration)/(J21*TimeToExpiration^0.5), 0, 1, TRUE)
)</f>
        <v>58.90760909</v>
      </c>
      <c r="M21" s="40">
        <f t="shared" si="5"/>
        <v>1.5005</v>
      </c>
      <c r="N21" s="8">
        <f>N$2*(Underlying*EXP(-DividendYield*TimeToExpiration)*_xlfn.NORM.DIST(N$2*(LN(Underlying/$H21)+(RiskFreeRate-DividendYield+0.5*M21^2)*TimeToExpiration)/(M21*TimeToExpiration^0.5), 0, 1, TRUE) - 
       $H21*EXP(-RiskFreeRate*TimeToExpiration)*_xlfn.NORM.DIST(N$2*(LN(Underlying/$H21)+(RiskFreeRate-DividendYield-0.5*M21^2)*TimeToExpiration)/(M21*TimeToExpiration^0.5), 0, 1, TRUE)
)</f>
        <v>30.80096514</v>
      </c>
      <c r="O21" s="41">
        <f t="shared" si="6"/>
        <v>0.001</v>
      </c>
      <c r="P21" s="40">
        <f t="shared" si="7"/>
        <v>1.5005</v>
      </c>
      <c r="Q21" s="7">
        <f>Q$2*(Underlying*EXP(-DividendYield*TimeToExpiration)*_xlfn.NORM.DIST(Q$2*(LN(Underlying/$H21)+(RiskFreeRate-DividendYield+0.5*O21^2)*TimeToExpiration)/(O21*TimeToExpiration^0.5), 0, 1, TRUE) - 
       $H21*EXP(-RiskFreeRate*TimeToExpiration)*_xlfn.NORM.DIST(Q$2*(LN(Underlying/$H21)+(RiskFreeRate-DividendYield-0.5*O21^2)*TimeToExpiration)/(O21*TimeToExpiration^0.5), 0, 1, TRUE))</f>
        <v>4.542098392</v>
      </c>
      <c r="R21" s="7">
        <f>R$2*(Underlying*EXP(-DividendYield*TimeToExpiration)*_xlfn.NORM.DIST(R$2*(LN(Underlying/$H21)+(RiskFreeRate-DividendYield+0.5*P21^2)*TimeToExpiration)/(P21*TimeToExpiration^0.5), 0, 1, TRUE) - 
       $H21*EXP(-RiskFreeRate*TimeToExpiration)*_xlfn.NORM.DIST(R$2*(LN(Underlying/$H21)+(RiskFreeRate-DividendYield-0.5*P21^2)*TimeToExpiration)/(P21*TimeToExpiration^0.5), 0, 1, TRUE)
)</f>
        <v>30.80096514</v>
      </c>
      <c r="S21" s="40">
        <f t="shared" si="8"/>
        <v>0.75075</v>
      </c>
      <c r="T21" s="8">
        <f>T$2*(Underlying*EXP(-DividendYield*TimeToExpiration)*_xlfn.NORM.DIST(T$2*(LN(Underlying/$H21)+(RiskFreeRate-DividendYield+0.5*S21^2)*TimeToExpiration)/(S21*TimeToExpiration^0.5), 0, 1, TRUE) - 
       $H21*EXP(-RiskFreeRate*TimeToExpiration)*_xlfn.NORM.DIST(T$2*(LN(Underlying/$H21)+(RiskFreeRate-DividendYield-0.5*S21^2)*TimeToExpiration)/(S21*TimeToExpiration^0.5), 0, 1, TRUE)
)</f>
        <v>16.65163334</v>
      </c>
      <c r="U21" s="41">
        <f t="shared" si="9"/>
        <v>0.001</v>
      </c>
      <c r="V21" s="40">
        <f t="shared" si="10"/>
        <v>0.75075</v>
      </c>
      <c r="W21" s="7">
        <f>W$2*(Underlying*EXP(-DividendYield*TimeToExpiration)*_xlfn.NORM.DIST(W$2*(LN(Underlying/$H21)+(RiskFreeRate-DividendYield+0.5*U21^2)*TimeToExpiration)/(U21*TimeToExpiration^0.5), 0, 1, TRUE) - 
       $H21*EXP(-RiskFreeRate*TimeToExpiration)*_xlfn.NORM.DIST(W$2*(LN(Underlying/$H21)+(RiskFreeRate-DividendYield-0.5*U21^2)*TimeToExpiration)/(U21*TimeToExpiration^0.5), 0, 1, TRUE)
)</f>
        <v>4.542098392</v>
      </c>
      <c r="X21" s="7">
        <f>X$2*(Underlying*EXP(-DividendYield*TimeToExpiration)*_xlfn.NORM.DIST(X$2*(LN(Underlying/$H21)+(RiskFreeRate-DividendYield+0.5*V21^2)*TimeToExpiration)/(V21*TimeToExpiration^0.5), 0, 1, TRUE) - 
       $H21*EXP(-RiskFreeRate*TimeToExpiration)*_xlfn.NORM.DIST(X$2*(LN(Underlying/$H21)+(RiskFreeRate-DividendYield-0.5*V21^2)*TimeToExpiration)/(V21*TimeToExpiration^0.5), 0, 1, TRUE)
)</f>
        <v>16.65163334</v>
      </c>
      <c r="Y21" s="40">
        <f t="shared" si="11"/>
        <v>0.375875</v>
      </c>
      <c r="Z21" s="8">
        <f>Z$2*(Underlying*EXP(-DividendYield*TimeToExpiration)*_xlfn.NORM.DIST(Z$2*(LN(Underlying/$H21)+(RiskFreeRate-DividendYield+0.5*Y21^2)*TimeToExpiration)/(Y21*TimeToExpiration^0.5), 0, 1, TRUE) - 
       $H21*EXP(-RiskFreeRate*TimeToExpiration)*_xlfn.NORM.DIST(Z$2*(LN(Underlying/$H21)+(RiskFreeRate-DividendYield-0.5*Y21^2)*TimeToExpiration)/(Y21*TimeToExpiration^0.5), 0, 1, TRUE)
)</f>
        <v>9.644446656</v>
      </c>
      <c r="AA21" s="41">
        <f t="shared" si="12"/>
        <v>0.001</v>
      </c>
      <c r="AB21" s="40">
        <f t="shared" si="13"/>
        <v>0.375875</v>
      </c>
      <c r="AC21" s="7">
        <f>AC$2*(Underlying*EXP(-DividendYield*TimeToExpiration)*_xlfn.NORM.DIST(AC$2*(LN(Underlying/$H21)+(RiskFreeRate-DividendYield+0.5*AA21^2)*TimeToExpiration)/(AA21*TimeToExpiration^0.5), 0, 1, TRUE) - 
       $H21*EXP(-RiskFreeRate*TimeToExpiration)*_xlfn.NORM.DIST(AC$2*(LN(Underlying/$H21)+(RiskFreeRate-DividendYield-0.5*AA21^2)*TimeToExpiration)/(AA21*TimeToExpiration^0.5), 0, 1, TRUE)
)</f>
        <v>4.542098392</v>
      </c>
      <c r="AD21" s="7">
        <f>AD$2*(Underlying*EXP(-DividendYield*TimeToExpiration)*_xlfn.NORM.DIST(AD$2*(LN(Underlying/$H21)+(RiskFreeRate-DividendYield+0.5*AB21^2)*TimeToExpiration)/(AB21*TimeToExpiration^0.5), 0, 1, TRUE) - 
       $H21*EXP(-RiskFreeRate*TimeToExpiration)*_xlfn.NORM.DIST(AD$2*(LN(Underlying/$H21)+(RiskFreeRate-DividendYield-0.5*AB21^2)*TimeToExpiration)/(AB21*TimeToExpiration^0.5), 0, 1, TRUE)
)</f>
        <v>9.644446656</v>
      </c>
      <c r="AE21" s="40">
        <f t="shared" si="14"/>
        <v>0.1884375</v>
      </c>
      <c r="AF21" s="8">
        <f>AF$2*(Underlying*EXP(-DividendYield*TimeToExpiration)*_xlfn.NORM.DIST(AF$2*(LN(Underlying/$H21)+(RiskFreeRate-DividendYield+0.5*AE21^2)*TimeToExpiration)/(AE21*TimeToExpiration^0.5), 0, 1, TRUE) - 
       $H21*EXP(-RiskFreeRate*TimeToExpiration)*_xlfn.NORM.DIST(AF$2*(LN(Underlying/$H21)+(RiskFreeRate-DividendYield-0.5*AE21^2)*TimeToExpiration)/(AE21*TimeToExpiration^0.5), 0, 1, TRUE)
)</f>
        <v>6.302060956</v>
      </c>
      <c r="AG21" s="40">
        <f t="shared" si="15"/>
        <v>0.1884375</v>
      </c>
      <c r="AH21" s="40">
        <f t="shared" si="16"/>
        <v>0.375875</v>
      </c>
      <c r="AI21" s="7">
        <f>AI$2*(Underlying*EXP(-DividendYield*TimeToExpiration)*_xlfn.NORM.DIST(AI$2*(LN(Underlying/$H21)+(RiskFreeRate-DividendYield+0.5*AG21^2)*TimeToExpiration)/(AG21*TimeToExpiration^0.5), 0, 1, TRUE) - 
       $H21*EXP(-RiskFreeRate*TimeToExpiration)*_xlfn.NORM.DIST(AI$2*(LN(Underlying/$H21)+(RiskFreeRate-DividendYield-0.5*AG21^2)*TimeToExpiration)/(AG21*TimeToExpiration^0.5), 0, 1, TRUE)
)</f>
        <v>6.302060956</v>
      </c>
      <c r="AJ21" s="7">
        <f>AJ$2*(Underlying*EXP(-DividendYield*TimeToExpiration)*_xlfn.NORM.DIST(AJ$2*(LN(Underlying/$H21)+(RiskFreeRate-DividendYield+0.5*AH21^2)*TimeToExpiration)/(AH21*TimeToExpiration^0.5), 0, 1, TRUE) - 
       $H21*EXP(-RiskFreeRate*TimeToExpiration)*_xlfn.NORM.DIST(AJ$2*(LN(Underlying/$H21)+(RiskFreeRate-DividendYield-0.5*AH21^2)*TimeToExpiration)/(AH21*TimeToExpiration^0.5), 0, 1, TRUE)
)</f>
        <v>9.644446656</v>
      </c>
      <c r="AK21" s="40">
        <f t="shared" si="17"/>
        <v>0.28215625</v>
      </c>
      <c r="AL21" s="8">
        <f>AL$2*(Underlying*EXP(-DividendYield*TimeToExpiration)*_xlfn.NORM.DIST(AL$2*(LN(Underlying/$H21)+(RiskFreeRate-DividendYield+0.5*AK21^2)*TimeToExpiration)/(AK21*TimeToExpiration^0.5), 0, 1, TRUE) - 
       $H21*EXP(-RiskFreeRate*TimeToExpiration)*_xlfn.NORM.DIST(AL$2*(LN(Underlying/$H21)+(RiskFreeRate-DividendYield-0.5*AK21^2)*TimeToExpiration)/(AK21*TimeToExpiration^0.5), 0, 1, TRUE)
)</f>
        <v>7.937915166</v>
      </c>
      <c r="AM21" s="40">
        <f t="shared" si="18"/>
        <v>0.28215625</v>
      </c>
      <c r="AN21" s="40">
        <f t="shared" si="19"/>
        <v>0.375875</v>
      </c>
      <c r="AO21" s="7">
        <f>AO$2*(Underlying*EXP(-DividendYield*TimeToExpiration)*_xlfn.NORM.DIST(AO$2*(LN(Underlying/$H21)+(RiskFreeRate-DividendYield+0.5*AM21^2)*TimeToExpiration)/(AM21*TimeToExpiration^0.5), 0, 1, TRUE) - 
       $H21*EXP(-RiskFreeRate*TimeToExpiration)*_xlfn.NORM.DIST(AO$2*(LN(Underlying/$H21)+(RiskFreeRate-DividendYield-0.5*AM21^2)*TimeToExpiration)/(AM21*TimeToExpiration^0.5), 0, 1, TRUE)
)</f>
        <v>7.937915166</v>
      </c>
      <c r="AP21" s="7">
        <f>AP$2*(Underlying*EXP(-DividendYield*TimeToExpiration)*_xlfn.NORM.DIST(AP$2*(LN(Underlying/$H21)+(RiskFreeRate-DividendYield+0.5*AN21^2)*TimeToExpiration)/(AN21*TimeToExpiration^0.5), 0, 1, TRUE) - 
       $H21*EXP(-RiskFreeRate*TimeToExpiration)*_xlfn.NORM.DIST(AP$2*(LN(Underlying/$H21)+(RiskFreeRate-DividendYield-0.5*AN21^2)*TimeToExpiration)/(AN21*TimeToExpiration^0.5), 0, 1, TRUE)
)</f>
        <v>9.644446656</v>
      </c>
      <c r="AQ21" s="40">
        <f t="shared" si="20"/>
        <v>0.329015625</v>
      </c>
      <c r="AR21" s="8">
        <f>AR$2*(Underlying*EXP(-DividendYield*TimeToExpiration)*_xlfn.NORM.DIST(AR$2*(LN(Underlying/$H21)+(RiskFreeRate-DividendYield+0.5*AQ21^2)*TimeToExpiration)/(AQ21*TimeToExpiration^0.5), 0, 1, TRUE) - 
       $H21*EXP(-RiskFreeRate*TimeToExpiration)*_xlfn.NORM.DIST(AR$2*(LN(Underlying/$H21)+(RiskFreeRate-DividendYield-0.5*AQ21^2)*TimeToExpiration)/(AQ21*TimeToExpiration^0.5), 0, 1, TRUE)
)</f>
        <v>8.786011016</v>
      </c>
      <c r="AS21" s="40">
        <f t="shared" si="21"/>
        <v>0.329015625</v>
      </c>
      <c r="AT21" s="40">
        <f t="shared" si="22"/>
        <v>0.375875</v>
      </c>
      <c r="AU21" s="7">
        <f>AU$2*(Underlying*EXP(-DividendYield*TimeToExpiration)*_xlfn.NORM.DIST(AU$2*(LN(Underlying/$H21)+(RiskFreeRate-DividendYield+0.5*AS21^2)*TimeToExpiration)/(AS21*TimeToExpiration^0.5), 0, 1, TRUE) - 
       $H21*EXP(-RiskFreeRate*TimeToExpiration)*_xlfn.NORM.DIST(AU$2*(LN(Underlying/$H21)+(RiskFreeRate-DividendYield-0.5*AS21^2)*TimeToExpiration)/(AS21*TimeToExpiration^0.5), 0, 1, TRUE)
)</f>
        <v>8.786011016</v>
      </c>
      <c r="AV21" s="7">
        <f>AV$2*(Underlying*EXP(-DividendYield*TimeToExpiration)*_xlfn.NORM.DIST(AV$2*(LN(Underlying/$H21)+(RiskFreeRate-DividendYield+0.5*AT21^2)*TimeToExpiration)/(AT21*TimeToExpiration^0.5), 0, 1, TRUE) - 
       $H21*EXP(-RiskFreeRate*TimeToExpiration)*_xlfn.NORM.DIST(AV$2*(LN(Underlying/$H21)+(RiskFreeRate-DividendYield-0.5*AT21^2)*TimeToExpiration)/(AT21*TimeToExpiration^0.5), 0, 1, TRUE)
)</f>
        <v>9.644446656</v>
      </c>
      <c r="AW21" s="40">
        <f t="shared" si="23"/>
        <v>0.3524453125</v>
      </c>
      <c r="AX21" s="8">
        <f>AX$2*(Underlying*EXP(-DividendYield*TimeToExpiration)*_xlfn.NORM.DIST(AX$2*(LN(Underlying/$H21)+(RiskFreeRate-DividendYield+0.5*AW21^2)*TimeToExpiration)/(AW21*TimeToExpiration^0.5), 0, 1, TRUE) - 
       $H21*EXP(-RiskFreeRate*TimeToExpiration)*_xlfn.NORM.DIST(AX$2*(LN(Underlying/$H21)+(RiskFreeRate-DividendYield-0.5*AW21^2)*TimeToExpiration)/(AW21*TimeToExpiration^0.5), 0, 1, TRUE)
)</f>
        <v>9.214189701</v>
      </c>
      <c r="AY21" s="40">
        <f t="shared" si="24"/>
        <v>0.3524453125</v>
      </c>
      <c r="AZ21" s="40">
        <f t="shared" si="25"/>
        <v>0.375875</v>
      </c>
      <c r="BA21" s="7">
        <f>BA$2*(Underlying*EXP(-DividendYield*TimeToExpiration)*_xlfn.NORM.DIST(BA$2*(LN(Underlying/$H21)+(RiskFreeRate-DividendYield+0.5*AY21^2)*TimeToExpiration)/(AY21*TimeToExpiration^0.5), 0, 1, TRUE) - 
       $H21*EXP(-RiskFreeRate*TimeToExpiration)*_xlfn.NORM.DIST(BA$2*(LN(Underlying/$H21)+(RiskFreeRate-DividendYield-0.5*AY21^2)*TimeToExpiration)/(AY21*TimeToExpiration^0.5), 0, 1, TRUE)
)</f>
        <v>9.214189701</v>
      </c>
      <c r="BB21" s="7">
        <f>BB$2*(Underlying*EXP(-DividendYield*TimeToExpiration)*_xlfn.NORM.DIST(BB$2*(LN(Underlying/$H21)+(RiskFreeRate-DividendYield+0.5*AZ21^2)*TimeToExpiration)/(AZ21*TimeToExpiration^0.5), 0, 1, TRUE) - 
       $H21*EXP(-RiskFreeRate*TimeToExpiration)*_xlfn.NORM.DIST(BB$2*(LN(Underlying/$H21)+(RiskFreeRate-DividendYield-0.5*AZ21^2)*TimeToExpiration)/(AZ21*TimeToExpiration^0.5), 0, 1, TRUE)
)</f>
        <v>9.644446656</v>
      </c>
      <c r="BC21" s="40">
        <f t="shared" si="26"/>
        <v>0.3641601563</v>
      </c>
      <c r="BD21" s="8">
        <f>BD$2*(Underlying*EXP(-DividendYield*TimeToExpiration)*_xlfn.NORM.DIST(BD$2*(LN(Underlying/$H21)+(RiskFreeRate-DividendYield+0.5*BC21^2)*TimeToExpiration)/(BC21*TimeToExpiration^0.5), 0, 1, TRUE) - 
       $H21*EXP(-RiskFreeRate*TimeToExpiration)*_xlfn.NORM.DIST(BD$2*(LN(Underlying/$H21)+(RiskFreeRate-DividendYield-0.5*BC21^2)*TimeToExpiration)/(BC21*TimeToExpiration^0.5), 0, 1, TRUE)
)</f>
        <v>9.429083171</v>
      </c>
      <c r="BE21" s="40">
        <f t="shared" si="27"/>
        <v>0.3641601563</v>
      </c>
      <c r="BF21" s="40">
        <f t="shared" si="28"/>
        <v>0.375875</v>
      </c>
      <c r="BG21" s="7">
        <f>BG$2*(Underlying*EXP(-DividendYield*TimeToExpiration)*_xlfn.NORM.DIST(BG$2*(LN(Underlying/$H21)+(RiskFreeRate-DividendYield+0.5*BE21^2)*TimeToExpiration)/(BE21*TimeToExpiration^0.5), 0, 1, TRUE) - 
       $H21*EXP(-RiskFreeRate*TimeToExpiration)*_xlfn.NORM.DIST(BG$2*(LN(Underlying/$H21)+(RiskFreeRate-DividendYield-0.5*BE21^2)*TimeToExpiration)/(BE21*TimeToExpiration^0.5), 0, 1, TRUE)
)</f>
        <v>9.429083171</v>
      </c>
      <c r="BH21" s="7">
        <f>BH$2*(Underlying*EXP(-DividendYield*TimeToExpiration)*_xlfn.NORM.DIST(BH$2*(LN(Underlying/$H21)+(RiskFreeRate-DividendYield+0.5*BF21^2)*TimeToExpiration)/(BF21*TimeToExpiration^0.5), 0, 1, TRUE) - 
       $H21*EXP(-RiskFreeRate*TimeToExpiration)*_xlfn.NORM.DIST(BH$2*(LN(Underlying/$H21)+(RiskFreeRate-DividendYield-0.5*BF21^2)*TimeToExpiration)/(BF21*TimeToExpiration^0.5), 0, 1, TRUE)
)</f>
        <v>9.644446656</v>
      </c>
      <c r="BI21" s="40">
        <f t="shared" si="29"/>
        <v>0.3700175781</v>
      </c>
      <c r="BJ21" s="8">
        <f>BJ$2*(Underlying*EXP(-DividendYield*TimeToExpiration)*_xlfn.NORM.DIST(BJ$2*(LN(Underlying/$H21)+(RiskFreeRate-DividendYield+0.5*BI21^2)*TimeToExpiration)/(BI21*TimeToExpiration^0.5), 0, 1, TRUE) - 
       $H21*EXP(-RiskFreeRate*TimeToExpiration)*_xlfn.NORM.DIST(BJ$2*(LN(Underlying/$H21)+(RiskFreeRate-DividendYield-0.5*BI21^2)*TimeToExpiration)/(BI21*TimeToExpiration^0.5), 0, 1, TRUE)
)</f>
        <v>9.536708926</v>
      </c>
      <c r="BK21" s="40">
        <f t="shared" si="30"/>
        <v>0.3641601563</v>
      </c>
      <c r="BL21" s="40">
        <f t="shared" si="31"/>
        <v>0.3700175781</v>
      </c>
      <c r="BM21" s="7">
        <f>BM$2*(Underlying*EXP(-DividendYield*TimeToExpiration)*_xlfn.NORM.DIST(BM$2*(LN(Underlying/$H21)+(RiskFreeRate-DividendYield+0.5*BK21^2)*TimeToExpiration)/(BK21*TimeToExpiration^0.5), 0, 1, TRUE) - 
       $H21*EXP(-RiskFreeRate*TimeToExpiration)*_xlfn.NORM.DIST(BM$2*(LN(Underlying/$H21)+(RiskFreeRate-DividendYield-0.5*BK21^2)*TimeToExpiration)/(BK21*TimeToExpiration^0.5), 0, 1, TRUE)
)</f>
        <v>9.429083171</v>
      </c>
      <c r="BN21" s="7">
        <f>BN$2*(Underlying*EXP(-DividendYield*TimeToExpiration)*_xlfn.NORM.DIST(BN$2*(LN(Underlying/$H21)+(RiskFreeRate-DividendYield+0.5*BL21^2)*TimeToExpiration)/(BL21*TimeToExpiration^0.5), 0, 1, TRUE) - 
       $H21*EXP(-RiskFreeRate*TimeToExpiration)*_xlfn.NORM.DIST(BN$2*(LN(Underlying/$H21)+(RiskFreeRate-DividendYield-0.5*BL21^2)*TimeToExpiration)/(BL21*TimeToExpiration^0.5), 0, 1, TRUE)
)</f>
        <v>9.536708926</v>
      </c>
      <c r="BO21" s="40">
        <f t="shared" si="32"/>
        <v>0.3670888672</v>
      </c>
      <c r="BP21" s="8">
        <f>BP$2*(Underlying*EXP(-DividendYield*TimeToExpiration)*_xlfn.NORM.DIST(BP$2*(LN(Underlying/$H21)+(RiskFreeRate-DividendYield+0.5*BO21^2)*TimeToExpiration)/(BO21*TimeToExpiration^0.5), 0, 1, TRUE) - 
       $H21*EXP(-RiskFreeRate*TimeToExpiration)*_xlfn.NORM.DIST(BP$2*(LN(Underlying/$H21)+(RiskFreeRate-DividendYield-0.5*BO21^2)*TimeToExpiration)/(BO21*TimeToExpiration^0.5), 0, 1, TRUE)
)</f>
        <v>9.482881719</v>
      </c>
      <c r="BQ21" s="40">
        <f t="shared" si="33"/>
        <v>0.3670888672</v>
      </c>
      <c r="BR21" s="40">
        <f t="shared" si="34"/>
        <v>0.3700175781</v>
      </c>
      <c r="BS21" s="7">
        <f>BS$2*(Underlying*EXP(-DividendYield*TimeToExpiration)*_xlfn.NORM.DIST(BS$2*(LN(Underlying/$H21)+(RiskFreeRate-DividendYield+0.5*BQ21^2)*TimeToExpiration)/(BQ21*TimeToExpiration^0.5), 0, 1, TRUE) - 
       $H21*EXP(-RiskFreeRate*TimeToExpiration)*_xlfn.NORM.DIST(BS$2*(LN(Underlying/$H21)+(RiskFreeRate-DividendYield-0.5*BQ21^2)*TimeToExpiration)/(BQ21*TimeToExpiration^0.5), 0, 1, TRUE)
)</f>
        <v>9.482881719</v>
      </c>
      <c r="BT21" s="7">
        <f>BT$2*(Underlying*EXP(-DividendYield*TimeToExpiration)*_xlfn.NORM.DIST(BT$2*(LN(Underlying/$H21)+(RiskFreeRate-DividendYield+0.5*BR21^2)*TimeToExpiration)/(BR21*TimeToExpiration^0.5), 0, 1, TRUE) - 
       $H21*EXP(-RiskFreeRate*TimeToExpiration)*_xlfn.NORM.DIST(BT$2*(LN(Underlying/$H21)+(RiskFreeRate-DividendYield-0.5*BR21^2)*TimeToExpiration)/(BR21*TimeToExpiration^0.5), 0, 1, TRUE)
)</f>
        <v>9.536708926</v>
      </c>
      <c r="BU21" s="40">
        <f t="shared" si="35"/>
        <v>0.3685532227</v>
      </c>
      <c r="BV21" s="8">
        <f>BV$2*(Underlying*EXP(-DividendYield*TimeToExpiration)*_xlfn.NORM.DIST(BV$2*(LN(Underlying/$H21)+(RiskFreeRate-DividendYield+0.5*BU21^2)*TimeToExpiration)/(BU21*TimeToExpiration^0.5), 0, 1, TRUE) - 
       $H21*EXP(-RiskFreeRate*TimeToExpiration)*_xlfn.NORM.DIST(BV$2*(LN(Underlying/$H21)+(RiskFreeRate-DividendYield-0.5*BU21^2)*TimeToExpiration)/(BU21*TimeToExpiration^0.5), 0, 1, TRUE)
)</f>
        <v>9.509791783</v>
      </c>
      <c r="BW21" s="40">
        <f t="shared" si="36"/>
        <v>0.3670888672</v>
      </c>
      <c r="BX21" s="40">
        <f t="shared" si="37"/>
        <v>0.3685532227</v>
      </c>
      <c r="BY21" s="7">
        <f>BY$2*(Underlying*EXP(-DividendYield*TimeToExpiration)*_xlfn.NORM.DIST(BY$2*(LN(Underlying/$H21)+(RiskFreeRate-DividendYield+0.5*BW21^2)*TimeToExpiration)/(BW21*TimeToExpiration^0.5), 0, 1, TRUE) - 
       $H21*EXP(-RiskFreeRate*TimeToExpiration)*_xlfn.NORM.DIST(BY$2*(LN(Underlying/$H21)+(RiskFreeRate-DividendYield-0.5*BW21^2)*TimeToExpiration)/(BW21*TimeToExpiration^0.5), 0, 1, TRUE)
)</f>
        <v>9.482881719</v>
      </c>
      <c r="BZ21" s="7">
        <f>BZ$2*(Underlying*EXP(-DividendYield*TimeToExpiration)*_xlfn.NORM.DIST(BZ$2*(LN(Underlying/$H21)+(RiskFreeRate-DividendYield+0.5*BX21^2)*TimeToExpiration)/(BX21*TimeToExpiration^0.5), 0, 1, TRUE) - 
       $H21*EXP(-RiskFreeRate*TimeToExpiration)*_xlfn.NORM.DIST(BZ$2*(LN(Underlying/$H21)+(RiskFreeRate-DividendYield-0.5*BX21^2)*TimeToExpiration)/(BX21*TimeToExpiration^0.5), 0, 1, TRUE)
)</f>
        <v>9.509791783</v>
      </c>
      <c r="CA21" s="40">
        <f t="shared" si="38"/>
        <v>0.3678210449</v>
      </c>
      <c r="CB21" s="8">
        <f>CB$2*(Underlying*EXP(-DividendYield*TimeToExpiration)*_xlfn.NORM.DIST(CB$2*(LN(Underlying/$H21)+(RiskFreeRate-DividendYield+0.5*CA21^2)*TimeToExpiration)/(CA21*TimeToExpiration^0.5), 0, 1, TRUE) - 
       $H21*EXP(-RiskFreeRate*TimeToExpiration)*_xlfn.NORM.DIST(CB$2*(LN(Underlying/$H21)+(RiskFreeRate-DividendYield-0.5*CA21^2)*TimeToExpiration)/(CA21*TimeToExpiration^0.5), 0, 1, TRUE)
)</f>
        <v>9.496335861</v>
      </c>
      <c r="CC21" s="40">
        <f t="shared" si="39"/>
        <v>0.3678210449</v>
      </c>
      <c r="CD21" s="40">
        <f t="shared" si="40"/>
        <v>0.3685532227</v>
      </c>
      <c r="CE21" s="7">
        <f>CE$2*(Underlying*EXP(-DividendYield*TimeToExpiration)*_xlfn.NORM.DIST(CE$2*(LN(Underlying/$H21)+(RiskFreeRate-DividendYield+0.5*CC21^2)*TimeToExpiration)/(CC21*TimeToExpiration^0.5), 0, 1, TRUE) - 
       $H21*EXP(-RiskFreeRate*TimeToExpiration)*_xlfn.NORM.DIST(CE$2*(LN(Underlying/$H21)+(RiskFreeRate-DividendYield-0.5*CC21^2)*TimeToExpiration)/(CC21*TimeToExpiration^0.5), 0, 1, TRUE)
)</f>
        <v>9.496335861</v>
      </c>
      <c r="CF21" s="7">
        <f>CF$2*(Underlying*EXP(-DividendYield*TimeToExpiration)*_xlfn.NORM.DIST(CF$2*(LN(Underlying/$H21)+(RiskFreeRate-DividendYield+0.5*CD21^2)*TimeToExpiration)/(CD21*TimeToExpiration^0.5), 0, 1, TRUE) - 
       $H21*EXP(-RiskFreeRate*TimeToExpiration)*_xlfn.NORM.DIST(CF$2*(LN(Underlying/$H21)+(RiskFreeRate-DividendYield-0.5*CD21^2)*TimeToExpiration)/(CD21*TimeToExpiration^0.5), 0, 1, TRUE)
)</f>
        <v>9.509791783</v>
      </c>
      <c r="CG21" s="40">
        <f t="shared" si="41"/>
        <v>0.3681871338</v>
      </c>
      <c r="CH21" s="8">
        <f>CH$2*(Underlying*EXP(-DividendYield*TimeToExpiration)*_xlfn.NORM.DIST(CH$2*(LN(Underlying/$H21)+(RiskFreeRate-DividendYield+0.5*CG21^2)*TimeToExpiration)/(CG21*TimeToExpiration^0.5), 0, 1, TRUE) - 
       $H21*EXP(-RiskFreeRate*TimeToExpiration)*_xlfn.NORM.DIST(CH$2*(LN(Underlying/$H21)+(RiskFreeRate-DividendYield-0.5*CG21^2)*TimeToExpiration)/(CG21*TimeToExpiration^0.5), 0, 1, TRUE)
)</f>
        <v>9.5030636</v>
      </c>
      <c r="CI21" s="40">
        <f t="shared" si="42"/>
        <v>0.3678210449</v>
      </c>
      <c r="CJ21" s="40">
        <f t="shared" si="43"/>
        <v>0.3681871338</v>
      </c>
      <c r="CK21" s="7">
        <f>CK$2*(Underlying*EXP(-DividendYield*TimeToExpiration)*_xlfn.NORM.DIST(CK$2*(LN(Underlying/$H21)+(RiskFreeRate-DividendYield+0.5*CI21^2)*TimeToExpiration)/(CI21*TimeToExpiration^0.5), 0, 1, TRUE) - 
       $H21*EXP(-RiskFreeRate*TimeToExpiration)*_xlfn.NORM.DIST(CK$2*(LN(Underlying/$H21)+(RiskFreeRate-DividendYield-0.5*CI21^2)*TimeToExpiration)/(CI21*TimeToExpiration^0.5), 0, 1, TRUE)
)</f>
        <v>9.496335861</v>
      </c>
      <c r="CL21" s="7">
        <f>CL$2*(Underlying*EXP(-DividendYield*TimeToExpiration)*_xlfn.NORM.DIST(CL$2*(LN(Underlying/$H21)+(RiskFreeRate-DividendYield+0.5*CJ21^2)*TimeToExpiration)/(CJ21*TimeToExpiration^0.5), 0, 1, TRUE) - 
       $H21*EXP(-RiskFreeRate*TimeToExpiration)*_xlfn.NORM.DIST(CL$2*(LN(Underlying/$H21)+(RiskFreeRate-DividendYield-0.5*CJ21^2)*TimeToExpiration)/(CJ21*TimeToExpiration^0.5), 0, 1, TRUE)
)</f>
        <v>9.5030636</v>
      </c>
      <c r="CM21" s="40">
        <f t="shared" si="44"/>
        <v>0.3680040894</v>
      </c>
      <c r="CN21" s="8">
        <f>CN$2*(Underlying*EXP(-DividendYield*TimeToExpiration)*_xlfn.NORM.DIST(CN$2*(LN(Underlying/$H21)+(RiskFreeRate-DividendYield+0.5*CM21^2)*TimeToExpiration)/(CM21*TimeToExpiration^0.5), 0, 1, TRUE) - 
       $H21*EXP(-RiskFreeRate*TimeToExpiration)*_xlfn.NORM.DIST(CN$2*(LN(Underlying/$H21)+(RiskFreeRate-DividendYield-0.5*CM21^2)*TimeToExpiration)/(CM21*TimeToExpiration^0.5), 0, 1, TRUE)
)</f>
        <v>9.499699675</v>
      </c>
      <c r="CO21" s="40">
        <f t="shared" si="45"/>
        <v>0.3680040894</v>
      </c>
      <c r="CP21" s="40">
        <f t="shared" si="46"/>
        <v>0.3681871338</v>
      </c>
      <c r="CQ21" s="7">
        <f>CQ$2*(Underlying*EXP(-DividendYield*TimeToExpiration)*_xlfn.NORM.DIST(CQ$2*(LN(Underlying/$H21)+(RiskFreeRate-DividendYield+0.5*CO21^2)*TimeToExpiration)/(CO21*TimeToExpiration^0.5), 0, 1, TRUE) - 
       $H21*EXP(-RiskFreeRate*TimeToExpiration)*_xlfn.NORM.DIST(CQ$2*(LN(Underlying/$H21)+(RiskFreeRate-DividendYield-0.5*CO21^2)*TimeToExpiration)/(CO21*TimeToExpiration^0.5), 0, 1, TRUE)
)</f>
        <v>9.499699675</v>
      </c>
      <c r="CR21" s="7">
        <f>CR$2*(Underlying*EXP(-DividendYield*TimeToExpiration)*_xlfn.NORM.DIST(CR$2*(LN(Underlying/$H21)+(RiskFreeRate-DividendYield+0.5*CP21^2)*TimeToExpiration)/(CP21*TimeToExpiration^0.5), 0, 1, TRUE) - 
       $H21*EXP(-RiskFreeRate*TimeToExpiration)*_xlfn.NORM.DIST(CR$2*(LN(Underlying/$H21)+(RiskFreeRate-DividendYield-0.5*CP21^2)*TimeToExpiration)/(CP21*TimeToExpiration^0.5), 0, 1, TRUE)
)</f>
        <v>9.5030636</v>
      </c>
      <c r="CS21" s="40">
        <f t="shared" si="47"/>
        <v>0.3680956116</v>
      </c>
      <c r="CT21" s="8">
        <f>CT$2*(Underlying*EXP(-DividendYield*TimeToExpiration)*_xlfn.NORM.DIST(CT$2*(LN(Underlying/$H21)+(RiskFreeRate-DividendYield+0.5*CS21^2)*TimeToExpiration)/(CS21*TimeToExpiration^0.5), 0, 1, TRUE) - 
       $H21*EXP(-RiskFreeRate*TimeToExpiration)*_xlfn.NORM.DIST(CT$2*(LN(Underlying/$H21)+(RiskFreeRate-DividendYield-0.5*CS21^2)*TimeToExpiration)/(CS21*TimeToExpiration^0.5), 0, 1, TRUE)
)</f>
        <v>9.501381623</v>
      </c>
      <c r="CU21" s="40">
        <f t="shared" si="48"/>
        <v>0.3680040894</v>
      </c>
      <c r="CV21" s="40">
        <f t="shared" si="49"/>
        <v>0.3680956116</v>
      </c>
      <c r="CW21" s="7">
        <f>CW$2*(Underlying*EXP(-DividendYield*TimeToExpiration)*_xlfn.NORM.DIST(CW$2*(LN(Underlying/$H21)+(RiskFreeRate-DividendYield+0.5*CU21^2)*TimeToExpiration)/(CU21*TimeToExpiration^0.5), 0, 1, TRUE) - 
       $H21*EXP(-RiskFreeRate*TimeToExpiration)*_xlfn.NORM.DIST(CW$2*(LN(Underlying/$H21)+(RiskFreeRate-DividendYield-0.5*CU21^2)*TimeToExpiration)/(CU21*TimeToExpiration^0.5), 0, 1, TRUE)
)</f>
        <v>9.499699675</v>
      </c>
      <c r="CX21" s="7">
        <f>CX$2*(Underlying*EXP(-DividendYield*TimeToExpiration)*_xlfn.NORM.DIST(CX$2*(LN(Underlying/$H21)+(RiskFreeRate-DividendYield+0.5*CV21^2)*TimeToExpiration)/(CV21*TimeToExpiration^0.5), 0, 1, TRUE) - 
       $H21*EXP(-RiskFreeRate*TimeToExpiration)*_xlfn.NORM.DIST(CX$2*(LN(Underlying/$H21)+(RiskFreeRate-DividendYield-0.5*CV21^2)*TimeToExpiration)/(CV21*TimeToExpiration^0.5), 0, 1, TRUE)
)</f>
        <v>9.501381623</v>
      </c>
      <c r="CY21" s="40">
        <f t="shared" si="50"/>
        <v>0.3680498505</v>
      </c>
      <c r="CZ21" s="8">
        <f>CZ$2*(Underlying*EXP(-DividendYield*TimeToExpiration)*_xlfn.NORM.DIST(CZ$2*(LN(Underlying/$H21)+(RiskFreeRate-DividendYield+0.5*CY21^2)*TimeToExpiration)/(CY21*TimeToExpiration^0.5), 0, 1, TRUE) - 
       $H21*EXP(-RiskFreeRate*TimeToExpiration)*_xlfn.NORM.DIST(CZ$2*(LN(Underlying/$H21)+(RiskFreeRate-DividendYield-0.5*CY21^2)*TimeToExpiration)/(CY21*TimeToExpiration^0.5), 0, 1, TRUE)
)</f>
        <v>9.500540645</v>
      </c>
      <c r="DA21" s="40">
        <f t="shared" si="51"/>
        <v>0.3680040894</v>
      </c>
      <c r="DB21" s="40">
        <f t="shared" si="52"/>
        <v>0.3680498505</v>
      </c>
      <c r="DC21" s="7">
        <f>DC$2*(Underlying*EXP(-DividendYield*TimeToExpiration)*_xlfn.NORM.DIST(DC$2*(LN(Underlying/$H21)+(RiskFreeRate-DividendYield+0.5*DA21^2)*TimeToExpiration)/(DA21*TimeToExpiration^0.5), 0, 1, TRUE) - 
       $H21*EXP(-RiskFreeRate*TimeToExpiration)*_xlfn.NORM.DIST(DC$2*(LN(Underlying/$H21)+(RiskFreeRate-DividendYield-0.5*DA21^2)*TimeToExpiration)/(DA21*TimeToExpiration^0.5), 0, 1, TRUE)
)</f>
        <v>9.499699675</v>
      </c>
      <c r="DD21" s="7">
        <f>DD$2*(Underlying*EXP(-DividendYield*TimeToExpiration)*_xlfn.NORM.DIST(DD$2*(LN(Underlying/$H21)+(RiskFreeRate-DividendYield+0.5*DB21^2)*TimeToExpiration)/(DB21*TimeToExpiration^0.5), 0, 1, TRUE) - 
       $H21*EXP(-RiskFreeRate*TimeToExpiration)*_xlfn.NORM.DIST(DD$2*(LN(Underlying/$H21)+(RiskFreeRate-DividendYield-0.5*DB21^2)*TimeToExpiration)/(DB21*TimeToExpiration^0.5), 0, 1, TRUE)
)</f>
        <v>9.500540645</v>
      </c>
      <c r="DE21" s="40">
        <f t="shared" si="53"/>
        <v>0.3680269699</v>
      </c>
      <c r="DF21" s="8">
        <f>DF$2*(Underlying*EXP(-DividendYield*TimeToExpiration)*_xlfn.NORM.DIST(DF$2*(LN(Underlying/$H21)+(RiskFreeRate-DividendYield+0.5*DE21^2)*TimeToExpiration)/(DE21*TimeToExpiration^0.5), 0, 1, TRUE) - 
       $H21*EXP(-RiskFreeRate*TimeToExpiration)*_xlfn.NORM.DIST(DF$2*(LN(Underlying/$H21)+(RiskFreeRate-DividendYield-0.5*DE21^2)*TimeToExpiration)/(DE21*TimeToExpiration^0.5), 0, 1, TRUE)
)</f>
        <v>9.500120159</v>
      </c>
    </row>
    <row r="22">
      <c r="A22" s="24">
        <f>'Option Mkt Data'!A22</f>
        <v>337.5</v>
      </c>
      <c r="B22" s="43">
        <f t="shared" ref="B22:C22" si="69">DE22</f>
        <v>0.3658761978</v>
      </c>
      <c r="C22" s="25">
        <f t="shared" si="69"/>
        <v>8.050407661</v>
      </c>
      <c r="D22" s="25">
        <f t="shared" si="3"/>
        <v>0.0004074709304</v>
      </c>
      <c r="E22" s="44">
        <f t="shared" si="4"/>
        <v>0.00005061750568</v>
      </c>
      <c r="F22" s="45">
        <f>D22/'Option Mkt Data'!L22</f>
        <v>0.004074693779</v>
      </c>
      <c r="G22" s="46">
        <f>'Option Mkt Data'!J22</f>
        <v>8.050000191</v>
      </c>
      <c r="H22" s="47">
        <f>'Option Mkt Data'!A22</f>
        <v>337.5</v>
      </c>
      <c r="I22" s="48">
        <f>MinSolverVola</f>
        <v>0.001</v>
      </c>
      <c r="J22" s="49">
        <f>MaxSolverVola</f>
        <v>3</v>
      </c>
      <c r="K22" s="50">
        <f>K$2*(Underlying*EXP(-DividendYield*TimeToExpiration)*_xlfn.NORM.DIST(K$2*(LN(Underlying/$H22)+(RiskFreeRate-DividendYield+0.5*I22^2)*TimeToExpiration)/(I22*TimeToExpiration^0.5), 0, 1, TRUE) - 
       $H22*EXP(-RiskFreeRate*TimeToExpiration)*_xlfn.NORM.DIST(K$2*(LN(Underlying/$H22)+(RiskFreeRate-DividendYield-0.5*I22^2)*TimeToExpiration)/(I22*TimeToExpiration^0.5), 0, 1, TRUE)
)</f>
        <v>2.044278231</v>
      </c>
      <c r="L22" s="25">
        <f>L$2*(Underlying*EXP(-DividendYield*TimeToExpiration)*_xlfn.NORM.DIST(L$2*(LN(Underlying/$H22)+(RiskFreeRate-DividendYield+0.5*J22^2)*TimeToExpiration)/(J22*TimeToExpiration^0.5), 0, 1, TRUE) - 
       $H22*EXP(-RiskFreeRate*TimeToExpiration)*_xlfn.NORM.DIST(L$2*(LN(Underlying/$H22)+(RiskFreeRate-DividendYield-0.5*J22^2)*TimeToExpiration)/(J22*TimeToExpiration^0.5), 0, 1, TRUE)
)</f>
        <v>57.84603788</v>
      </c>
      <c r="M22" s="51">
        <f t="shared" si="5"/>
        <v>1.5005</v>
      </c>
      <c r="N22" s="52">
        <f>N$2*(Underlying*EXP(-DividendYield*TimeToExpiration)*_xlfn.NORM.DIST(N$2*(LN(Underlying/$H22)+(RiskFreeRate-DividendYield+0.5*M22^2)*TimeToExpiration)/(M22*TimeToExpiration^0.5), 0, 1, TRUE) - 
       $H22*EXP(-RiskFreeRate*TimeToExpiration)*_xlfn.NORM.DIST(N$2*(LN(Underlying/$H22)+(RiskFreeRate-DividendYield-0.5*M22^2)*TimeToExpiration)/(M22*TimeToExpiration^0.5), 0, 1, TRUE)
)</f>
        <v>29.61191919</v>
      </c>
      <c r="O22" s="53">
        <f t="shared" si="6"/>
        <v>0.001</v>
      </c>
      <c r="P22" s="51">
        <f t="shared" si="7"/>
        <v>1.5005</v>
      </c>
      <c r="Q22" s="25">
        <f>Q$2*(Underlying*EXP(-DividendYield*TimeToExpiration)*_xlfn.NORM.DIST(Q$2*(LN(Underlying/$H22)+(RiskFreeRate-DividendYield+0.5*O22^2)*TimeToExpiration)/(O22*TimeToExpiration^0.5), 0, 1, TRUE) - 
       $H22*EXP(-RiskFreeRate*TimeToExpiration)*_xlfn.NORM.DIST(Q$2*(LN(Underlying/$H22)+(RiskFreeRate-DividendYield-0.5*O22^2)*TimeToExpiration)/(O22*TimeToExpiration^0.5), 0, 1, TRUE))</f>
        <v>2.044278231</v>
      </c>
      <c r="R22" s="25">
        <f>R$2*(Underlying*EXP(-DividendYield*TimeToExpiration)*_xlfn.NORM.DIST(R$2*(LN(Underlying/$H22)+(RiskFreeRate-DividendYield+0.5*P22^2)*TimeToExpiration)/(P22*TimeToExpiration^0.5), 0, 1, TRUE) - 
       $H22*EXP(-RiskFreeRate*TimeToExpiration)*_xlfn.NORM.DIST(R$2*(LN(Underlying/$H22)+(RiskFreeRate-DividendYield-0.5*P22^2)*TimeToExpiration)/(P22*TimeToExpiration^0.5), 0, 1, TRUE)
)</f>
        <v>29.61191919</v>
      </c>
      <c r="S22" s="51">
        <f t="shared" si="8"/>
        <v>0.75075</v>
      </c>
      <c r="T22" s="52">
        <f>T$2*(Underlying*EXP(-DividendYield*TimeToExpiration)*_xlfn.NORM.DIST(T$2*(LN(Underlying/$H22)+(RiskFreeRate-DividendYield+0.5*S22^2)*TimeToExpiration)/(S22*TimeToExpiration^0.5), 0, 1, TRUE) - 
       $H22*EXP(-RiskFreeRate*TimeToExpiration)*_xlfn.NORM.DIST(T$2*(LN(Underlying/$H22)+(RiskFreeRate-DividendYield-0.5*S22^2)*TimeToExpiration)/(S22*TimeToExpiration^0.5), 0, 1, TRUE)
)</f>
        <v>15.36405847</v>
      </c>
      <c r="U22" s="53">
        <f t="shared" si="9"/>
        <v>0.001</v>
      </c>
      <c r="V22" s="51">
        <f t="shared" si="10"/>
        <v>0.75075</v>
      </c>
      <c r="W22" s="25">
        <f>W$2*(Underlying*EXP(-DividendYield*TimeToExpiration)*_xlfn.NORM.DIST(W$2*(LN(Underlying/$H22)+(RiskFreeRate-DividendYield+0.5*U22^2)*TimeToExpiration)/(U22*TimeToExpiration^0.5), 0, 1, TRUE) - 
       $H22*EXP(-RiskFreeRate*TimeToExpiration)*_xlfn.NORM.DIST(W$2*(LN(Underlying/$H22)+(RiskFreeRate-DividendYield-0.5*U22^2)*TimeToExpiration)/(U22*TimeToExpiration^0.5), 0, 1, TRUE)
)</f>
        <v>2.044278231</v>
      </c>
      <c r="X22" s="25">
        <f>X$2*(Underlying*EXP(-DividendYield*TimeToExpiration)*_xlfn.NORM.DIST(X$2*(LN(Underlying/$H22)+(RiskFreeRate-DividendYield+0.5*V22^2)*TimeToExpiration)/(V22*TimeToExpiration^0.5), 0, 1, TRUE) - 
       $H22*EXP(-RiskFreeRate*TimeToExpiration)*_xlfn.NORM.DIST(X$2*(LN(Underlying/$H22)+(RiskFreeRate-DividendYield-0.5*V22^2)*TimeToExpiration)/(V22*TimeToExpiration^0.5), 0, 1, TRUE)
)</f>
        <v>15.36405847</v>
      </c>
      <c r="Y22" s="51">
        <f t="shared" si="11"/>
        <v>0.375875</v>
      </c>
      <c r="Z22" s="52">
        <f>Z$2*(Underlying*EXP(-DividendYield*TimeToExpiration)*_xlfn.NORM.DIST(Z$2*(LN(Underlying/$H22)+(RiskFreeRate-DividendYield+0.5*Y22^2)*TimeToExpiration)/(Y22*TimeToExpiration^0.5), 0, 1, TRUE) - 
       $H22*EXP(-RiskFreeRate*TimeToExpiration)*_xlfn.NORM.DIST(Z$2*(LN(Underlying/$H22)+(RiskFreeRate-DividendYield-0.5*Y22^2)*TimeToExpiration)/(Y22*TimeToExpiration^0.5), 0, 1, TRUE)
)</f>
        <v>8.239871258</v>
      </c>
      <c r="AA22" s="53">
        <f t="shared" si="12"/>
        <v>0.001</v>
      </c>
      <c r="AB22" s="51">
        <f t="shared" si="13"/>
        <v>0.375875</v>
      </c>
      <c r="AC22" s="25">
        <f>AC$2*(Underlying*EXP(-DividendYield*TimeToExpiration)*_xlfn.NORM.DIST(AC$2*(LN(Underlying/$H22)+(RiskFreeRate-DividendYield+0.5*AA22^2)*TimeToExpiration)/(AA22*TimeToExpiration^0.5), 0, 1, TRUE) - 
       $H22*EXP(-RiskFreeRate*TimeToExpiration)*_xlfn.NORM.DIST(AC$2*(LN(Underlying/$H22)+(RiskFreeRate-DividendYield-0.5*AA22^2)*TimeToExpiration)/(AA22*TimeToExpiration^0.5), 0, 1, TRUE)
)</f>
        <v>2.044278231</v>
      </c>
      <c r="AD22" s="25">
        <f>AD$2*(Underlying*EXP(-DividendYield*TimeToExpiration)*_xlfn.NORM.DIST(AD$2*(LN(Underlying/$H22)+(RiskFreeRate-DividendYield+0.5*AB22^2)*TimeToExpiration)/(AB22*TimeToExpiration^0.5), 0, 1, TRUE) - 
       $H22*EXP(-RiskFreeRate*TimeToExpiration)*_xlfn.NORM.DIST(AD$2*(LN(Underlying/$H22)+(RiskFreeRate-DividendYield-0.5*AB22^2)*TimeToExpiration)/(AB22*TimeToExpiration^0.5), 0, 1, TRUE)
)</f>
        <v>8.239871258</v>
      </c>
      <c r="AE22" s="51">
        <f t="shared" si="14"/>
        <v>0.1884375</v>
      </c>
      <c r="AF22" s="52">
        <f>AF$2*(Underlying*EXP(-DividendYield*TimeToExpiration)*_xlfn.NORM.DIST(AF$2*(LN(Underlying/$H22)+(RiskFreeRate-DividendYield+0.5*AE22^2)*TimeToExpiration)/(AE22*TimeToExpiration^0.5), 0, 1, TRUE) - 
       $H22*EXP(-RiskFreeRate*TimeToExpiration)*_xlfn.NORM.DIST(AF$2*(LN(Underlying/$H22)+(RiskFreeRate-DividendYield-0.5*AE22^2)*TimeToExpiration)/(AE22*TimeToExpiration^0.5), 0, 1, TRUE)
)</f>
        <v>4.709797446</v>
      </c>
      <c r="AG22" s="51">
        <f t="shared" si="15"/>
        <v>0.1884375</v>
      </c>
      <c r="AH22" s="51">
        <f t="shared" si="16"/>
        <v>0.375875</v>
      </c>
      <c r="AI22" s="25">
        <f>AI$2*(Underlying*EXP(-DividendYield*TimeToExpiration)*_xlfn.NORM.DIST(AI$2*(LN(Underlying/$H22)+(RiskFreeRate-DividendYield+0.5*AG22^2)*TimeToExpiration)/(AG22*TimeToExpiration^0.5), 0, 1, TRUE) - 
       $H22*EXP(-RiskFreeRate*TimeToExpiration)*_xlfn.NORM.DIST(AI$2*(LN(Underlying/$H22)+(RiskFreeRate-DividendYield-0.5*AG22^2)*TimeToExpiration)/(AG22*TimeToExpiration^0.5), 0, 1, TRUE)
)</f>
        <v>4.709797446</v>
      </c>
      <c r="AJ22" s="25">
        <f>AJ$2*(Underlying*EXP(-DividendYield*TimeToExpiration)*_xlfn.NORM.DIST(AJ$2*(LN(Underlying/$H22)+(RiskFreeRate-DividendYield+0.5*AH22^2)*TimeToExpiration)/(AH22*TimeToExpiration^0.5), 0, 1, TRUE) - 
       $H22*EXP(-RiskFreeRate*TimeToExpiration)*_xlfn.NORM.DIST(AJ$2*(LN(Underlying/$H22)+(RiskFreeRate-DividendYield-0.5*AH22^2)*TimeToExpiration)/(AH22*TimeToExpiration^0.5), 0, 1, TRUE)
)</f>
        <v>8.239871258</v>
      </c>
      <c r="AK22" s="51">
        <f t="shared" si="17"/>
        <v>0.28215625</v>
      </c>
      <c r="AL22" s="52">
        <f>AL$2*(Underlying*EXP(-DividendYield*TimeToExpiration)*_xlfn.NORM.DIST(AL$2*(LN(Underlying/$H22)+(RiskFreeRate-DividendYield+0.5*AK22^2)*TimeToExpiration)/(AK22*TimeToExpiration^0.5), 0, 1, TRUE) - 
       $H22*EXP(-RiskFreeRate*TimeToExpiration)*_xlfn.NORM.DIST(AL$2*(LN(Underlying/$H22)+(RiskFreeRate-DividendYield-0.5*AK22^2)*TimeToExpiration)/(AK22*TimeToExpiration^0.5), 0, 1, TRUE)
)</f>
        <v>6.467397209</v>
      </c>
      <c r="AM22" s="51">
        <f t="shared" si="18"/>
        <v>0.28215625</v>
      </c>
      <c r="AN22" s="51">
        <f t="shared" si="19"/>
        <v>0.375875</v>
      </c>
      <c r="AO22" s="25">
        <f>AO$2*(Underlying*EXP(-DividendYield*TimeToExpiration)*_xlfn.NORM.DIST(AO$2*(LN(Underlying/$H22)+(RiskFreeRate-DividendYield+0.5*AM22^2)*TimeToExpiration)/(AM22*TimeToExpiration^0.5), 0, 1, TRUE) - 
       $H22*EXP(-RiskFreeRate*TimeToExpiration)*_xlfn.NORM.DIST(AO$2*(LN(Underlying/$H22)+(RiskFreeRate-DividendYield-0.5*AM22^2)*TimeToExpiration)/(AM22*TimeToExpiration^0.5), 0, 1, TRUE)
)</f>
        <v>6.467397209</v>
      </c>
      <c r="AP22" s="25">
        <f>AP$2*(Underlying*EXP(-DividendYield*TimeToExpiration)*_xlfn.NORM.DIST(AP$2*(LN(Underlying/$H22)+(RiskFreeRate-DividendYield+0.5*AN22^2)*TimeToExpiration)/(AN22*TimeToExpiration^0.5), 0, 1, TRUE) - 
       $H22*EXP(-RiskFreeRate*TimeToExpiration)*_xlfn.NORM.DIST(AP$2*(LN(Underlying/$H22)+(RiskFreeRate-DividendYield-0.5*AN22^2)*TimeToExpiration)/(AN22*TimeToExpiration^0.5), 0, 1, TRUE)
)</f>
        <v>8.239871258</v>
      </c>
      <c r="AQ22" s="51">
        <f t="shared" si="20"/>
        <v>0.329015625</v>
      </c>
      <c r="AR22" s="52">
        <f>AR$2*(Underlying*EXP(-DividendYield*TimeToExpiration)*_xlfn.NORM.DIST(AR$2*(LN(Underlying/$H22)+(RiskFreeRate-DividendYield+0.5*AQ22^2)*TimeToExpiration)/(AQ22*TimeToExpiration^0.5), 0, 1, TRUE) - 
       $H22*EXP(-RiskFreeRate*TimeToExpiration)*_xlfn.NORM.DIST(AR$2*(LN(Underlying/$H22)+(RiskFreeRate-DividendYield-0.5*AQ22^2)*TimeToExpiration)/(AQ22*TimeToExpiration^0.5), 0, 1, TRUE)
)</f>
        <v>7.352581452</v>
      </c>
      <c r="AS22" s="51">
        <f t="shared" si="21"/>
        <v>0.329015625</v>
      </c>
      <c r="AT22" s="51">
        <f t="shared" si="22"/>
        <v>0.375875</v>
      </c>
      <c r="AU22" s="25">
        <f>AU$2*(Underlying*EXP(-DividendYield*TimeToExpiration)*_xlfn.NORM.DIST(AU$2*(LN(Underlying/$H22)+(RiskFreeRate-DividendYield+0.5*AS22^2)*TimeToExpiration)/(AS22*TimeToExpiration^0.5), 0, 1, TRUE) - 
       $H22*EXP(-RiskFreeRate*TimeToExpiration)*_xlfn.NORM.DIST(AU$2*(LN(Underlying/$H22)+(RiskFreeRate-DividendYield-0.5*AS22^2)*TimeToExpiration)/(AS22*TimeToExpiration^0.5), 0, 1, TRUE)
)</f>
        <v>7.352581452</v>
      </c>
      <c r="AV22" s="25">
        <f>AV$2*(Underlying*EXP(-DividendYield*TimeToExpiration)*_xlfn.NORM.DIST(AV$2*(LN(Underlying/$H22)+(RiskFreeRate-DividendYield+0.5*AT22^2)*TimeToExpiration)/(AT22*TimeToExpiration^0.5), 0, 1, TRUE) - 
       $H22*EXP(-RiskFreeRate*TimeToExpiration)*_xlfn.NORM.DIST(AV$2*(LN(Underlying/$H22)+(RiskFreeRate-DividendYield-0.5*AT22^2)*TimeToExpiration)/(AT22*TimeToExpiration^0.5), 0, 1, TRUE)
)</f>
        <v>8.239871258</v>
      </c>
      <c r="AW22" s="51">
        <f t="shared" si="23"/>
        <v>0.3524453125</v>
      </c>
      <c r="AX22" s="52">
        <f>AX$2*(Underlying*EXP(-DividendYield*TimeToExpiration)*_xlfn.NORM.DIST(AX$2*(LN(Underlying/$H22)+(RiskFreeRate-DividendYield+0.5*AW22^2)*TimeToExpiration)/(AW22*TimeToExpiration^0.5), 0, 1, TRUE) - 
       $H22*EXP(-RiskFreeRate*TimeToExpiration)*_xlfn.NORM.DIST(AX$2*(LN(Underlying/$H22)+(RiskFreeRate-DividendYield-0.5*AW22^2)*TimeToExpiration)/(AW22*TimeToExpiration^0.5), 0, 1, TRUE)
)</f>
        <v>7.796017697</v>
      </c>
      <c r="AY22" s="51">
        <f t="shared" si="24"/>
        <v>0.3524453125</v>
      </c>
      <c r="AZ22" s="51">
        <f t="shared" si="25"/>
        <v>0.375875</v>
      </c>
      <c r="BA22" s="25">
        <f>BA$2*(Underlying*EXP(-DividendYield*TimeToExpiration)*_xlfn.NORM.DIST(BA$2*(LN(Underlying/$H22)+(RiskFreeRate-DividendYield+0.5*AY22^2)*TimeToExpiration)/(AY22*TimeToExpiration^0.5), 0, 1, TRUE) - 
       $H22*EXP(-RiskFreeRate*TimeToExpiration)*_xlfn.NORM.DIST(BA$2*(LN(Underlying/$H22)+(RiskFreeRate-DividendYield-0.5*AY22^2)*TimeToExpiration)/(AY22*TimeToExpiration^0.5), 0, 1, TRUE)
)</f>
        <v>7.796017697</v>
      </c>
      <c r="BB22" s="25">
        <f>BB$2*(Underlying*EXP(-DividendYield*TimeToExpiration)*_xlfn.NORM.DIST(BB$2*(LN(Underlying/$H22)+(RiskFreeRate-DividendYield+0.5*AZ22^2)*TimeToExpiration)/(AZ22*TimeToExpiration^0.5), 0, 1, TRUE) - 
       $H22*EXP(-RiskFreeRate*TimeToExpiration)*_xlfn.NORM.DIST(BB$2*(LN(Underlying/$H22)+(RiskFreeRate-DividendYield-0.5*AZ22^2)*TimeToExpiration)/(AZ22*TimeToExpiration^0.5), 0, 1, TRUE)
)</f>
        <v>8.239871258</v>
      </c>
      <c r="BC22" s="51">
        <f t="shared" si="26"/>
        <v>0.3641601563</v>
      </c>
      <c r="BD22" s="52">
        <f>BD$2*(Underlying*EXP(-DividendYield*TimeToExpiration)*_xlfn.NORM.DIST(BD$2*(LN(Underlying/$H22)+(RiskFreeRate-DividendYield+0.5*BC22^2)*TimeToExpiration)/(BC22*TimeToExpiration^0.5), 0, 1, TRUE) - 
       $H22*EXP(-RiskFreeRate*TimeToExpiration)*_xlfn.NORM.DIST(BD$2*(LN(Underlying/$H22)+(RiskFreeRate-DividendYield-0.5*BC22^2)*TimeToExpiration)/(BC22*TimeToExpiration^0.5), 0, 1, TRUE)
)</f>
        <v>8.017897622</v>
      </c>
      <c r="BE22" s="51">
        <f t="shared" si="27"/>
        <v>0.3641601563</v>
      </c>
      <c r="BF22" s="51">
        <f t="shared" si="28"/>
        <v>0.375875</v>
      </c>
      <c r="BG22" s="25">
        <f>BG$2*(Underlying*EXP(-DividendYield*TimeToExpiration)*_xlfn.NORM.DIST(BG$2*(LN(Underlying/$H22)+(RiskFreeRate-DividendYield+0.5*BE22^2)*TimeToExpiration)/(BE22*TimeToExpiration^0.5), 0, 1, TRUE) - 
       $H22*EXP(-RiskFreeRate*TimeToExpiration)*_xlfn.NORM.DIST(BG$2*(LN(Underlying/$H22)+(RiskFreeRate-DividendYield-0.5*BE22^2)*TimeToExpiration)/(BE22*TimeToExpiration^0.5), 0, 1, TRUE)
)</f>
        <v>8.017897622</v>
      </c>
      <c r="BH22" s="25">
        <f>BH$2*(Underlying*EXP(-DividendYield*TimeToExpiration)*_xlfn.NORM.DIST(BH$2*(LN(Underlying/$H22)+(RiskFreeRate-DividendYield+0.5*BF22^2)*TimeToExpiration)/(BF22*TimeToExpiration^0.5), 0, 1, TRUE) - 
       $H22*EXP(-RiskFreeRate*TimeToExpiration)*_xlfn.NORM.DIST(BH$2*(LN(Underlying/$H22)+(RiskFreeRate-DividendYield-0.5*BF22^2)*TimeToExpiration)/(BF22*TimeToExpiration^0.5), 0, 1, TRUE)
)</f>
        <v>8.239871258</v>
      </c>
      <c r="BI22" s="51">
        <f t="shared" si="29"/>
        <v>0.3700175781</v>
      </c>
      <c r="BJ22" s="52">
        <f>BJ$2*(Underlying*EXP(-DividendYield*TimeToExpiration)*_xlfn.NORM.DIST(BJ$2*(LN(Underlying/$H22)+(RiskFreeRate-DividendYield+0.5*BI22^2)*TimeToExpiration)/(BI22*TimeToExpiration^0.5), 0, 1, TRUE) - 
       $H22*EXP(-RiskFreeRate*TimeToExpiration)*_xlfn.NORM.DIST(BJ$2*(LN(Underlying/$H22)+(RiskFreeRate-DividendYield-0.5*BI22^2)*TimeToExpiration)/(BI22*TimeToExpiration^0.5), 0, 1, TRUE)
)</f>
        <v>8.128873317</v>
      </c>
      <c r="BK22" s="51">
        <f t="shared" si="30"/>
        <v>0.3641601563</v>
      </c>
      <c r="BL22" s="51">
        <f t="shared" si="31"/>
        <v>0.3700175781</v>
      </c>
      <c r="BM22" s="25">
        <f>BM$2*(Underlying*EXP(-DividendYield*TimeToExpiration)*_xlfn.NORM.DIST(BM$2*(LN(Underlying/$H22)+(RiskFreeRate-DividendYield+0.5*BK22^2)*TimeToExpiration)/(BK22*TimeToExpiration^0.5), 0, 1, TRUE) - 
       $H22*EXP(-RiskFreeRate*TimeToExpiration)*_xlfn.NORM.DIST(BM$2*(LN(Underlying/$H22)+(RiskFreeRate-DividendYield-0.5*BK22^2)*TimeToExpiration)/(BK22*TimeToExpiration^0.5), 0, 1, TRUE)
)</f>
        <v>8.017897622</v>
      </c>
      <c r="BN22" s="25">
        <f>BN$2*(Underlying*EXP(-DividendYield*TimeToExpiration)*_xlfn.NORM.DIST(BN$2*(LN(Underlying/$H22)+(RiskFreeRate-DividendYield+0.5*BL22^2)*TimeToExpiration)/(BL22*TimeToExpiration^0.5), 0, 1, TRUE) - 
       $H22*EXP(-RiskFreeRate*TimeToExpiration)*_xlfn.NORM.DIST(BN$2*(LN(Underlying/$H22)+(RiskFreeRate-DividendYield-0.5*BL22^2)*TimeToExpiration)/(BL22*TimeToExpiration^0.5), 0, 1, TRUE)
)</f>
        <v>8.128873317</v>
      </c>
      <c r="BO22" s="51">
        <f t="shared" si="32"/>
        <v>0.3670888672</v>
      </c>
      <c r="BP22" s="52">
        <f>BP$2*(Underlying*EXP(-DividendYield*TimeToExpiration)*_xlfn.NORM.DIST(BP$2*(LN(Underlying/$H22)+(RiskFreeRate-DividendYield+0.5*BO22^2)*TimeToExpiration)/(BO22*TimeToExpiration^0.5), 0, 1, TRUE) - 
       $H22*EXP(-RiskFreeRate*TimeToExpiration)*_xlfn.NORM.DIST(BP$2*(LN(Underlying/$H22)+(RiskFreeRate-DividendYield-0.5*BO22^2)*TimeToExpiration)/(BO22*TimeToExpiration^0.5), 0, 1, TRUE)
)</f>
        <v>8.073382618</v>
      </c>
      <c r="BQ22" s="51">
        <f t="shared" si="33"/>
        <v>0.3641601563</v>
      </c>
      <c r="BR22" s="51">
        <f t="shared" si="34"/>
        <v>0.3670888672</v>
      </c>
      <c r="BS22" s="25">
        <f>BS$2*(Underlying*EXP(-DividendYield*TimeToExpiration)*_xlfn.NORM.DIST(BS$2*(LN(Underlying/$H22)+(RiskFreeRate-DividendYield+0.5*BQ22^2)*TimeToExpiration)/(BQ22*TimeToExpiration^0.5), 0, 1, TRUE) - 
       $H22*EXP(-RiskFreeRate*TimeToExpiration)*_xlfn.NORM.DIST(BS$2*(LN(Underlying/$H22)+(RiskFreeRate-DividendYield-0.5*BQ22^2)*TimeToExpiration)/(BQ22*TimeToExpiration^0.5), 0, 1, TRUE)
)</f>
        <v>8.017897622</v>
      </c>
      <c r="BT22" s="25">
        <f>BT$2*(Underlying*EXP(-DividendYield*TimeToExpiration)*_xlfn.NORM.DIST(BT$2*(LN(Underlying/$H22)+(RiskFreeRate-DividendYield+0.5*BR22^2)*TimeToExpiration)/(BR22*TimeToExpiration^0.5), 0, 1, TRUE) - 
       $H22*EXP(-RiskFreeRate*TimeToExpiration)*_xlfn.NORM.DIST(BT$2*(LN(Underlying/$H22)+(RiskFreeRate-DividendYield-0.5*BR22^2)*TimeToExpiration)/(BR22*TimeToExpiration^0.5), 0, 1, TRUE)
)</f>
        <v>8.073382618</v>
      </c>
      <c r="BU22" s="51">
        <f t="shared" si="35"/>
        <v>0.3656245117</v>
      </c>
      <c r="BV22" s="52">
        <f>BV$2*(Underlying*EXP(-DividendYield*TimeToExpiration)*_xlfn.NORM.DIST(BV$2*(LN(Underlying/$H22)+(RiskFreeRate-DividendYield+0.5*BU22^2)*TimeToExpiration)/(BU22*TimeToExpiration^0.5), 0, 1, TRUE) - 
       $H22*EXP(-RiskFreeRate*TimeToExpiration)*_xlfn.NORM.DIST(BV$2*(LN(Underlying/$H22)+(RiskFreeRate-DividendYield-0.5*BU22^2)*TimeToExpiration)/(BU22*TimeToExpiration^0.5), 0, 1, TRUE)
)</f>
        <v>8.045639398</v>
      </c>
      <c r="BW22" s="51">
        <f t="shared" si="36"/>
        <v>0.3656245117</v>
      </c>
      <c r="BX22" s="51">
        <f t="shared" si="37"/>
        <v>0.3670888672</v>
      </c>
      <c r="BY22" s="25">
        <f>BY$2*(Underlying*EXP(-DividendYield*TimeToExpiration)*_xlfn.NORM.DIST(BY$2*(LN(Underlying/$H22)+(RiskFreeRate-DividendYield+0.5*BW22^2)*TimeToExpiration)/(BW22*TimeToExpiration^0.5), 0, 1, TRUE) - 
       $H22*EXP(-RiskFreeRate*TimeToExpiration)*_xlfn.NORM.DIST(BY$2*(LN(Underlying/$H22)+(RiskFreeRate-DividendYield-0.5*BW22^2)*TimeToExpiration)/(BW22*TimeToExpiration^0.5), 0, 1, TRUE)
)</f>
        <v>8.045639398</v>
      </c>
      <c r="BZ22" s="25">
        <f>BZ$2*(Underlying*EXP(-DividendYield*TimeToExpiration)*_xlfn.NORM.DIST(BZ$2*(LN(Underlying/$H22)+(RiskFreeRate-DividendYield+0.5*BX22^2)*TimeToExpiration)/(BX22*TimeToExpiration^0.5), 0, 1, TRUE) - 
       $H22*EXP(-RiskFreeRate*TimeToExpiration)*_xlfn.NORM.DIST(BZ$2*(LN(Underlying/$H22)+(RiskFreeRate-DividendYield-0.5*BX22^2)*TimeToExpiration)/(BX22*TimeToExpiration^0.5), 0, 1, TRUE)
)</f>
        <v>8.073382618</v>
      </c>
      <c r="CA22" s="51">
        <f t="shared" si="38"/>
        <v>0.3663566895</v>
      </c>
      <c r="CB22" s="52">
        <f>CB$2*(Underlying*EXP(-DividendYield*TimeToExpiration)*_xlfn.NORM.DIST(CB$2*(LN(Underlying/$H22)+(RiskFreeRate-DividendYield+0.5*CA22^2)*TimeToExpiration)/(CA22*TimeToExpiration^0.5), 0, 1, TRUE) - 
       $H22*EXP(-RiskFreeRate*TimeToExpiration)*_xlfn.NORM.DIST(CB$2*(LN(Underlying/$H22)+(RiskFreeRate-DividendYield-0.5*CA22^2)*TimeToExpiration)/(CA22*TimeToExpiration^0.5), 0, 1, TRUE)
)</f>
        <v>8.059510828</v>
      </c>
      <c r="CC22" s="51">
        <f t="shared" si="39"/>
        <v>0.3656245117</v>
      </c>
      <c r="CD22" s="51">
        <f t="shared" si="40"/>
        <v>0.3663566895</v>
      </c>
      <c r="CE22" s="25">
        <f>CE$2*(Underlying*EXP(-DividendYield*TimeToExpiration)*_xlfn.NORM.DIST(CE$2*(LN(Underlying/$H22)+(RiskFreeRate-DividendYield+0.5*CC22^2)*TimeToExpiration)/(CC22*TimeToExpiration^0.5), 0, 1, TRUE) - 
       $H22*EXP(-RiskFreeRate*TimeToExpiration)*_xlfn.NORM.DIST(CE$2*(LN(Underlying/$H22)+(RiskFreeRate-DividendYield-0.5*CC22^2)*TimeToExpiration)/(CC22*TimeToExpiration^0.5), 0, 1, TRUE)
)</f>
        <v>8.045639398</v>
      </c>
      <c r="CF22" s="25">
        <f>CF$2*(Underlying*EXP(-DividendYield*TimeToExpiration)*_xlfn.NORM.DIST(CF$2*(LN(Underlying/$H22)+(RiskFreeRate-DividendYield+0.5*CD22^2)*TimeToExpiration)/(CD22*TimeToExpiration^0.5), 0, 1, TRUE) - 
       $H22*EXP(-RiskFreeRate*TimeToExpiration)*_xlfn.NORM.DIST(CF$2*(LN(Underlying/$H22)+(RiskFreeRate-DividendYield-0.5*CD22^2)*TimeToExpiration)/(CD22*TimeToExpiration^0.5), 0, 1, TRUE)
)</f>
        <v>8.059510828</v>
      </c>
      <c r="CG22" s="51">
        <f t="shared" si="41"/>
        <v>0.3659906006</v>
      </c>
      <c r="CH22" s="52">
        <f>CH$2*(Underlying*EXP(-DividendYield*TimeToExpiration)*_xlfn.NORM.DIST(CH$2*(LN(Underlying/$H22)+(RiskFreeRate-DividendYield+0.5*CG22^2)*TimeToExpiration)/(CG22*TimeToExpiration^0.5), 0, 1, TRUE) - 
       $H22*EXP(-RiskFreeRate*TimeToExpiration)*_xlfn.NORM.DIST(CH$2*(LN(Underlying/$H22)+(RiskFreeRate-DividendYield-0.5*CG22^2)*TimeToExpiration)/(CG22*TimeToExpiration^0.5), 0, 1, TRUE)
)</f>
        <v>8.052575068</v>
      </c>
      <c r="CI22" s="51">
        <f t="shared" si="42"/>
        <v>0.3656245117</v>
      </c>
      <c r="CJ22" s="51">
        <f t="shared" si="43"/>
        <v>0.3659906006</v>
      </c>
      <c r="CK22" s="25">
        <f>CK$2*(Underlying*EXP(-DividendYield*TimeToExpiration)*_xlfn.NORM.DIST(CK$2*(LN(Underlying/$H22)+(RiskFreeRate-DividendYield+0.5*CI22^2)*TimeToExpiration)/(CI22*TimeToExpiration^0.5), 0, 1, TRUE) - 
       $H22*EXP(-RiskFreeRate*TimeToExpiration)*_xlfn.NORM.DIST(CK$2*(LN(Underlying/$H22)+(RiskFreeRate-DividendYield-0.5*CI22^2)*TimeToExpiration)/(CI22*TimeToExpiration^0.5), 0, 1, TRUE)
)</f>
        <v>8.045639398</v>
      </c>
      <c r="CL22" s="25">
        <f>CL$2*(Underlying*EXP(-DividendYield*TimeToExpiration)*_xlfn.NORM.DIST(CL$2*(LN(Underlying/$H22)+(RiskFreeRate-DividendYield+0.5*CJ22^2)*TimeToExpiration)/(CJ22*TimeToExpiration^0.5), 0, 1, TRUE) - 
       $H22*EXP(-RiskFreeRate*TimeToExpiration)*_xlfn.NORM.DIST(CL$2*(LN(Underlying/$H22)+(RiskFreeRate-DividendYield-0.5*CJ22^2)*TimeToExpiration)/(CJ22*TimeToExpiration^0.5), 0, 1, TRUE)
)</f>
        <v>8.052575068</v>
      </c>
      <c r="CM22" s="51">
        <f t="shared" si="44"/>
        <v>0.3658075562</v>
      </c>
      <c r="CN22" s="52">
        <f>CN$2*(Underlying*EXP(-DividendYield*TimeToExpiration)*_xlfn.NORM.DIST(CN$2*(LN(Underlying/$H22)+(RiskFreeRate-DividendYield+0.5*CM22^2)*TimeToExpiration)/(CM22*TimeToExpiration^0.5), 0, 1, TRUE) - 
       $H22*EXP(-RiskFreeRate*TimeToExpiration)*_xlfn.NORM.DIST(CN$2*(LN(Underlying/$H22)+(RiskFreeRate-DividendYield-0.5*CM22^2)*TimeToExpiration)/(CM22*TimeToExpiration^0.5), 0, 1, TRUE)
)</f>
        <v>8.049107222</v>
      </c>
      <c r="CO22" s="51">
        <f t="shared" si="45"/>
        <v>0.3658075562</v>
      </c>
      <c r="CP22" s="51">
        <f t="shared" si="46"/>
        <v>0.3659906006</v>
      </c>
      <c r="CQ22" s="25">
        <f>CQ$2*(Underlying*EXP(-DividendYield*TimeToExpiration)*_xlfn.NORM.DIST(CQ$2*(LN(Underlying/$H22)+(RiskFreeRate-DividendYield+0.5*CO22^2)*TimeToExpiration)/(CO22*TimeToExpiration^0.5), 0, 1, TRUE) - 
       $H22*EXP(-RiskFreeRate*TimeToExpiration)*_xlfn.NORM.DIST(CQ$2*(LN(Underlying/$H22)+(RiskFreeRate-DividendYield-0.5*CO22^2)*TimeToExpiration)/(CO22*TimeToExpiration^0.5), 0, 1, TRUE)
)</f>
        <v>8.049107222</v>
      </c>
      <c r="CR22" s="25">
        <f>CR$2*(Underlying*EXP(-DividendYield*TimeToExpiration)*_xlfn.NORM.DIST(CR$2*(LN(Underlying/$H22)+(RiskFreeRate-DividendYield+0.5*CP22^2)*TimeToExpiration)/(CP22*TimeToExpiration^0.5), 0, 1, TRUE) - 
       $H22*EXP(-RiskFreeRate*TimeToExpiration)*_xlfn.NORM.DIST(CR$2*(LN(Underlying/$H22)+(RiskFreeRate-DividendYield-0.5*CP22^2)*TimeToExpiration)/(CP22*TimeToExpiration^0.5), 0, 1, TRUE)
)</f>
        <v>8.052575068</v>
      </c>
      <c r="CS22" s="51">
        <f t="shared" si="47"/>
        <v>0.3658990784</v>
      </c>
      <c r="CT22" s="52">
        <f>CT$2*(Underlying*EXP(-DividendYield*TimeToExpiration)*_xlfn.NORM.DIST(CT$2*(LN(Underlying/$H22)+(RiskFreeRate-DividendYield+0.5*CS22^2)*TimeToExpiration)/(CS22*TimeToExpiration^0.5), 0, 1, TRUE) - 
       $H22*EXP(-RiskFreeRate*TimeToExpiration)*_xlfn.NORM.DIST(CT$2*(LN(Underlying/$H22)+(RiskFreeRate-DividendYield-0.5*CS22^2)*TimeToExpiration)/(CS22*TimeToExpiration^0.5), 0, 1, TRUE)
)</f>
        <v>8.050841142</v>
      </c>
      <c r="CU22" s="51">
        <f t="shared" si="48"/>
        <v>0.3658075562</v>
      </c>
      <c r="CV22" s="51">
        <f t="shared" si="49"/>
        <v>0.3658990784</v>
      </c>
      <c r="CW22" s="25">
        <f>CW$2*(Underlying*EXP(-DividendYield*TimeToExpiration)*_xlfn.NORM.DIST(CW$2*(LN(Underlying/$H22)+(RiskFreeRate-DividendYield+0.5*CU22^2)*TimeToExpiration)/(CU22*TimeToExpiration^0.5), 0, 1, TRUE) - 
       $H22*EXP(-RiskFreeRate*TimeToExpiration)*_xlfn.NORM.DIST(CW$2*(LN(Underlying/$H22)+(RiskFreeRate-DividendYield-0.5*CU22^2)*TimeToExpiration)/(CU22*TimeToExpiration^0.5), 0, 1, TRUE)
)</f>
        <v>8.049107222</v>
      </c>
      <c r="CX22" s="25">
        <f>CX$2*(Underlying*EXP(-DividendYield*TimeToExpiration)*_xlfn.NORM.DIST(CX$2*(LN(Underlying/$H22)+(RiskFreeRate-DividendYield+0.5*CV22^2)*TimeToExpiration)/(CV22*TimeToExpiration^0.5), 0, 1, TRUE) - 
       $H22*EXP(-RiskFreeRate*TimeToExpiration)*_xlfn.NORM.DIST(CX$2*(LN(Underlying/$H22)+(RiskFreeRate-DividendYield-0.5*CV22^2)*TimeToExpiration)/(CV22*TimeToExpiration^0.5), 0, 1, TRUE)
)</f>
        <v>8.050841142</v>
      </c>
      <c r="CY22" s="51">
        <f t="shared" si="50"/>
        <v>0.3658533173</v>
      </c>
      <c r="CZ22" s="52">
        <f>CZ$2*(Underlying*EXP(-DividendYield*TimeToExpiration)*_xlfn.NORM.DIST(CZ$2*(LN(Underlying/$H22)+(RiskFreeRate-DividendYield+0.5*CY22^2)*TimeToExpiration)/(CY22*TimeToExpiration^0.5), 0, 1, TRUE) - 
       $H22*EXP(-RiskFreeRate*TimeToExpiration)*_xlfn.NORM.DIST(CZ$2*(LN(Underlying/$H22)+(RiskFreeRate-DividendYield-0.5*CY22^2)*TimeToExpiration)/(CY22*TimeToExpiration^0.5), 0, 1, TRUE)
)</f>
        <v>8.049974181</v>
      </c>
      <c r="DA22" s="51">
        <f t="shared" si="51"/>
        <v>0.3658533173</v>
      </c>
      <c r="DB22" s="51">
        <f t="shared" si="52"/>
        <v>0.3658990784</v>
      </c>
      <c r="DC22" s="25">
        <f>DC$2*(Underlying*EXP(-DividendYield*TimeToExpiration)*_xlfn.NORM.DIST(DC$2*(LN(Underlying/$H22)+(RiskFreeRate-DividendYield+0.5*DA22^2)*TimeToExpiration)/(DA22*TimeToExpiration^0.5), 0, 1, TRUE) - 
       $H22*EXP(-RiskFreeRate*TimeToExpiration)*_xlfn.NORM.DIST(DC$2*(LN(Underlying/$H22)+(RiskFreeRate-DividendYield-0.5*DA22^2)*TimeToExpiration)/(DA22*TimeToExpiration^0.5), 0, 1, TRUE)
)</f>
        <v>8.049974181</v>
      </c>
      <c r="DD22" s="25">
        <f>DD$2*(Underlying*EXP(-DividendYield*TimeToExpiration)*_xlfn.NORM.DIST(DD$2*(LN(Underlying/$H22)+(RiskFreeRate-DividendYield+0.5*DB22^2)*TimeToExpiration)/(DB22*TimeToExpiration^0.5), 0, 1, TRUE) - 
       $H22*EXP(-RiskFreeRate*TimeToExpiration)*_xlfn.NORM.DIST(DD$2*(LN(Underlying/$H22)+(RiskFreeRate-DividendYield-0.5*DB22^2)*TimeToExpiration)/(DB22*TimeToExpiration^0.5), 0, 1, TRUE)
)</f>
        <v>8.050841142</v>
      </c>
      <c r="DE22" s="51">
        <f t="shared" si="53"/>
        <v>0.3658761978</v>
      </c>
      <c r="DF22" s="52">
        <f>DF$2*(Underlying*EXP(-DividendYield*TimeToExpiration)*_xlfn.NORM.DIST(DF$2*(LN(Underlying/$H22)+(RiskFreeRate-DividendYield+0.5*DE22^2)*TimeToExpiration)/(DE22*TimeToExpiration^0.5), 0, 1, TRUE) - 
       $H22*EXP(-RiskFreeRate*TimeToExpiration)*_xlfn.NORM.DIST(DF$2*(LN(Underlying/$H22)+(RiskFreeRate-DividendYield-0.5*DE22^2)*TimeToExpiration)/(DE22*TimeToExpiration^0.5), 0, 1, TRUE)
)</f>
        <v>8.050407661</v>
      </c>
    </row>
    <row r="23">
      <c r="A23" s="20">
        <f>'Option Mkt Data'!A23</f>
        <v>340</v>
      </c>
      <c r="B23" s="35">
        <f t="shared" ref="B23:C23" si="70">DE23</f>
        <v>0.3655101089</v>
      </c>
      <c r="C23" s="7">
        <f t="shared" si="70"/>
        <v>6.775037674</v>
      </c>
      <c r="D23" s="7">
        <f t="shared" si="3"/>
        <v>0.0000375784229</v>
      </c>
      <c r="E23" s="9">
        <f t="shared" si="4"/>
        <v>0.000005546630608</v>
      </c>
      <c r="F23" s="36">
        <f>D23/'Option Mkt Data'!L23</f>
        <v>0.0007515655869</v>
      </c>
      <c r="G23" s="5">
        <f>'Option Mkt Data'!J23</f>
        <v>6.775000096</v>
      </c>
      <c r="H23" s="33">
        <f>'Option Mkt Data'!A23</f>
        <v>340</v>
      </c>
      <c r="I23" s="37">
        <f>MinSolverVola</f>
        <v>0.001</v>
      </c>
      <c r="J23" s="38">
        <f>MaxSolverVola</f>
        <v>3</v>
      </c>
      <c r="K23" s="39">
        <f>K$2*(Underlying*EXP(-DividendYield*TimeToExpiration)*_xlfn.NORM.DIST(K$2*(LN(Underlying/$H23)+(RiskFreeRate-DividendYield+0.5*I23^2)*TimeToExpiration)/(I23*TimeToExpiration^0.5), 0, 1, TRUE) - 
       $H23*EXP(-RiskFreeRate*TimeToExpiration)*_xlfn.NORM.DIST(K$2*(LN(Underlying/$H23)+(RiskFreeRate-DividendYield-0.5*I23^2)*TimeToExpiration)/(I23*TimeToExpiration^0.5), 0, 1, TRUE)
)</f>
        <v>0</v>
      </c>
      <c r="L23" s="7">
        <f>L$2*(Underlying*EXP(-DividendYield*TimeToExpiration)*_xlfn.NORM.DIST(L$2*(LN(Underlying/$H23)+(RiskFreeRate-DividendYield+0.5*J23^2)*TimeToExpiration)/(J23*TimeToExpiration^0.5), 0, 1, TRUE) - 
       $H23*EXP(-RiskFreeRate*TimeToExpiration)*_xlfn.NORM.DIST(L$2*(LN(Underlying/$H23)+(RiskFreeRate-DividendYield-0.5*J23^2)*TimeToExpiration)/(J23*TimeToExpiration^0.5), 0, 1, TRUE)
)</f>
        <v>56.80152813</v>
      </c>
      <c r="M23" s="40">
        <f t="shared" si="5"/>
        <v>1.5005</v>
      </c>
      <c r="N23" s="8">
        <f>N$2*(Underlying*EXP(-DividendYield*TimeToExpiration)*_xlfn.NORM.DIST(N$2*(LN(Underlying/$H23)+(RiskFreeRate-DividendYield+0.5*M23^2)*TimeToExpiration)/(M23*TimeToExpiration^0.5), 0, 1, TRUE) - 
       $H23*EXP(-RiskFreeRate*TimeToExpiration)*_xlfn.NORM.DIST(N$2*(LN(Underlying/$H23)+(RiskFreeRate-DividendYield-0.5*M23^2)*TimeToExpiration)/(M23*TimeToExpiration^0.5), 0, 1, TRUE)
)</f>
        <v>28.45755185</v>
      </c>
      <c r="O23" s="41">
        <f t="shared" si="6"/>
        <v>0.001</v>
      </c>
      <c r="P23" s="40">
        <f t="shared" si="7"/>
        <v>1.5005</v>
      </c>
      <c r="Q23" s="7">
        <f>Q$2*(Underlying*EXP(-DividendYield*TimeToExpiration)*_xlfn.NORM.DIST(Q$2*(LN(Underlying/$H23)+(RiskFreeRate-DividendYield+0.5*O23^2)*TimeToExpiration)/(O23*TimeToExpiration^0.5), 0, 1, TRUE) - 
       $H23*EXP(-RiskFreeRate*TimeToExpiration)*_xlfn.NORM.DIST(Q$2*(LN(Underlying/$H23)+(RiskFreeRate-DividendYield-0.5*O23^2)*TimeToExpiration)/(O23*TimeToExpiration^0.5), 0, 1, TRUE))</f>
        <v>0</v>
      </c>
      <c r="R23" s="7">
        <f>R$2*(Underlying*EXP(-DividendYield*TimeToExpiration)*_xlfn.NORM.DIST(R$2*(LN(Underlying/$H23)+(RiskFreeRate-DividendYield+0.5*P23^2)*TimeToExpiration)/(P23*TimeToExpiration^0.5), 0, 1, TRUE) - 
       $H23*EXP(-RiskFreeRate*TimeToExpiration)*_xlfn.NORM.DIST(R$2*(LN(Underlying/$H23)+(RiskFreeRate-DividendYield-0.5*P23^2)*TimeToExpiration)/(P23*TimeToExpiration^0.5), 0, 1, TRUE)
)</f>
        <v>28.45755185</v>
      </c>
      <c r="S23" s="40">
        <f t="shared" si="8"/>
        <v>0.75075</v>
      </c>
      <c r="T23" s="8">
        <f>T$2*(Underlying*EXP(-DividendYield*TimeToExpiration)*_xlfn.NORM.DIST(T$2*(LN(Underlying/$H23)+(RiskFreeRate-DividendYield+0.5*S23^2)*TimeToExpiration)/(S23*TimeToExpiration^0.5), 0, 1, TRUE) - 
       $H23*EXP(-RiskFreeRate*TimeToExpiration)*_xlfn.NORM.DIST(T$2*(LN(Underlying/$H23)+(RiskFreeRate-DividendYield-0.5*S23^2)*TimeToExpiration)/(S23*TimeToExpiration^0.5), 0, 1, TRUE)
)</f>
        <v>14.14598163</v>
      </c>
      <c r="U23" s="41">
        <f t="shared" si="9"/>
        <v>0.001</v>
      </c>
      <c r="V23" s="40">
        <f t="shared" si="10"/>
        <v>0.75075</v>
      </c>
      <c r="W23" s="7">
        <f>W$2*(Underlying*EXP(-DividendYield*TimeToExpiration)*_xlfn.NORM.DIST(W$2*(LN(Underlying/$H23)+(RiskFreeRate-DividendYield+0.5*U23^2)*TimeToExpiration)/(U23*TimeToExpiration^0.5), 0, 1, TRUE) - 
       $H23*EXP(-RiskFreeRate*TimeToExpiration)*_xlfn.NORM.DIST(W$2*(LN(Underlying/$H23)+(RiskFreeRate-DividendYield-0.5*U23^2)*TimeToExpiration)/(U23*TimeToExpiration^0.5), 0, 1, TRUE)
)</f>
        <v>0</v>
      </c>
      <c r="X23" s="7">
        <f>X$2*(Underlying*EXP(-DividendYield*TimeToExpiration)*_xlfn.NORM.DIST(X$2*(LN(Underlying/$H23)+(RiskFreeRate-DividendYield+0.5*V23^2)*TimeToExpiration)/(V23*TimeToExpiration^0.5), 0, 1, TRUE) - 
       $H23*EXP(-RiskFreeRate*TimeToExpiration)*_xlfn.NORM.DIST(X$2*(LN(Underlying/$H23)+(RiskFreeRate-DividendYield-0.5*V23^2)*TimeToExpiration)/(V23*TimeToExpiration^0.5), 0, 1, TRUE)
)</f>
        <v>14.14598163</v>
      </c>
      <c r="Y23" s="40">
        <f t="shared" si="11"/>
        <v>0.375875</v>
      </c>
      <c r="Z23" s="8">
        <f>Z$2*(Underlying*EXP(-DividendYield*TimeToExpiration)*_xlfn.NORM.DIST(Z$2*(LN(Underlying/$H23)+(RiskFreeRate-DividendYield+0.5*Y23^2)*TimeToExpiration)/(Y23*TimeToExpiration^0.5), 0, 1, TRUE) - 
       $H23*EXP(-RiskFreeRate*TimeToExpiration)*_xlfn.NORM.DIST(Z$2*(LN(Underlying/$H23)+(RiskFreeRate-DividendYield-0.5*Y23^2)*TimeToExpiration)/(Y23*TimeToExpiration^0.5), 0, 1, TRUE)
)</f>
        <v>6.973413416</v>
      </c>
      <c r="AA23" s="41">
        <f t="shared" si="12"/>
        <v>0.001</v>
      </c>
      <c r="AB23" s="40">
        <f t="shared" si="13"/>
        <v>0.375875</v>
      </c>
      <c r="AC23" s="7">
        <f>AC$2*(Underlying*EXP(-DividendYield*TimeToExpiration)*_xlfn.NORM.DIST(AC$2*(LN(Underlying/$H23)+(RiskFreeRate-DividendYield+0.5*AA23^2)*TimeToExpiration)/(AA23*TimeToExpiration^0.5), 0, 1, TRUE) - 
       $H23*EXP(-RiskFreeRate*TimeToExpiration)*_xlfn.NORM.DIST(AC$2*(LN(Underlying/$H23)+(RiskFreeRate-DividendYield-0.5*AA23^2)*TimeToExpiration)/(AA23*TimeToExpiration^0.5), 0, 1, TRUE)
)</f>
        <v>0</v>
      </c>
      <c r="AD23" s="7">
        <f>AD$2*(Underlying*EXP(-DividendYield*TimeToExpiration)*_xlfn.NORM.DIST(AD$2*(LN(Underlying/$H23)+(RiskFreeRate-DividendYield+0.5*AB23^2)*TimeToExpiration)/(AB23*TimeToExpiration^0.5), 0, 1, TRUE) - 
       $H23*EXP(-RiskFreeRate*TimeToExpiration)*_xlfn.NORM.DIST(AD$2*(LN(Underlying/$H23)+(RiskFreeRate-DividendYield-0.5*AB23^2)*TimeToExpiration)/(AB23*TimeToExpiration^0.5), 0, 1, TRUE)
)</f>
        <v>6.973413416</v>
      </c>
      <c r="AE23" s="40">
        <f t="shared" si="14"/>
        <v>0.1884375</v>
      </c>
      <c r="AF23" s="8">
        <f>AF$2*(Underlying*EXP(-DividendYield*TimeToExpiration)*_xlfn.NORM.DIST(AF$2*(LN(Underlying/$H23)+(RiskFreeRate-DividendYield+0.5*AE23^2)*TimeToExpiration)/(AE23*TimeToExpiration^0.5), 0, 1, TRUE) - 
       $H23*EXP(-RiskFreeRate*TimeToExpiration)*_xlfn.NORM.DIST(AF$2*(LN(Underlying/$H23)+(RiskFreeRate-DividendYield-0.5*AE23^2)*TimeToExpiration)/(AE23*TimeToExpiration^0.5), 0, 1, TRUE)
)</f>
        <v>3.386611997</v>
      </c>
      <c r="AG23" s="40">
        <f t="shared" si="15"/>
        <v>0.1884375</v>
      </c>
      <c r="AH23" s="40">
        <f t="shared" si="16"/>
        <v>0.375875</v>
      </c>
      <c r="AI23" s="7">
        <f>AI$2*(Underlying*EXP(-DividendYield*TimeToExpiration)*_xlfn.NORM.DIST(AI$2*(LN(Underlying/$H23)+(RiskFreeRate-DividendYield+0.5*AG23^2)*TimeToExpiration)/(AG23*TimeToExpiration^0.5), 0, 1, TRUE) - 
       $H23*EXP(-RiskFreeRate*TimeToExpiration)*_xlfn.NORM.DIST(AI$2*(LN(Underlying/$H23)+(RiskFreeRate-DividendYield-0.5*AG23^2)*TimeToExpiration)/(AG23*TimeToExpiration^0.5), 0, 1, TRUE)
)</f>
        <v>3.386611997</v>
      </c>
      <c r="AJ23" s="7">
        <f>AJ$2*(Underlying*EXP(-DividendYield*TimeToExpiration)*_xlfn.NORM.DIST(AJ$2*(LN(Underlying/$H23)+(RiskFreeRate-DividendYield+0.5*AH23^2)*TimeToExpiration)/(AH23*TimeToExpiration^0.5), 0, 1, TRUE) - 
       $H23*EXP(-RiskFreeRate*TimeToExpiration)*_xlfn.NORM.DIST(AJ$2*(LN(Underlying/$H23)+(RiskFreeRate-DividendYield-0.5*AH23^2)*TimeToExpiration)/(AH23*TimeToExpiration^0.5), 0, 1, TRUE)
)</f>
        <v>6.973413416</v>
      </c>
      <c r="AK23" s="40">
        <f t="shared" si="17"/>
        <v>0.28215625</v>
      </c>
      <c r="AL23" s="8">
        <f>AL$2*(Underlying*EXP(-DividendYield*TimeToExpiration)*_xlfn.NORM.DIST(AL$2*(LN(Underlying/$H23)+(RiskFreeRate-DividendYield+0.5*AK23^2)*TimeToExpiration)/(AK23*TimeToExpiration^0.5), 0, 1, TRUE) - 
       $H23*EXP(-RiskFreeRate*TimeToExpiration)*_xlfn.NORM.DIST(AL$2*(LN(Underlying/$H23)+(RiskFreeRate-DividendYield-0.5*AK23^2)*TimeToExpiration)/(AK23*TimeToExpiration^0.5), 0, 1, TRUE)
)</f>
        <v>5.179755947</v>
      </c>
      <c r="AM23" s="40">
        <f t="shared" si="18"/>
        <v>0.28215625</v>
      </c>
      <c r="AN23" s="40">
        <f t="shared" si="19"/>
        <v>0.375875</v>
      </c>
      <c r="AO23" s="7">
        <f>AO$2*(Underlying*EXP(-DividendYield*TimeToExpiration)*_xlfn.NORM.DIST(AO$2*(LN(Underlying/$H23)+(RiskFreeRate-DividendYield+0.5*AM23^2)*TimeToExpiration)/(AM23*TimeToExpiration^0.5), 0, 1, TRUE) - 
       $H23*EXP(-RiskFreeRate*TimeToExpiration)*_xlfn.NORM.DIST(AO$2*(LN(Underlying/$H23)+(RiskFreeRate-DividendYield-0.5*AM23^2)*TimeToExpiration)/(AM23*TimeToExpiration^0.5), 0, 1, TRUE)
)</f>
        <v>5.179755947</v>
      </c>
      <c r="AP23" s="7">
        <f>AP$2*(Underlying*EXP(-DividendYield*TimeToExpiration)*_xlfn.NORM.DIST(AP$2*(LN(Underlying/$H23)+(RiskFreeRate-DividendYield+0.5*AN23^2)*TimeToExpiration)/(AN23*TimeToExpiration^0.5), 0, 1, TRUE) - 
       $H23*EXP(-RiskFreeRate*TimeToExpiration)*_xlfn.NORM.DIST(AP$2*(LN(Underlying/$H23)+(RiskFreeRate-DividendYield-0.5*AN23^2)*TimeToExpiration)/(AN23*TimeToExpiration^0.5), 0, 1, TRUE)
)</f>
        <v>6.973413416</v>
      </c>
      <c r="AQ23" s="40">
        <f t="shared" si="20"/>
        <v>0.329015625</v>
      </c>
      <c r="AR23" s="8">
        <f>AR$2*(Underlying*EXP(-DividendYield*TimeToExpiration)*_xlfn.NORM.DIST(AR$2*(LN(Underlying/$H23)+(RiskFreeRate-DividendYield+0.5*AQ23^2)*TimeToExpiration)/(AQ23*TimeToExpiration^0.5), 0, 1, TRUE) - 
       $H23*EXP(-RiskFreeRate*TimeToExpiration)*_xlfn.NORM.DIST(AR$2*(LN(Underlying/$H23)+(RiskFreeRate-DividendYield-0.5*AQ23^2)*TimeToExpiration)/(AQ23*TimeToExpiration^0.5), 0, 1, TRUE)
)</f>
        <v>6.076565499</v>
      </c>
      <c r="AS23" s="40">
        <f t="shared" si="21"/>
        <v>0.329015625</v>
      </c>
      <c r="AT23" s="40">
        <f t="shared" si="22"/>
        <v>0.375875</v>
      </c>
      <c r="AU23" s="7">
        <f>AU$2*(Underlying*EXP(-DividendYield*TimeToExpiration)*_xlfn.NORM.DIST(AU$2*(LN(Underlying/$H23)+(RiskFreeRate-DividendYield+0.5*AS23^2)*TimeToExpiration)/(AS23*TimeToExpiration^0.5), 0, 1, TRUE) - 
       $H23*EXP(-RiskFreeRate*TimeToExpiration)*_xlfn.NORM.DIST(AU$2*(LN(Underlying/$H23)+(RiskFreeRate-DividendYield-0.5*AS23^2)*TimeToExpiration)/(AS23*TimeToExpiration^0.5), 0, 1, TRUE)
)</f>
        <v>6.076565499</v>
      </c>
      <c r="AV23" s="7">
        <f>AV$2*(Underlying*EXP(-DividendYield*TimeToExpiration)*_xlfn.NORM.DIST(AV$2*(LN(Underlying/$H23)+(RiskFreeRate-DividendYield+0.5*AT23^2)*TimeToExpiration)/(AT23*TimeToExpiration^0.5), 0, 1, TRUE) - 
       $H23*EXP(-RiskFreeRate*TimeToExpiration)*_xlfn.NORM.DIST(AV$2*(LN(Underlying/$H23)+(RiskFreeRate-DividendYield-0.5*AT23^2)*TimeToExpiration)/(AT23*TimeToExpiration^0.5), 0, 1, TRUE)
)</f>
        <v>6.973413416</v>
      </c>
      <c r="AW23" s="40">
        <f t="shared" si="23"/>
        <v>0.3524453125</v>
      </c>
      <c r="AX23" s="8">
        <f>AX$2*(Underlying*EXP(-DividendYield*TimeToExpiration)*_xlfn.NORM.DIST(AX$2*(LN(Underlying/$H23)+(RiskFreeRate-DividendYield+0.5*AW23^2)*TimeToExpiration)/(AW23*TimeToExpiration^0.5), 0, 1, TRUE) - 
       $H23*EXP(-RiskFreeRate*TimeToExpiration)*_xlfn.NORM.DIST(AX$2*(LN(Underlying/$H23)+(RiskFreeRate-DividendYield-0.5*AW23^2)*TimeToExpiration)/(AW23*TimeToExpiration^0.5), 0, 1, TRUE)
)</f>
        <v>6.524987957</v>
      </c>
      <c r="AY23" s="40">
        <f t="shared" si="24"/>
        <v>0.3524453125</v>
      </c>
      <c r="AZ23" s="40">
        <f t="shared" si="25"/>
        <v>0.375875</v>
      </c>
      <c r="BA23" s="7">
        <f>BA$2*(Underlying*EXP(-DividendYield*TimeToExpiration)*_xlfn.NORM.DIST(BA$2*(LN(Underlying/$H23)+(RiskFreeRate-DividendYield+0.5*AY23^2)*TimeToExpiration)/(AY23*TimeToExpiration^0.5), 0, 1, TRUE) - 
       $H23*EXP(-RiskFreeRate*TimeToExpiration)*_xlfn.NORM.DIST(BA$2*(LN(Underlying/$H23)+(RiskFreeRate-DividendYield-0.5*AY23^2)*TimeToExpiration)/(AY23*TimeToExpiration^0.5), 0, 1, TRUE)
)</f>
        <v>6.524987957</v>
      </c>
      <c r="BB23" s="7">
        <f>BB$2*(Underlying*EXP(-DividendYield*TimeToExpiration)*_xlfn.NORM.DIST(BB$2*(LN(Underlying/$H23)+(RiskFreeRate-DividendYield+0.5*AZ23^2)*TimeToExpiration)/(AZ23*TimeToExpiration^0.5), 0, 1, TRUE) - 
       $H23*EXP(-RiskFreeRate*TimeToExpiration)*_xlfn.NORM.DIST(BB$2*(LN(Underlying/$H23)+(RiskFreeRate-DividendYield-0.5*AZ23^2)*TimeToExpiration)/(AZ23*TimeToExpiration^0.5), 0, 1, TRUE)
)</f>
        <v>6.973413416</v>
      </c>
      <c r="BC23" s="40">
        <f t="shared" si="26"/>
        <v>0.3641601563</v>
      </c>
      <c r="BD23" s="8">
        <f>BD$2*(Underlying*EXP(-DividendYield*TimeToExpiration)*_xlfn.NORM.DIST(BD$2*(LN(Underlying/$H23)+(RiskFreeRate-DividendYield+0.5*BC23^2)*TimeToExpiration)/(BC23*TimeToExpiration^0.5), 0, 1, TRUE) - 
       $H23*EXP(-RiskFreeRate*TimeToExpiration)*_xlfn.NORM.DIST(BD$2*(LN(Underlying/$H23)+(RiskFreeRate-DividendYield-0.5*BC23^2)*TimeToExpiration)/(BC23*TimeToExpiration^0.5), 0, 1, TRUE)
)</f>
        <v>6.749200648</v>
      </c>
      <c r="BE23" s="40">
        <f t="shared" si="27"/>
        <v>0.3641601563</v>
      </c>
      <c r="BF23" s="40">
        <f t="shared" si="28"/>
        <v>0.375875</v>
      </c>
      <c r="BG23" s="7">
        <f>BG$2*(Underlying*EXP(-DividendYield*TimeToExpiration)*_xlfn.NORM.DIST(BG$2*(LN(Underlying/$H23)+(RiskFreeRate-DividendYield+0.5*BE23^2)*TimeToExpiration)/(BE23*TimeToExpiration^0.5), 0, 1, TRUE) - 
       $H23*EXP(-RiskFreeRate*TimeToExpiration)*_xlfn.NORM.DIST(BG$2*(LN(Underlying/$H23)+(RiskFreeRate-DividendYield-0.5*BE23^2)*TimeToExpiration)/(BE23*TimeToExpiration^0.5), 0, 1, TRUE)
)</f>
        <v>6.749200648</v>
      </c>
      <c r="BH23" s="7">
        <f>BH$2*(Underlying*EXP(-DividendYield*TimeToExpiration)*_xlfn.NORM.DIST(BH$2*(LN(Underlying/$H23)+(RiskFreeRate-DividendYield+0.5*BF23^2)*TimeToExpiration)/(BF23*TimeToExpiration^0.5), 0, 1, TRUE) - 
       $H23*EXP(-RiskFreeRate*TimeToExpiration)*_xlfn.NORM.DIST(BH$2*(LN(Underlying/$H23)+(RiskFreeRate-DividendYield-0.5*BF23^2)*TimeToExpiration)/(BF23*TimeToExpiration^0.5), 0, 1, TRUE)
)</f>
        <v>6.973413416</v>
      </c>
      <c r="BI23" s="40">
        <f t="shared" si="29"/>
        <v>0.3700175781</v>
      </c>
      <c r="BJ23" s="8">
        <f>BJ$2*(Underlying*EXP(-DividendYield*TimeToExpiration)*_xlfn.NORM.DIST(BJ$2*(LN(Underlying/$H23)+(RiskFreeRate-DividendYield+0.5*BI23^2)*TimeToExpiration)/(BI23*TimeToExpiration^0.5), 0, 1, TRUE) - 
       $H23*EXP(-RiskFreeRate*TimeToExpiration)*_xlfn.NORM.DIST(BJ$2*(LN(Underlying/$H23)+(RiskFreeRate-DividendYield-0.5*BI23^2)*TimeToExpiration)/(BI23*TimeToExpiration^0.5), 0, 1, TRUE)
)</f>
        <v>6.861307061</v>
      </c>
      <c r="BK23" s="40">
        <f t="shared" si="30"/>
        <v>0.3641601563</v>
      </c>
      <c r="BL23" s="40">
        <f t="shared" si="31"/>
        <v>0.3700175781</v>
      </c>
      <c r="BM23" s="7">
        <f>BM$2*(Underlying*EXP(-DividendYield*TimeToExpiration)*_xlfn.NORM.DIST(BM$2*(LN(Underlying/$H23)+(RiskFreeRate-DividendYield+0.5*BK23^2)*TimeToExpiration)/(BK23*TimeToExpiration^0.5), 0, 1, TRUE) - 
       $H23*EXP(-RiskFreeRate*TimeToExpiration)*_xlfn.NORM.DIST(BM$2*(LN(Underlying/$H23)+(RiskFreeRate-DividendYield-0.5*BK23^2)*TimeToExpiration)/(BK23*TimeToExpiration^0.5), 0, 1, TRUE)
)</f>
        <v>6.749200648</v>
      </c>
      <c r="BN23" s="7">
        <f>BN$2*(Underlying*EXP(-DividendYield*TimeToExpiration)*_xlfn.NORM.DIST(BN$2*(LN(Underlying/$H23)+(RiskFreeRate-DividendYield+0.5*BL23^2)*TimeToExpiration)/(BL23*TimeToExpiration^0.5), 0, 1, TRUE) - 
       $H23*EXP(-RiskFreeRate*TimeToExpiration)*_xlfn.NORM.DIST(BN$2*(LN(Underlying/$H23)+(RiskFreeRate-DividendYield-0.5*BL23^2)*TimeToExpiration)/(BL23*TimeToExpiration^0.5), 0, 1, TRUE)
)</f>
        <v>6.861307061</v>
      </c>
      <c r="BO23" s="40">
        <f t="shared" si="32"/>
        <v>0.3670888672</v>
      </c>
      <c r="BP23" s="8">
        <f>BP$2*(Underlying*EXP(-DividendYield*TimeToExpiration)*_xlfn.NORM.DIST(BP$2*(LN(Underlying/$H23)+(RiskFreeRate-DividendYield+0.5*BO23^2)*TimeToExpiration)/(BO23*TimeToExpiration^0.5), 0, 1, TRUE) - 
       $H23*EXP(-RiskFreeRate*TimeToExpiration)*_xlfn.NORM.DIST(BP$2*(LN(Underlying/$H23)+(RiskFreeRate-DividendYield-0.5*BO23^2)*TimeToExpiration)/(BO23*TimeToExpiration^0.5), 0, 1, TRUE)
)</f>
        <v>6.805253857</v>
      </c>
      <c r="BQ23" s="40">
        <f t="shared" si="33"/>
        <v>0.3641601563</v>
      </c>
      <c r="BR23" s="40">
        <f t="shared" si="34"/>
        <v>0.3670888672</v>
      </c>
      <c r="BS23" s="7">
        <f>BS$2*(Underlying*EXP(-DividendYield*TimeToExpiration)*_xlfn.NORM.DIST(BS$2*(LN(Underlying/$H23)+(RiskFreeRate-DividendYield+0.5*BQ23^2)*TimeToExpiration)/(BQ23*TimeToExpiration^0.5), 0, 1, TRUE) - 
       $H23*EXP(-RiskFreeRate*TimeToExpiration)*_xlfn.NORM.DIST(BS$2*(LN(Underlying/$H23)+(RiskFreeRate-DividendYield-0.5*BQ23^2)*TimeToExpiration)/(BQ23*TimeToExpiration^0.5), 0, 1, TRUE)
)</f>
        <v>6.749200648</v>
      </c>
      <c r="BT23" s="7">
        <f>BT$2*(Underlying*EXP(-DividendYield*TimeToExpiration)*_xlfn.NORM.DIST(BT$2*(LN(Underlying/$H23)+(RiskFreeRate-DividendYield+0.5*BR23^2)*TimeToExpiration)/(BR23*TimeToExpiration^0.5), 0, 1, TRUE) - 
       $H23*EXP(-RiskFreeRate*TimeToExpiration)*_xlfn.NORM.DIST(BT$2*(LN(Underlying/$H23)+(RiskFreeRate-DividendYield-0.5*BR23^2)*TimeToExpiration)/(BR23*TimeToExpiration^0.5), 0, 1, TRUE)
)</f>
        <v>6.805253857</v>
      </c>
      <c r="BU23" s="40">
        <f t="shared" si="35"/>
        <v>0.3656245117</v>
      </c>
      <c r="BV23" s="8">
        <f>BV$2*(Underlying*EXP(-DividendYield*TimeToExpiration)*_xlfn.NORM.DIST(BV$2*(LN(Underlying/$H23)+(RiskFreeRate-DividendYield+0.5*BU23^2)*TimeToExpiration)/(BU23*TimeToExpiration^0.5), 0, 1, TRUE) - 
       $H23*EXP(-RiskFreeRate*TimeToExpiration)*_xlfn.NORM.DIST(BV$2*(LN(Underlying/$H23)+(RiskFreeRate-DividendYield-0.5*BU23^2)*TimeToExpiration)/(BU23*TimeToExpiration^0.5), 0, 1, TRUE)
)</f>
        <v>6.777227252</v>
      </c>
      <c r="BW23" s="40">
        <f t="shared" si="36"/>
        <v>0.3641601563</v>
      </c>
      <c r="BX23" s="40">
        <f t="shared" si="37"/>
        <v>0.3656245117</v>
      </c>
      <c r="BY23" s="7">
        <f>BY$2*(Underlying*EXP(-DividendYield*TimeToExpiration)*_xlfn.NORM.DIST(BY$2*(LN(Underlying/$H23)+(RiskFreeRate-DividendYield+0.5*BW23^2)*TimeToExpiration)/(BW23*TimeToExpiration^0.5), 0, 1, TRUE) - 
       $H23*EXP(-RiskFreeRate*TimeToExpiration)*_xlfn.NORM.DIST(BY$2*(LN(Underlying/$H23)+(RiskFreeRate-DividendYield-0.5*BW23^2)*TimeToExpiration)/(BW23*TimeToExpiration^0.5), 0, 1, TRUE)
)</f>
        <v>6.749200648</v>
      </c>
      <c r="BZ23" s="7">
        <f>BZ$2*(Underlying*EXP(-DividendYield*TimeToExpiration)*_xlfn.NORM.DIST(BZ$2*(LN(Underlying/$H23)+(RiskFreeRate-DividendYield+0.5*BX23^2)*TimeToExpiration)/(BX23*TimeToExpiration^0.5), 0, 1, TRUE) - 
       $H23*EXP(-RiskFreeRate*TimeToExpiration)*_xlfn.NORM.DIST(BZ$2*(LN(Underlying/$H23)+(RiskFreeRate-DividendYield-0.5*BX23^2)*TimeToExpiration)/(BX23*TimeToExpiration^0.5), 0, 1, TRUE)
)</f>
        <v>6.777227252</v>
      </c>
      <c r="CA23" s="40">
        <f t="shared" si="38"/>
        <v>0.364892334</v>
      </c>
      <c r="CB23" s="8">
        <f>CB$2*(Underlying*EXP(-DividendYield*TimeToExpiration)*_xlfn.NORM.DIST(CB$2*(LN(Underlying/$H23)+(RiskFreeRate-DividendYield+0.5*CA23^2)*TimeToExpiration)/(CA23*TimeToExpiration^0.5), 0, 1, TRUE) - 
       $H23*EXP(-RiskFreeRate*TimeToExpiration)*_xlfn.NORM.DIST(CB$2*(LN(Underlying/$H23)+(RiskFreeRate-DividendYield-0.5*CA23^2)*TimeToExpiration)/(CA23*TimeToExpiration^0.5), 0, 1, TRUE)
)</f>
        <v>6.76321395</v>
      </c>
      <c r="CC23" s="40">
        <f t="shared" si="39"/>
        <v>0.364892334</v>
      </c>
      <c r="CD23" s="40">
        <f t="shared" si="40"/>
        <v>0.3656245117</v>
      </c>
      <c r="CE23" s="7">
        <f>CE$2*(Underlying*EXP(-DividendYield*TimeToExpiration)*_xlfn.NORM.DIST(CE$2*(LN(Underlying/$H23)+(RiskFreeRate-DividendYield+0.5*CC23^2)*TimeToExpiration)/(CC23*TimeToExpiration^0.5), 0, 1, TRUE) - 
       $H23*EXP(-RiskFreeRate*TimeToExpiration)*_xlfn.NORM.DIST(CE$2*(LN(Underlying/$H23)+(RiskFreeRate-DividendYield-0.5*CC23^2)*TimeToExpiration)/(CC23*TimeToExpiration^0.5), 0, 1, TRUE)
)</f>
        <v>6.76321395</v>
      </c>
      <c r="CF23" s="7">
        <f>CF$2*(Underlying*EXP(-DividendYield*TimeToExpiration)*_xlfn.NORM.DIST(CF$2*(LN(Underlying/$H23)+(RiskFreeRate-DividendYield+0.5*CD23^2)*TimeToExpiration)/(CD23*TimeToExpiration^0.5), 0, 1, TRUE) - 
       $H23*EXP(-RiskFreeRate*TimeToExpiration)*_xlfn.NORM.DIST(CF$2*(LN(Underlying/$H23)+(RiskFreeRate-DividendYield-0.5*CD23^2)*TimeToExpiration)/(CD23*TimeToExpiration^0.5), 0, 1, TRUE)
)</f>
        <v>6.777227252</v>
      </c>
      <c r="CG23" s="40">
        <f t="shared" si="41"/>
        <v>0.3652584229</v>
      </c>
      <c r="CH23" s="8">
        <f>CH$2*(Underlying*EXP(-DividendYield*TimeToExpiration)*_xlfn.NORM.DIST(CH$2*(LN(Underlying/$H23)+(RiskFreeRate-DividendYield+0.5*CG23^2)*TimeToExpiration)/(CG23*TimeToExpiration^0.5), 0, 1, TRUE) - 
       $H23*EXP(-RiskFreeRate*TimeToExpiration)*_xlfn.NORM.DIST(CH$2*(LN(Underlying/$H23)+(RiskFreeRate-DividendYield-0.5*CG23^2)*TimeToExpiration)/(CG23*TimeToExpiration^0.5), 0, 1, TRUE)
)</f>
        <v>6.770220601</v>
      </c>
      <c r="CI23" s="40">
        <f t="shared" si="42"/>
        <v>0.3652584229</v>
      </c>
      <c r="CJ23" s="40">
        <f t="shared" si="43"/>
        <v>0.3656245117</v>
      </c>
      <c r="CK23" s="7">
        <f>CK$2*(Underlying*EXP(-DividendYield*TimeToExpiration)*_xlfn.NORM.DIST(CK$2*(LN(Underlying/$H23)+(RiskFreeRate-DividendYield+0.5*CI23^2)*TimeToExpiration)/(CI23*TimeToExpiration^0.5), 0, 1, TRUE) - 
       $H23*EXP(-RiskFreeRate*TimeToExpiration)*_xlfn.NORM.DIST(CK$2*(LN(Underlying/$H23)+(RiskFreeRate-DividendYield-0.5*CI23^2)*TimeToExpiration)/(CI23*TimeToExpiration^0.5), 0, 1, TRUE)
)</f>
        <v>6.770220601</v>
      </c>
      <c r="CL23" s="7">
        <f>CL$2*(Underlying*EXP(-DividendYield*TimeToExpiration)*_xlfn.NORM.DIST(CL$2*(LN(Underlying/$H23)+(RiskFreeRate-DividendYield+0.5*CJ23^2)*TimeToExpiration)/(CJ23*TimeToExpiration^0.5), 0, 1, TRUE) - 
       $H23*EXP(-RiskFreeRate*TimeToExpiration)*_xlfn.NORM.DIST(CL$2*(LN(Underlying/$H23)+(RiskFreeRate-DividendYield-0.5*CJ23^2)*TimeToExpiration)/(CJ23*TimeToExpiration^0.5), 0, 1, TRUE)
)</f>
        <v>6.777227252</v>
      </c>
      <c r="CM23" s="40">
        <f t="shared" si="44"/>
        <v>0.3654414673</v>
      </c>
      <c r="CN23" s="8">
        <f>CN$2*(Underlying*EXP(-DividendYield*TimeToExpiration)*_xlfn.NORM.DIST(CN$2*(LN(Underlying/$H23)+(RiskFreeRate-DividendYield+0.5*CM23^2)*TimeToExpiration)/(CM23*TimeToExpiration^0.5), 0, 1, TRUE) - 
       $H23*EXP(-RiskFreeRate*TimeToExpiration)*_xlfn.NORM.DIST(CN$2*(LN(Underlying/$H23)+(RiskFreeRate-DividendYield-0.5*CM23^2)*TimeToExpiration)/(CM23*TimeToExpiration^0.5), 0, 1, TRUE)
)</f>
        <v>6.773723927</v>
      </c>
      <c r="CO23" s="40">
        <f t="shared" si="45"/>
        <v>0.3654414673</v>
      </c>
      <c r="CP23" s="40">
        <f t="shared" si="46"/>
        <v>0.3656245117</v>
      </c>
      <c r="CQ23" s="7">
        <f>CQ$2*(Underlying*EXP(-DividendYield*TimeToExpiration)*_xlfn.NORM.DIST(CQ$2*(LN(Underlying/$H23)+(RiskFreeRate-DividendYield+0.5*CO23^2)*TimeToExpiration)/(CO23*TimeToExpiration^0.5), 0, 1, TRUE) - 
       $H23*EXP(-RiskFreeRate*TimeToExpiration)*_xlfn.NORM.DIST(CQ$2*(LN(Underlying/$H23)+(RiskFreeRate-DividendYield-0.5*CO23^2)*TimeToExpiration)/(CO23*TimeToExpiration^0.5), 0, 1, TRUE)
)</f>
        <v>6.773723927</v>
      </c>
      <c r="CR23" s="7">
        <f>CR$2*(Underlying*EXP(-DividendYield*TimeToExpiration)*_xlfn.NORM.DIST(CR$2*(LN(Underlying/$H23)+(RiskFreeRate-DividendYield+0.5*CP23^2)*TimeToExpiration)/(CP23*TimeToExpiration^0.5), 0, 1, TRUE) - 
       $H23*EXP(-RiskFreeRate*TimeToExpiration)*_xlfn.NORM.DIST(CR$2*(LN(Underlying/$H23)+(RiskFreeRate-DividendYield-0.5*CP23^2)*TimeToExpiration)/(CP23*TimeToExpiration^0.5), 0, 1, TRUE)
)</f>
        <v>6.777227252</v>
      </c>
      <c r="CS23" s="40">
        <f t="shared" si="47"/>
        <v>0.3655329895</v>
      </c>
      <c r="CT23" s="8">
        <f>CT$2*(Underlying*EXP(-DividendYield*TimeToExpiration)*_xlfn.NORM.DIST(CT$2*(LN(Underlying/$H23)+(RiskFreeRate-DividendYield+0.5*CS23^2)*TimeToExpiration)/(CS23*TimeToExpiration^0.5), 0, 1, TRUE) - 
       $H23*EXP(-RiskFreeRate*TimeToExpiration)*_xlfn.NORM.DIST(CT$2*(LN(Underlying/$H23)+(RiskFreeRate-DividendYield-0.5*CS23^2)*TimeToExpiration)/(CS23*TimeToExpiration^0.5), 0, 1, TRUE)
)</f>
        <v>6.77547559</v>
      </c>
      <c r="CU23" s="40">
        <f t="shared" si="48"/>
        <v>0.3654414673</v>
      </c>
      <c r="CV23" s="40">
        <f t="shared" si="49"/>
        <v>0.3655329895</v>
      </c>
      <c r="CW23" s="7">
        <f>CW$2*(Underlying*EXP(-DividendYield*TimeToExpiration)*_xlfn.NORM.DIST(CW$2*(LN(Underlying/$H23)+(RiskFreeRate-DividendYield+0.5*CU23^2)*TimeToExpiration)/(CU23*TimeToExpiration^0.5), 0, 1, TRUE) - 
       $H23*EXP(-RiskFreeRate*TimeToExpiration)*_xlfn.NORM.DIST(CW$2*(LN(Underlying/$H23)+(RiskFreeRate-DividendYield-0.5*CU23^2)*TimeToExpiration)/(CU23*TimeToExpiration^0.5), 0, 1, TRUE)
)</f>
        <v>6.773723927</v>
      </c>
      <c r="CX23" s="7">
        <f>CX$2*(Underlying*EXP(-DividendYield*TimeToExpiration)*_xlfn.NORM.DIST(CX$2*(LN(Underlying/$H23)+(RiskFreeRate-DividendYield+0.5*CV23^2)*TimeToExpiration)/(CV23*TimeToExpiration^0.5), 0, 1, TRUE) - 
       $H23*EXP(-RiskFreeRate*TimeToExpiration)*_xlfn.NORM.DIST(CX$2*(LN(Underlying/$H23)+(RiskFreeRate-DividendYield-0.5*CV23^2)*TimeToExpiration)/(CV23*TimeToExpiration^0.5), 0, 1, TRUE)
)</f>
        <v>6.77547559</v>
      </c>
      <c r="CY23" s="40">
        <f t="shared" si="50"/>
        <v>0.3654872284</v>
      </c>
      <c r="CZ23" s="8">
        <f>CZ$2*(Underlying*EXP(-DividendYield*TimeToExpiration)*_xlfn.NORM.DIST(CZ$2*(LN(Underlying/$H23)+(RiskFreeRate-DividendYield+0.5*CY23^2)*TimeToExpiration)/(CY23*TimeToExpiration^0.5), 0, 1, TRUE) - 
       $H23*EXP(-RiskFreeRate*TimeToExpiration)*_xlfn.NORM.DIST(CZ$2*(LN(Underlying/$H23)+(RiskFreeRate-DividendYield-0.5*CY23^2)*TimeToExpiration)/(CY23*TimeToExpiration^0.5), 0, 1, TRUE)
)</f>
        <v>6.774599758</v>
      </c>
      <c r="DA23" s="40">
        <f t="shared" si="51"/>
        <v>0.3654872284</v>
      </c>
      <c r="DB23" s="40">
        <f t="shared" si="52"/>
        <v>0.3655329895</v>
      </c>
      <c r="DC23" s="7">
        <f>DC$2*(Underlying*EXP(-DividendYield*TimeToExpiration)*_xlfn.NORM.DIST(DC$2*(LN(Underlying/$H23)+(RiskFreeRate-DividendYield+0.5*DA23^2)*TimeToExpiration)/(DA23*TimeToExpiration^0.5), 0, 1, TRUE) - 
       $H23*EXP(-RiskFreeRate*TimeToExpiration)*_xlfn.NORM.DIST(DC$2*(LN(Underlying/$H23)+(RiskFreeRate-DividendYield-0.5*DA23^2)*TimeToExpiration)/(DA23*TimeToExpiration^0.5), 0, 1, TRUE)
)</f>
        <v>6.774599758</v>
      </c>
      <c r="DD23" s="7">
        <f>DD$2*(Underlying*EXP(-DividendYield*TimeToExpiration)*_xlfn.NORM.DIST(DD$2*(LN(Underlying/$H23)+(RiskFreeRate-DividendYield+0.5*DB23^2)*TimeToExpiration)/(DB23*TimeToExpiration^0.5), 0, 1, TRUE) - 
       $H23*EXP(-RiskFreeRate*TimeToExpiration)*_xlfn.NORM.DIST(DD$2*(LN(Underlying/$H23)+(RiskFreeRate-DividendYield-0.5*DB23^2)*TimeToExpiration)/(DB23*TimeToExpiration^0.5), 0, 1, TRUE)
)</f>
        <v>6.77547559</v>
      </c>
      <c r="DE23" s="40">
        <f t="shared" si="53"/>
        <v>0.3655101089</v>
      </c>
      <c r="DF23" s="8">
        <f>DF$2*(Underlying*EXP(-DividendYield*TimeToExpiration)*_xlfn.NORM.DIST(DF$2*(LN(Underlying/$H23)+(RiskFreeRate-DividendYield+0.5*DE23^2)*TimeToExpiration)/(DE23*TimeToExpiration^0.5), 0, 1, TRUE) - 
       $H23*EXP(-RiskFreeRate*TimeToExpiration)*_xlfn.NORM.DIST(DF$2*(LN(Underlying/$H23)+(RiskFreeRate-DividendYield-0.5*DE23^2)*TimeToExpiration)/(DE23*TimeToExpiration^0.5), 0, 1, TRUE)
)</f>
        <v>6.775037674</v>
      </c>
    </row>
    <row r="24">
      <c r="A24" s="20">
        <f>'Option Mkt Data'!A24</f>
        <v>342.5</v>
      </c>
      <c r="B24" s="35">
        <f t="shared" ref="B24:C24" si="71">DE24</f>
        <v>0.362993248</v>
      </c>
      <c r="C24" s="7">
        <f t="shared" si="71"/>
        <v>5.600250025</v>
      </c>
      <c r="D24" s="7">
        <f t="shared" si="3"/>
        <v>0.0002496433259</v>
      </c>
      <c r="E24" s="9">
        <f t="shared" si="4"/>
        <v>0.00004457916231</v>
      </c>
      <c r="F24" s="36">
        <f>D24/'Option Mkt Data'!L24</f>
        <v>0.002496423748</v>
      </c>
      <c r="G24" s="5">
        <f>'Option Mkt Data'!J24</f>
        <v>5.600000382</v>
      </c>
      <c r="H24" s="33">
        <f>'Option Mkt Data'!A24</f>
        <v>342.5</v>
      </c>
      <c r="I24" s="37">
        <f>MinSolverVola</f>
        <v>0.001</v>
      </c>
      <c r="J24" s="38">
        <f>MaxSolverVola</f>
        <v>3</v>
      </c>
      <c r="K24" s="39">
        <f>K$2*(Underlying*EXP(-DividendYield*TimeToExpiration)*_xlfn.NORM.DIST(K$2*(LN(Underlying/$H24)+(RiskFreeRate-DividendYield+0.5*I24^2)*TimeToExpiration)/(I24*TimeToExpiration^0.5), 0, 1, TRUE) - 
       $H24*EXP(-RiskFreeRate*TimeToExpiration)*_xlfn.NORM.DIST(K$2*(LN(Underlying/$H24)+(RiskFreeRate-DividendYield-0.5*I24^2)*TimeToExpiration)/(I24*TimeToExpiration^0.5), 0, 1, TRUE)
)</f>
        <v>0</v>
      </c>
      <c r="L24" s="7">
        <f>L$2*(Underlying*EXP(-DividendYield*TimeToExpiration)*_xlfn.NORM.DIST(L$2*(LN(Underlying/$H24)+(RiskFreeRate-DividendYield+0.5*J24^2)*TimeToExpiration)/(J24*TimeToExpiration^0.5), 0, 1, TRUE) - 
       $H24*EXP(-RiskFreeRate*TimeToExpiration)*_xlfn.NORM.DIST(L$2*(LN(Underlying/$H24)+(RiskFreeRate-DividendYield-0.5*J24^2)*TimeToExpiration)/(J24*TimeToExpiration^0.5), 0, 1, TRUE)
)</f>
        <v>55.77389363</v>
      </c>
      <c r="M24" s="40">
        <f t="shared" si="5"/>
        <v>1.5005</v>
      </c>
      <c r="N24" s="8">
        <f>N$2*(Underlying*EXP(-DividendYield*TimeToExpiration)*_xlfn.NORM.DIST(N$2*(LN(Underlying/$H24)+(RiskFreeRate-DividendYield+0.5*M24^2)*TimeToExpiration)/(M24*TimeToExpiration^0.5), 0, 1, TRUE) - 
       $H24*EXP(-RiskFreeRate*TimeToExpiration)*_xlfn.NORM.DIST(N$2*(LN(Underlying/$H24)+(RiskFreeRate-DividendYield-0.5*M24^2)*TimeToExpiration)/(M24*TimeToExpiration^0.5), 0, 1, TRUE)
)</f>
        <v>27.33749472</v>
      </c>
      <c r="O24" s="41">
        <f t="shared" si="6"/>
        <v>0.001</v>
      </c>
      <c r="P24" s="40">
        <f t="shared" si="7"/>
        <v>1.5005</v>
      </c>
      <c r="Q24" s="7">
        <f>Q$2*(Underlying*EXP(-DividendYield*TimeToExpiration)*_xlfn.NORM.DIST(Q$2*(LN(Underlying/$H24)+(RiskFreeRate-DividendYield+0.5*O24^2)*TimeToExpiration)/(O24*TimeToExpiration^0.5), 0, 1, TRUE) - 
       $H24*EXP(-RiskFreeRate*TimeToExpiration)*_xlfn.NORM.DIST(Q$2*(LN(Underlying/$H24)+(RiskFreeRate-DividendYield-0.5*O24^2)*TimeToExpiration)/(O24*TimeToExpiration^0.5), 0, 1, TRUE))</f>
        <v>0</v>
      </c>
      <c r="R24" s="7">
        <f>R$2*(Underlying*EXP(-DividendYield*TimeToExpiration)*_xlfn.NORM.DIST(R$2*(LN(Underlying/$H24)+(RiskFreeRate-DividendYield+0.5*P24^2)*TimeToExpiration)/(P24*TimeToExpiration^0.5), 0, 1, TRUE) - 
       $H24*EXP(-RiskFreeRate*TimeToExpiration)*_xlfn.NORM.DIST(R$2*(LN(Underlying/$H24)+(RiskFreeRate-DividendYield-0.5*P24^2)*TimeToExpiration)/(P24*TimeToExpiration^0.5), 0, 1, TRUE)
)</f>
        <v>27.33749472</v>
      </c>
      <c r="S24" s="40">
        <f t="shared" si="8"/>
        <v>0.75075</v>
      </c>
      <c r="T24" s="8">
        <f>T$2*(Underlying*EXP(-DividendYield*TimeToExpiration)*_xlfn.NORM.DIST(T$2*(LN(Underlying/$H24)+(RiskFreeRate-DividendYield+0.5*S24^2)*TimeToExpiration)/(S24*TimeToExpiration^0.5), 0, 1, TRUE) - 
       $H24*EXP(-RiskFreeRate*TimeToExpiration)*_xlfn.NORM.DIST(T$2*(LN(Underlying/$H24)+(RiskFreeRate-DividendYield-0.5*S24^2)*TimeToExpiration)/(S24*TimeToExpiration^0.5), 0, 1, TRUE)
)</f>
        <v>12.99674485</v>
      </c>
      <c r="U24" s="41">
        <f t="shared" si="9"/>
        <v>0.001</v>
      </c>
      <c r="V24" s="40">
        <f t="shared" si="10"/>
        <v>0.75075</v>
      </c>
      <c r="W24" s="7">
        <f>W$2*(Underlying*EXP(-DividendYield*TimeToExpiration)*_xlfn.NORM.DIST(W$2*(LN(Underlying/$H24)+(RiskFreeRate-DividendYield+0.5*U24^2)*TimeToExpiration)/(U24*TimeToExpiration^0.5), 0, 1, TRUE) - 
       $H24*EXP(-RiskFreeRate*TimeToExpiration)*_xlfn.NORM.DIST(W$2*(LN(Underlying/$H24)+(RiskFreeRate-DividendYield-0.5*U24^2)*TimeToExpiration)/(U24*TimeToExpiration^0.5), 0, 1, TRUE)
)</f>
        <v>0</v>
      </c>
      <c r="X24" s="7">
        <f>X$2*(Underlying*EXP(-DividendYield*TimeToExpiration)*_xlfn.NORM.DIST(X$2*(LN(Underlying/$H24)+(RiskFreeRate-DividendYield+0.5*V24^2)*TimeToExpiration)/(V24*TimeToExpiration^0.5), 0, 1, TRUE) - 
       $H24*EXP(-RiskFreeRate*TimeToExpiration)*_xlfn.NORM.DIST(X$2*(LN(Underlying/$H24)+(RiskFreeRate-DividendYield-0.5*V24^2)*TimeToExpiration)/(V24*TimeToExpiration^0.5), 0, 1, TRUE)
)</f>
        <v>12.99674485</v>
      </c>
      <c r="Y24" s="40">
        <f t="shared" si="11"/>
        <v>0.375875</v>
      </c>
      <c r="Z24" s="8">
        <f>Z$2*(Underlying*EXP(-DividendYield*TimeToExpiration)*_xlfn.NORM.DIST(Z$2*(LN(Underlying/$H24)+(RiskFreeRate-DividendYield+0.5*Y24^2)*TimeToExpiration)/(Y24*TimeToExpiration^0.5), 0, 1, TRUE) - 
       $H24*EXP(-RiskFreeRate*TimeToExpiration)*_xlfn.NORM.DIST(Z$2*(LN(Underlying/$H24)+(RiskFreeRate-DividendYield-0.5*Y24^2)*TimeToExpiration)/(Y24*TimeToExpiration^0.5), 0, 1, TRUE)
)</f>
        <v>5.844402108</v>
      </c>
      <c r="AA24" s="41">
        <f t="shared" si="12"/>
        <v>0.001</v>
      </c>
      <c r="AB24" s="40">
        <f t="shared" si="13"/>
        <v>0.375875</v>
      </c>
      <c r="AC24" s="7">
        <f>AC$2*(Underlying*EXP(-DividendYield*TimeToExpiration)*_xlfn.NORM.DIST(AC$2*(LN(Underlying/$H24)+(RiskFreeRate-DividendYield+0.5*AA24^2)*TimeToExpiration)/(AA24*TimeToExpiration^0.5), 0, 1, TRUE) - 
       $H24*EXP(-RiskFreeRate*TimeToExpiration)*_xlfn.NORM.DIST(AC$2*(LN(Underlying/$H24)+(RiskFreeRate-DividendYield-0.5*AA24^2)*TimeToExpiration)/(AA24*TimeToExpiration^0.5), 0, 1, TRUE)
)</f>
        <v>0</v>
      </c>
      <c r="AD24" s="7">
        <f>AD$2*(Underlying*EXP(-DividendYield*TimeToExpiration)*_xlfn.NORM.DIST(AD$2*(LN(Underlying/$H24)+(RiskFreeRate-DividendYield+0.5*AB24^2)*TimeToExpiration)/(AB24*TimeToExpiration^0.5), 0, 1, TRUE) - 
       $H24*EXP(-RiskFreeRate*TimeToExpiration)*_xlfn.NORM.DIST(AD$2*(LN(Underlying/$H24)+(RiskFreeRate-DividendYield-0.5*AB24^2)*TimeToExpiration)/(AB24*TimeToExpiration^0.5), 0, 1, TRUE)
)</f>
        <v>5.844402108</v>
      </c>
      <c r="AE24" s="40">
        <f t="shared" si="14"/>
        <v>0.1884375</v>
      </c>
      <c r="AF24" s="8">
        <f>AF$2*(Underlying*EXP(-DividendYield*TimeToExpiration)*_xlfn.NORM.DIST(AF$2*(LN(Underlying/$H24)+(RiskFreeRate-DividendYield+0.5*AE24^2)*TimeToExpiration)/(AE24*TimeToExpiration^0.5), 0, 1, TRUE) - 
       $H24*EXP(-RiskFreeRate*TimeToExpiration)*_xlfn.NORM.DIST(AF$2*(LN(Underlying/$H24)+(RiskFreeRate-DividendYield-0.5*AE24^2)*TimeToExpiration)/(AE24*TimeToExpiration^0.5), 0, 1, TRUE)
)</f>
        <v>2.336124341</v>
      </c>
      <c r="AG24" s="40">
        <f t="shared" si="15"/>
        <v>0.1884375</v>
      </c>
      <c r="AH24" s="40">
        <f t="shared" si="16"/>
        <v>0.375875</v>
      </c>
      <c r="AI24" s="7">
        <f>AI$2*(Underlying*EXP(-DividendYield*TimeToExpiration)*_xlfn.NORM.DIST(AI$2*(LN(Underlying/$H24)+(RiskFreeRate-DividendYield+0.5*AG24^2)*TimeToExpiration)/(AG24*TimeToExpiration^0.5), 0, 1, TRUE) - 
       $H24*EXP(-RiskFreeRate*TimeToExpiration)*_xlfn.NORM.DIST(AI$2*(LN(Underlying/$H24)+(RiskFreeRate-DividendYield-0.5*AG24^2)*TimeToExpiration)/(AG24*TimeToExpiration^0.5), 0, 1, TRUE)
)</f>
        <v>2.336124341</v>
      </c>
      <c r="AJ24" s="7">
        <f>AJ$2*(Underlying*EXP(-DividendYield*TimeToExpiration)*_xlfn.NORM.DIST(AJ$2*(LN(Underlying/$H24)+(RiskFreeRate-DividendYield+0.5*AH24^2)*TimeToExpiration)/(AH24*TimeToExpiration^0.5), 0, 1, TRUE) - 
       $H24*EXP(-RiskFreeRate*TimeToExpiration)*_xlfn.NORM.DIST(AJ$2*(LN(Underlying/$H24)+(RiskFreeRate-DividendYield-0.5*AH24^2)*TimeToExpiration)/(AH24*TimeToExpiration^0.5), 0, 1, TRUE)
)</f>
        <v>5.844402108</v>
      </c>
      <c r="AK24" s="40">
        <f t="shared" si="17"/>
        <v>0.28215625</v>
      </c>
      <c r="AL24" s="8">
        <f>AL$2*(Underlying*EXP(-DividendYield*TimeToExpiration)*_xlfn.NORM.DIST(AL$2*(LN(Underlying/$H24)+(RiskFreeRate-DividendYield+0.5*AK24^2)*TimeToExpiration)/(AK24*TimeToExpiration^0.5), 0, 1, TRUE) - 
       $H24*EXP(-RiskFreeRate*TimeToExpiration)*_xlfn.NORM.DIST(AL$2*(LN(Underlying/$H24)+(RiskFreeRate-DividendYield-0.5*AK24^2)*TimeToExpiration)/(AK24*TimeToExpiration^0.5), 0, 1, TRUE)
)</f>
        <v>4.074974032</v>
      </c>
      <c r="AM24" s="40">
        <f t="shared" si="18"/>
        <v>0.28215625</v>
      </c>
      <c r="AN24" s="40">
        <f t="shared" si="19"/>
        <v>0.375875</v>
      </c>
      <c r="AO24" s="7">
        <f>AO$2*(Underlying*EXP(-DividendYield*TimeToExpiration)*_xlfn.NORM.DIST(AO$2*(LN(Underlying/$H24)+(RiskFreeRate-DividendYield+0.5*AM24^2)*TimeToExpiration)/(AM24*TimeToExpiration^0.5), 0, 1, TRUE) - 
       $H24*EXP(-RiskFreeRate*TimeToExpiration)*_xlfn.NORM.DIST(AO$2*(LN(Underlying/$H24)+(RiskFreeRate-DividendYield-0.5*AM24^2)*TimeToExpiration)/(AM24*TimeToExpiration^0.5), 0, 1, TRUE)
)</f>
        <v>4.074974032</v>
      </c>
      <c r="AP24" s="7">
        <f>AP$2*(Underlying*EXP(-DividendYield*TimeToExpiration)*_xlfn.NORM.DIST(AP$2*(LN(Underlying/$H24)+(RiskFreeRate-DividendYield+0.5*AN24^2)*TimeToExpiration)/(AN24*TimeToExpiration^0.5), 0, 1, TRUE) - 
       $H24*EXP(-RiskFreeRate*TimeToExpiration)*_xlfn.NORM.DIST(AP$2*(LN(Underlying/$H24)+(RiskFreeRate-DividendYield-0.5*AN24^2)*TimeToExpiration)/(AN24*TimeToExpiration^0.5), 0, 1, TRUE)
)</f>
        <v>5.844402108</v>
      </c>
      <c r="AQ24" s="40">
        <f t="shared" si="20"/>
        <v>0.329015625</v>
      </c>
      <c r="AR24" s="8">
        <f>AR$2*(Underlying*EXP(-DividendYield*TimeToExpiration)*_xlfn.NORM.DIST(AR$2*(LN(Underlying/$H24)+(RiskFreeRate-DividendYield+0.5*AQ24^2)*TimeToExpiration)/(AQ24*TimeToExpiration^0.5), 0, 1, TRUE) - 
       $H24*EXP(-RiskFreeRate*TimeToExpiration)*_xlfn.NORM.DIST(AR$2*(LN(Underlying/$H24)+(RiskFreeRate-DividendYield-0.5*AQ24^2)*TimeToExpiration)/(AQ24*TimeToExpiration^0.5), 0, 1, TRUE)
)</f>
        <v>4.957493772</v>
      </c>
      <c r="AS24" s="40">
        <f t="shared" si="21"/>
        <v>0.329015625</v>
      </c>
      <c r="AT24" s="40">
        <f t="shared" si="22"/>
        <v>0.375875</v>
      </c>
      <c r="AU24" s="7">
        <f>AU$2*(Underlying*EXP(-DividendYield*TimeToExpiration)*_xlfn.NORM.DIST(AU$2*(LN(Underlying/$H24)+(RiskFreeRate-DividendYield+0.5*AS24^2)*TimeToExpiration)/(AS24*TimeToExpiration^0.5), 0, 1, TRUE) - 
       $H24*EXP(-RiskFreeRate*TimeToExpiration)*_xlfn.NORM.DIST(AU$2*(LN(Underlying/$H24)+(RiskFreeRate-DividendYield-0.5*AS24^2)*TimeToExpiration)/(AS24*TimeToExpiration^0.5), 0, 1, TRUE)
)</f>
        <v>4.957493772</v>
      </c>
      <c r="AV24" s="7">
        <f>AV$2*(Underlying*EXP(-DividendYield*TimeToExpiration)*_xlfn.NORM.DIST(AV$2*(LN(Underlying/$H24)+(RiskFreeRate-DividendYield+0.5*AT24^2)*TimeToExpiration)/(AT24*TimeToExpiration^0.5), 0, 1, TRUE) - 
       $H24*EXP(-RiskFreeRate*TimeToExpiration)*_xlfn.NORM.DIST(AV$2*(LN(Underlying/$H24)+(RiskFreeRate-DividendYield-0.5*AT24^2)*TimeToExpiration)/(AT24*TimeToExpiration^0.5), 0, 1, TRUE)
)</f>
        <v>5.844402108</v>
      </c>
      <c r="AW24" s="40">
        <f t="shared" si="23"/>
        <v>0.3524453125</v>
      </c>
      <c r="AX24" s="8">
        <f>AX$2*(Underlying*EXP(-DividendYield*TimeToExpiration)*_xlfn.NORM.DIST(AX$2*(LN(Underlying/$H24)+(RiskFreeRate-DividendYield+0.5*AW24^2)*TimeToExpiration)/(AW24*TimeToExpiration^0.5), 0, 1, TRUE) - 
       $H24*EXP(-RiskFreeRate*TimeToExpiration)*_xlfn.NORM.DIST(AX$2*(LN(Underlying/$H24)+(RiskFreeRate-DividendYield-0.5*AW24^2)*TimeToExpiration)/(AW24*TimeToExpiration^0.5), 0, 1, TRUE)
)</f>
        <v>5.400509925</v>
      </c>
      <c r="AY24" s="40">
        <f t="shared" si="24"/>
        <v>0.3524453125</v>
      </c>
      <c r="AZ24" s="40">
        <f t="shared" si="25"/>
        <v>0.375875</v>
      </c>
      <c r="BA24" s="7">
        <f>BA$2*(Underlying*EXP(-DividendYield*TimeToExpiration)*_xlfn.NORM.DIST(BA$2*(LN(Underlying/$H24)+(RiskFreeRate-DividendYield+0.5*AY24^2)*TimeToExpiration)/(AY24*TimeToExpiration^0.5), 0, 1, TRUE) - 
       $H24*EXP(-RiskFreeRate*TimeToExpiration)*_xlfn.NORM.DIST(BA$2*(LN(Underlying/$H24)+(RiskFreeRate-DividendYield-0.5*AY24^2)*TimeToExpiration)/(AY24*TimeToExpiration^0.5), 0, 1, TRUE)
)</f>
        <v>5.400509925</v>
      </c>
      <c r="BB24" s="7">
        <f>BB$2*(Underlying*EXP(-DividendYield*TimeToExpiration)*_xlfn.NORM.DIST(BB$2*(LN(Underlying/$H24)+(RiskFreeRate-DividendYield+0.5*AZ24^2)*TimeToExpiration)/(AZ24*TimeToExpiration^0.5), 0, 1, TRUE) - 
       $H24*EXP(-RiskFreeRate*TimeToExpiration)*_xlfn.NORM.DIST(BB$2*(LN(Underlying/$H24)+(RiskFreeRate-DividendYield-0.5*AZ24^2)*TimeToExpiration)/(AZ24*TimeToExpiration^0.5), 0, 1, TRUE)
)</f>
        <v>5.844402108</v>
      </c>
      <c r="BC24" s="40">
        <f t="shared" si="26"/>
        <v>0.3641601563</v>
      </c>
      <c r="BD24" s="8">
        <f>BD$2*(Underlying*EXP(-DividendYield*TimeToExpiration)*_xlfn.NORM.DIST(BD$2*(LN(Underlying/$H24)+(RiskFreeRate-DividendYield+0.5*BC24^2)*TimeToExpiration)/(BC24*TimeToExpiration^0.5), 0, 1, TRUE) - 
       $H24*EXP(-RiskFreeRate*TimeToExpiration)*_xlfn.NORM.DIST(BD$2*(LN(Underlying/$H24)+(RiskFreeRate-DividendYield-0.5*BC24^2)*TimeToExpiration)/(BC24*TimeToExpiration^0.5), 0, 1, TRUE)
)</f>
        <v>5.622357278</v>
      </c>
      <c r="BE24" s="40">
        <f t="shared" si="27"/>
        <v>0.3524453125</v>
      </c>
      <c r="BF24" s="40">
        <f t="shared" si="28"/>
        <v>0.3641601563</v>
      </c>
      <c r="BG24" s="7">
        <f>BG$2*(Underlying*EXP(-DividendYield*TimeToExpiration)*_xlfn.NORM.DIST(BG$2*(LN(Underlying/$H24)+(RiskFreeRate-DividendYield+0.5*BE24^2)*TimeToExpiration)/(BE24*TimeToExpiration^0.5), 0, 1, TRUE) - 
       $H24*EXP(-RiskFreeRate*TimeToExpiration)*_xlfn.NORM.DIST(BG$2*(LN(Underlying/$H24)+(RiskFreeRate-DividendYield-0.5*BE24^2)*TimeToExpiration)/(BE24*TimeToExpiration^0.5), 0, 1, TRUE)
)</f>
        <v>5.400509925</v>
      </c>
      <c r="BH24" s="7">
        <f>BH$2*(Underlying*EXP(-DividendYield*TimeToExpiration)*_xlfn.NORM.DIST(BH$2*(LN(Underlying/$H24)+(RiskFreeRate-DividendYield+0.5*BF24^2)*TimeToExpiration)/(BF24*TimeToExpiration^0.5), 0, 1, TRUE) - 
       $H24*EXP(-RiskFreeRate*TimeToExpiration)*_xlfn.NORM.DIST(BH$2*(LN(Underlying/$H24)+(RiskFreeRate-DividendYield-0.5*BF24^2)*TimeToExpiration)/(BF24*TimeToExpiration^0.5), 0, 1, TRUE)
)</f>
        <v>5.622357278</v>
      </c>
      <c r="BI24" s="40">
        <f t="shared" si="29"/>
        <v>0.3583027344</v>
      </c>
      <c r="BJ24" s="8">
        <f>BJ$2*(Underlying*EXP(-DividendYield*TimeToExpiration)*_xlfn.NORM.DIST(BJ$2*(LN(Underlying/$H24)+(RiskFreeRate-DividendYield+0.5*BI24^2)*TimeToExpiration)/(BI24*TimeToExpiration^0.5), 0, 1, TRUE) - 
       $H24*EXP(-RiskFreeRate*TimeToExpiration)*_xlfn.NORM.DIST(BJ$2*(LN(Underlying/$H24)+(RiskFreeRate-DividendYield-0.5*BI24^2)*TimeToExpiration)/(BI24*TimeToExpiration^0.5), 0, 1, TRUE)
)</f>
        <v>5.511407679</v>
      </c>
      <c r="BK24" s="40">
        <f t="shared" si="30"/>
        <v>0.3583027344</v>
      </c>
      <c r="BL24" s="40">
        <f t="shared" si="31"/>
        <v>0.3641601563</v>
      </c>
      <c r="BM24" s="7">
        <f>BM$2*(Underlying*EXP(-DividendYield*TimeToExpiration)*_xlfn.NORM.DIST(BM$2*(LN(Underlying/$H24)+(RiskFreeRate-DividendYield+0.5*BK24^2)*TimeToExpiration)/(BK24*TimeToExpiration^0.5), 0, 1, TRUE) - 
       $H24*EXP(-RiskFreeRate*TimeToExpiration)*_xlfn.NORM.DIST(BM$2*(LN(Underlying/$H24)+(RiskFreeRate-DividendYield-0.5*BK24^2)*TimeToExpiration)/(BK24*TimeToExpiration^0.5), 0, 1, TRUE)
)</f>
        <v>5.511407679</v>
      </c>
      <c r="BN24" s="7">
        <f>BN$2*(Underlying*EXP(-DividendYield*TimeToExpiration)*_xlfn.NORM.DIST(BN$2*(LN(Underlying/$H24)+(RiskFreeRate-DividendYield+0.5*BL24^2)*TimeToExpiration)/(BL24*TimeToExpiration^0.5), 0, 1, TRUE) - 
       $H24*EXP(-RiskFreeRate*TimeToExpiration)*_xlfn.NORM.DIST(BN$2*(LN(Underlying/$H24)+(RiskFreeRate-DividendYield-0.5*BL24^2)*TimeToExpiration)/(BL24*TimeToExpiration^0.5), 0, 1, TRUE)
)</f>
        <v>5.622357278</v>
      </c>
      <c r="BO24" s="40">
        <f t="shared" si="32"/>
        <v>0.3612314453</v>
      </c>
      <c r="BP24" s="8">
        <f>BP$2*(Underlying*EXP(-DividendYield*TimeToExpiration)*_xlfn.NORM.DIST(BP$2*(LN(Underlying/$H24)+(RiskFreeRate-DividendYield+0.5*BO24^2)*TimeToExpiration)/(BO24*TimeToExpiration^0.5), 0, 1, TRUE) - 
       $H24*EXP(-RiskFreeRate*TimeToExpiration)*_xlfn.NORM.DIST(BP$2*(LN(Underlying/$H24)+(RiskFreeRate-DividendYield-0.5*BO24^2)*TimeToExpiration)/(BO24*TimeToExpiration^0.5), 0, 1, TRUE)
)</f>
        <v>5.566876159</v>
      </c>
      <c r="BQ24" s="40">
        <f t="shared" si="33"/>
        <v>0.3612314453</v>
      </c>
      <c r="BR24" s="40">
        <f t="shared" si="34"/>
        <v>0.3641601563</v>
      </c>
      <c r="BS24" s="7">
        <f>BS$2*(Underlying*EXP(-DividendYield*TimeToExpiration)*_xlfn.NORM.DIST(BS$2*(LN(Underlying/$H24)+(RiskFreeRate-DividendYield+0.5*BQ24^2)*TimeToExpiration)/(BQ24*TimeToExpiration^0.5), 0, 1, TRUE) - 
       $H24*EXP(-RiskFreeRate*TimeToExpiration)*_xlfn.NORM.DIST(BS$2*(LN(Underlying/$H24)+(RiskFreeRate-DividendYield-0.5*BQ24^2)*TimeToExpiration)/(BQ24*TimeToExpiration^0.5), 0, 1, TRUE)
)</f>
        <v>5.566876159</v>
      </c>
      <c r="BT24" s="7">
        <f>BT$2*(Underlying*EXP(-DividendYield*TimeToExpiration)*_xlfn.NORM.DIST(BT$2*(LN(Underlying/$H24)+(RiskFreeRate-DividendYield+0.5*BR24^2)*TimeToExpiration)/(BR24*TimeToExpiration^0.5), 0, 1, TRUE) - 
       $H24*EXP(-RiskFreeRate*TimeToExpiration)*_xlfn.NORM.DIST(BT$2*(LN(Underlying/$H24)+(RiskFreeRate-DividendYield-0.5*BR24^2)*TimeToExpiration)/(BR24*TimeToExpiration^0.5), 0, 1, TRUE)
)</f>
        <v>5.622357278</v>
      </c>
      <c r="BU24" s="40">
        <f t="shared" si="35"/>
        <v>0.3626958008</v>
      </c>
      <c r="BV24" s="8">
        <f>BV$2*(Underlying*EXP(-DividendYield*TimeToExpiration)*_xlfn.NORM.DIST(BV$2*(LN(Underlying/$H24)+(RiskFreeRate-DividendYield+0.5*BU24^2)*TimeToExpiration)/(BU24*TimeToExpiration^0.5), 0, 1, TRUE) - 
       $H24*EXP(-RiskFreeRate*TimeToExpiration)*_xlfn.NORM.DIST(BV$2*(LN(Underlying/$H24)+(RiskFreeRate-DividendYield-0.5*BU24^2)*TimeToExpiration)/(BU24*TimeToExpiration^0.5), 0, 1, TRUE)
)</f>
        <v>5.594615158</v>
      </c>
      <c r="BW24" s="40">
        <f t="shared" si="36"/>
        <v>0.3626958008</v>
      </c>
      <c r="BX24" s="40">
        <f t="shared" si="37"/>
        <v>0.3641601563</v>
      </c>
      <c r="BY24" s="7">
        <f>BY$2*(Underlying*EXP(-DividendYield*TimeToExpiration)*_xlfn.NORM.DIST(BY$2*(LN(Underlying/$H24)+(RiskFreeRate-DividendYield+0.5*BW24^2)*TimeToExpiration)/(BW24*TimeToExpiration^0.5), 0, 1, TRUE) - 
       $H24*EXP(-RiskFreeRate*TimeToExpiration)*_xlfn.NORM.DIST(BY$2*(LN(Underlying/$H24)+(RiskFreeRate-DividendYield-0.5*BW24^2)*TimeToExpiration)/(BW24*TimeToExpiration^0.5), 0, 1, TRUE)
)</f>
        <v>5.594615158</v>
      </c>
      <c r="BZ24" s="7">
        <f>BZ$2*(Underlying*EXP(-DividendYield*TimeToExpiration)*_xlfn.NORM.DIST(BZ$2*(LN(Underlying/$H24)+(RiskFreeRate-DividendYield+0.5*BX24^2)*TimeToExpiration)/(BX24*TimeToExpiration^0.5), 0, 1, TRUE) - 
       $H24*EXP(-RiskFreeRate*TimeToExpiration)*_xlfn.NORM.DIST(BZ$2*(LN(Underlying/$H24)+(RiskFreeRate-DividendYield-0.5*BX24^2)*TimeToExpiration)/(BX24*TimeToExpiration^0.5), 0, 1, TRUE)
)</f>
        <v>5.622357278</v>
      </c>
      <c r="CA24" s="40">
        <f t="shared" si="38"/>
        <v>0.3634279785</v>
      </c>
      <c r="CB24" s="8">
        <f>CB$2*(Underlying*EXP(-DividendYield*TimeToExpiration)*_xlfn.NORM.DIST(CB$2*(LN(Underlying/$H24)+(RiskFreeRate-DividendYield+0.5*CA24^2)*TimeToExpiration)/(CA24*TimeToExpiration^0.5), 0, 1, TRUE) - 
       $H24*EXP(-RiskFreeRate*TimeToExpiration)*_xlfn.NORM.DIST(CB$2*(LN(Underlying/$H24)+(RiskFreeRate-DividendYield-0.5*CA24^2)*TimeToExpiration)/(CA24*TimeToExpiration^0.5), 0, 1, TRUE)
)</f>
        <v>5.60848583</v>
      </c>
      <c r="CC24" s="40">
        <f t="shared" si="39"/>
        <v>0.3626958008</v>
      </c>
      <c r="CD24" s="40">
        <f t="shared" si="40"/>
        <v>0.3634279785</v>
      </c>
      <c r="CE24" s="7">
        <f>CE$2*(Underlying*EXP(-DividendYield*TimeToExpiration)*_xlfn.NORM.DIST(CE$2*(LN(Underlying/$H24)+(RiskFreeRate-DividendYield+0.5*CC24^2)*TimeToExpiration)/(CC24*TimeToExpiration^0.5), 0, 1, TRUE) - 
       $H24*EXP(-RiskFreeRate*TimeToExpiration)*_xlfn.NORM.DIST(CE$2*(LN(Underlying/$H24)+(RiskFreeRate-DividendYield-0.5*CC24^2)*TimeToExpiration)/(CC24*TimeToExpiration^0.5), 0, 1, TRUE)
)</f>
        <v>5.594615158</v>
      </c>
      <c r="CF24" s="7">
        <f>CF$2*(Underlying*EXP(-DividendYield*TimeToExpiration)*_xlfn.NORM.DIST(CF$2*(LN(Underlying/$H24)+(RiskFreeRate-DividendYield+0.5*CD24^2)*TimeToExpiration)/(CD24*TimeToExpiration^0.5), 0, 1, TRUE) - 
       $H24*EXP(-RiskFreeRate*TimeToExpiration)*_xlfn.NORM.DIST(CF$2*(LN(Underlying/$H24)+(RiskFreeRate-DividendYield-0.5*CD24^2)*TimeToExpiration)/(CD24*TimeToExpiration^0.5), 0, 1, TRUE)
)</f>
        <v>5.60848583</v>
      </c>
      <c r="CG24" s="40">
        <f t="shared" si="41"/>
        <v>0.3630618896</v>
      </c>
      <c r="CH24" s="8">
        <f>CH$2*(Underlying*EXP(-DividendYield*TimeToExpiration)*_xlfn.NORM.DIST(CH$2*(LN(Underlying/$H24)+(RiskFreeRate-DividendYield+0.5*CG24^2)*TimeToExpiration)/(CG24*TimeToExpiration^0.5), 0, 1, TRUE) - 
       $H24*EXP(-RiskFreeRate*TimeToExpiration)*_xlfn.NORM.DIST(CH$2*(LN(Underlying/$H24)+(RiskFreeRate-DividendYield-0.5*CG24^2)*TimeToExpiration)/(CG24*TimeToExpiration^0.5), 0, 1, TRUE)
)</f>
        <v>5.601550397</v>
      </c>
      <c r="CI24" s="40">
        <f t="shared" si="42"/>
        <v>0.3626958008</v>
      </c>
      <c r="CJ24" s="40">
        <f t="shared" si="43"/>
        <v>0.3630618896</v>
      </c>
      <c r="CK24" s="7">
        <f>CK$2*(Underlying*EXP(-DividendYield*TimeToExpiration)*_xlfn.NORM.DIST(CK$2*(LN(Underlying/$H24)+(RiskFreeRate-DividendYield+0.5*CI24^2)*TimeToExpiration)/(CI24*TimeToExpiration^0.5), 0, 1, TRUE) - 
       $H24*EXP(-RiskFreeRate*TimeToExpiration)*_xlfn.NORM.DIST(CK$2*(LN(Underlying/$H24)+(RiskFreeRate-DividendYield-0.5*CI24^2)*TimeToExpiration)/(CI24*TimeToExpiration^0.5), 0, 1, TRUE)
)</f>
        <v>5.594615158</v>
      </c>
      <c r="CL24" s="7">
        <f>CL$2*(Underlying*EXP(-DividendYield*TimeToExpiration)*_xlfn.NORM.DIST(CL$2*(LN(Underlying/$H24)+(RiskFreeRate-DividendYield+0.5*CJ24^2)*TimeToExpiration)/(CJ24*TimeToExpiration^0.5), 0, 1, TRUE) - 
       $H24*EXP(-RiskFreeRate*TimeToExpiration)*_xlfn.NORM.DIST(CL$2*(LN(Underlying/$H24)+(RiskFreeRate-DividendYield-0.5*CJ24^2)*TimeToExpiration)/(CJ24*TimeToExpiration^0.5), 0, 1, TRUE)
)</f>
        <v>5.601550397</v>
      </c>
      <c r="CM24" s="40">
        <f t="shared" si="44"/>
        <v>0.3628788452</v>
      </c>
      <c r="CN24" s="8">
        <f>CN$2*(Underlying*EXP(-DividendYield*TimeToExpiration)*_xlfn.NORM.DIST(CN$2*(LN(Underlying/$H24)+(RiskFreeRate-DividendYield+0.5*CM24^2)*TimeToExpiration)/(CM24*TimeToExpiration^0.5), 0, 1, TRUE) - 
       $H24*EXP(-RiskFreeRate*TimeToExpiration)*_xlfn.NORM.DIST(CN$2*(LN(Underlying/$H24)+(RiskFreeRate-DividendYield-0.5*CM24^2)*TimeToExpiration)/(CM24*TimeToExpiration^0.5), 0, 1, TRUE)
)</f>
        <v>5.598082753</v>
      </c>
      <c r="CO24" s="40">
        <f t="shared" si="45"/>
        <v>0.3628788452</v>
      </c>
      <c r="CP24" s="40">
        <f t="shared" si="46"/>
        <v>0.3630618896</v>
      </c>
      <c r="CQ24" s="7">
        <f>CQ$2*(Underlying*EXP(-DividendYield*TimeToExpiration)*_xlfn.NORM.DIST(CQ$2*(LN(Underlying/$H24)+(RiskFreeRate-DividendYield+0.5*CO24^2)*TimeToExpiration)/(CO24*TimeToExpiration^0.5), 0, 1, TRUE) - 
       $H24*EXP(-RiskFreeRate*TimeToExpiration)*_xlfn.NORM.DIST(CQ$2*(LN(Underlying/$H24)+(RiskFreeRate-DividendYield-0.5*CO24^2)*TimeToExpiration)/(CO24*TimeToExpiration^0.5), 0, 1, TRUE)
)</f>
        <v>5.598082753</v>
      </c>
      <c r="CR24" s="7">
        <f>CR$2*(Underlying*EXP(-DividendYield*TimeToExpiration)*_xlfn.NORM.DIST(CR$2*(LN(Underlying/$H24)+(RiskFreeRate-DividendYield+0.5*CP24^2)*TimeToExpiration)/(CP24*TimeToExpiration^0.5), 0, 1, TRUE) - 
       $H24*EXP(-RiskFreeRate*TimeToExpiration)*_xlfn.NORM.DIST(CR$2*(LN(Underlying/$H24)+(RiskFreeRate-DividendYield-0.5*CP24^2)*TimeToExpiration)/(CP24*TimeToExpiration^0.5), 0, 1, TRUE)
)</f>
        <v>5.601550397</v>
      </c>
      <c r="CS24" s="40">
        <f t="shared" si="47"/>
        <v>0.3629703674</v>
      </c>
      <c r="CT24" s="8">
        <f>CT$2*(Underlying*EXP(-DividendYield*TimeToExpiration)*_xlfn.NORM.DIST(CT$2*(LN(Underlying/$H24)+(RiskFreeRate-DividendYield+0.5*CS24^2)*TimeToExpiration)/(CS24*TimeToExpiration^0.5), 0, 1, TRUE) - 
       $H24*EXP(-RiskFreeRate*TimeToExpiration)*_xlfn.NORM.DIST(CT$2*(LN(Underlying/$H24)+(RiskFreeRate-DividendYield-0.5*CS24^2)*TimeToExpiration)/(CS24*TimeToExpiration^0.5), 0, 1, TRUE)
)</f>
        <v>5.599816569</v>
      </c>
      <c r="CU24" s="40">
        <f t="shared" si="48"/>
        <v>0.3629703674</v>
      </c>
      <c r="CV24" s="40">
        <f t="shared" si="49"/>
        <v>0.3630618896</v>
      </c>
      <c r="CW24" s="7">
        <f>CW$2*(Underlying*EXP(-DividendYield*TimeToExpiration)*_xlfn.NORM.DIST(CW$2*(LN(Underlying/$H24)+(RiskFreeRate-DividendYield+0.5*CU24^2)*TimeToExpiration)/(CU24*TimeToExpiration^0.5), 0, 1, TRUE) - 
       $H24*EXP(-RiskFreeRate*TimeToExpiration)*_xlfn.NORM.DIST(CW$2*(LN(Underlying/$H24)+(RiskFreeRate-DividendYield-0.5*CU24^2)*TimeToExpiration)/(CU24*TimeToExpiration^0.5), 0, 1, TRUE)
)</f>
        <v>5.599816569</v>
      </c>
      <c r="CX24" s="7">
        <f>CX$2*(Underlying*EXP(-DividendYield*TimeToExpiration)*_xlfn.NORM.DIST(CX$2*(LN(Underlying/$H24)+(RiskFreeRate-DividendYield+0.5*CV24^2)*TimeToExpiration)/(CV24*TimeToExpiration^0.5), 0, 1, TRUE) - 
       $H24*EXP(-RiskFreeRate*TimeToExpiration)*_xlfn.NORM.DIST(CX$2*(LN(Underlying/$H24)+(RiskFreeRate-DividendYield-0.5*CV24^2)*TimeToExpiration)/(CV24*TimeToExpiration^0.5), 0, 1, TRUE)
)</f>
        <v>5.601550397</v>
      </c>
      <c r="CY24" s="40">
        <f t="shared" si="50"/>
        <v>0.3630161285</v>
      </c>
      <c r="CZ24" s="8">
        <f>CZ$2*(Underlying*EXP(-DividendYield*TimeToExpiration)*_xlfn.NORM.DIST(CZ$2*(LN(Underlying/$H24)+(RiskFreeRate-DividendYield+0.5*CY24^2)*TimeToExpiration)/(CY24*TimeToExpiration^0.5), 0, 1, TRUE) - 
       $H24*EXP(-RiskFreeRate*TimeToExpiration)*_xlfn.NORM.DIST(CZ$2*(LN(Underlying/$H24)+(RiskFreeRate-DividendYield-0.5*CY24^2)*TimeToExpiration)/(CY24*TimeToExpiration^0.5), 0, 1, TRUE)
)</f>
        <v>5.600683481</v>
      </c>
      <c r="DA24" s="40">
        <f t="shared" si="51"/>
        <v>0.3629703674</v>
      </c>
      <c r="DB24" s="40">
        <f t="shared" si="52"/>
        <v>0.3630161285</v>
      </c>
      <c r="DC24" s="7">
        <f>DC$2*(Underlying*EXP(-DividendYield*TimeToExpiration)*_xlfn.NORM.DIST(DC$2*(LN(Underlying/$H24)+(RiskFreeRate-DividendYield+0.5*DA24^2)*TimeToExpiration)/(DA24*TimeToExpiration^0.5), 0, 1, TRUE) - 
       $H24*EXP(-RiskFreeRate*TimeToExpiration)*_xlfn.NORM.DIST(DC$2*(LN(Underlying/$H24)+(RiskFreeRate-DividendYield-0.5*DA24^2)*TimeToExpiration)/(DA24*TimeToExpiration^0.5), 0, 1, TRUE)
)</f>
        <v>5.599816569</v>
      </c>
      <c r="DD24" s="7">
        <f>DD$2*(Underlying*EXP(-DividendYield*TimeToExpiration)*_xlfn.NORM.DIST(DD$2*(LN(Underlying/$H24)+(RiskFreeRate-DividendYield+0.5*DB24^2)*TimeToExpiration)/(DB24*TimeToExpiration^0.5), 0, 1, TRUE) - 
       $H24*EXP(-RiskFreeRate*TimeToExpiration)*_xlfn.NORM.DIST(DD$2*(LN(Underlying/$H24)+(RiskFreeRate-DividendYield-0.5*DB24^2)*TimeToExpiration)/(DB24*TimeToExpiration^0.5), 0, 1, TRUE)
)</f>
        <v>5.600683481</v>
      </c>
      <c r="DE24" s="40">
        <f t="shared" si="53"/>
        <v>0.362993248</v>
      </c>
      <c r="DF24" s="8">
        <f>DF$2*(Underlying*EXP(-DividendYield*TimeToExpiration)*_xlfn.NORM.DIST(DF$2*(LN(Underlying/$H24)+(RiskFreeRate-DividendYield+0.5*DE24^2)*TimeToExpiration)/(DE24*TimeToExpiration^0.5), 0, 1, TRUE) - 
       $H24*EXP(-RiskFreeRate*TimeToExpiration)*_xlfn.NORM.DIST(DF$2*(LN(Underlying/$H24)+(RiskFreeRate-DividendYield-0.5*DE24^2)*TimeToExpiration)/(DE24*TimeToExpiration^0.5), 0, 1, TRUE)
)</f>
        <v>5.600250025</v>
      </c>
    </row>
    <row r="25">
      <c r="A25" s="20">
        <f>'Option Mkt Data'!A25</f>
        <v>345</v>
      </c>
      <c r="B25" s="35">
        <f t="shared" ref="B25:C25" si="72">DE25</f>
        <v>0.3650524979</v>
      </c>
      <c r="C25" s="7">
        <f t="shared" si="72"/>
        <v>4.650316556</v>
      </c>
      <c r="D25" s="7">
        <f t="shared" si="3"/>
        <v>0.0003164612965</v>
      </c>
      <c r="E25" s="9">
        <f t="shared" si="4"/>
        <v>0.00006805619141</v>
      </c>
      <c r="F25" s="36">
        <f>D25/'Option Mkt Data'!L25</f>
        <v>0.003164631067</v>
      </c>
      <c r="G25" s="5">
        <f>'Option Mkt Data'!J25</f>
        <v>4.650000095</v>
      </c>
      <c r="H25" s="33">
        <f>'Option Mkt Data'!A25</f>
        <v>345</v>
      </c>
      <c r="I25" s="37">
        <f>MinSolverVola</f>
        <v>0.001</v>
      </c>
      <c r="J25" s="38">
        <f>MaxSolverVola</f>
        <v>3</v>
      </c>
      <c r="K25" s="39">
        <f>K$2*(Underlying*EXP(-DividendYield*TimeToExpiration)*_xlfn.NORM.DIST(K$2*(LN(Underlying/$H25)+(RiskFreeRate-DividendYield+0.5*I25^2)*TimeToExpiration)/(I25*TimeToExpiration^0.5), 0, 1, TRUE) - 
       $H25*EXP(-RiskFreeRate*TimeToExpiration)*_xlfn.NORM.DIST(K$2*(LN(Underlying/$H25)+(RiskFreeRate-DividendYield-0.5*I25^2)*TimeToExpiration)/(I25*TimeToExpiration^0.5), 0, 1, TRUE)
)</f>
        <v>0</v>
      </c>
      <c r="L25" s="7">
        <f>L$2*(Underlying*EXP(-DividendYield*TimeToExpiration)*_xlfn.NORM.DIST(L$2*(LN(Underlying/$H25)+(RiskFreeRate-DividendYield+0.5*J25^2)*TimeToExpiration)/(J25*TimeToExpiration^0.5), 0, 1, TRUE) - 
       $H25*EXP(-RiskFreeRate*TimeToExpiration)*_xlfn.NORM.DIST(L$2*(LN(Underlying/$H25)+(RiskFreeRate-DividendYield-0.5*J25^2)*TimeToExpiration)/(J25*TimeToExpiration^0.5), 0, 1, TRUE)
)</f>
        <v>54.7629466</v>
      </c>
      <c r="M25" s="40">
        <f t="shared" si="5"/>
        <v>1.5005</v>
      </c>
      <c r="N25" s="8">
        <f>N$2*(Underlying*EXP(-DividendYield*TimeToExpiration)*_xlfn.NORM.DIST(N$2*(LN(Underlying/$H25)+(RiskFreeRate-DividendYield+0.5*M25^2)*TimeToExpiration)/(M25*TimeToExpiration^0.5), 0, 1, TRUE) - 
       $H25*EXP(-RiskFreeRate*TimeToExpiration)*_xlfn.NORM.DIST(N$2*(LN(Underlying/$H25)+(RiskFreeRate-DividendYield-0.5*M25^2)*TimeToExpiration)/(M25*TimeToExpiration^0.5), 0, 1, TRUE)
)</f>
        <v>26.25134539</v>
      </c>
      <c r="O25" s="41">
        <f t="shared" si="6"/>
        <v>0.001</v>
      </c>
      <c r="P25" s="40">
        <f t="shared" si="7"/>
        <v>1.5005</v>
      </c>
      <c r="Q25" s="7">
        <f>Q$2*(Underlying*EXP(-DividendYield*TimeToExpiration)*_xlfn.NORM.DIST(Q$2*(LN(Underlying/$H25)+(RiskFreeRate-DividendYield+0.5*O25^2)*TimeToExpiration)/(O25*TimeToExpiration^0.5), 0, 1, TRUE) - 
       $H25*EXP(-RiskFreeRate*TimeToExpiration)*_xlfn.NORM.DIST(Q$2*(LN(Underlying/$H25)+(RiskFreeRate-DividendYield-0.5*O25^2)*TimeToExpiration)/(O25*TimeToExpiration^0.5), 0, 1, TRUE))</f>
        <v>0</v>
      </c>
      <c r="R25" s="7">
        <f>R$2*(Underlying*EXP(-DividendYield*TimeToExpiration)*_xlfn.NORM.DIST(R$2*(LN(Underlying/$H25)+(RiskFreeRate-DividendYield+0.5*P25^2)*TimeToExpiration)/(P25*TimeToExpiration^0.5), 0, 1, TRUE) - 
       $H25*EXP(-RiskFreeRate*TimeToExpiration)*_xlfn.NORM.DIST(R$2*(LN(Underlying/$H25)+(RiskFreeRate-DividendYield-0.5*P25^2)*TimeToExpiration)/(P25*TimeToExpiration^0.5), 0, 1, TRUE)
)</f>
        <v>26.25134539</v>
      </c>
      <c r="S25" s="40">
        <f t="shared" si="8"/>
        <v>0.75075</v>
      </c>
      <c r="T25" s="8">
        <f>T$2*(Underlying*EXP(-DividendYield*TimeToExpiration)*_xlfn.NORM.DIST(T$2*(LN(Underlying/$H25)+(RiskFreeRate-DividendYield+0.5*S25^2)*TimeToExpiration)/(S25*TimeToExpiration^0.5), 0, 1, TRUE) - 
       $H25*EXP(-RiskFreeRate*TimeToExpiration)*_xlfn.NORM.DIST(T$2*(LN(Underlying/$H25)+(RiskFreeRate-DividendYield-0.5*S25^2)*TimeToExpiration)/(S25*TimeToExpiration^0.5), 0, 1, TRUE)
)</f>
        <v>11.91537625</v>
      </c>
      <c r="U25" s="41">
        <f t="shared" si="9"/>
        <v>0.001</v>
      </c>
      <c r="V25" s="40">
        <f t="shared" si="10"/>
        <v>0.75075</v>
      </c>
      <c r="W25" s="7">
        <f>W$2*(Underlying*EXP(-DividendYield*TimeToExpiration)*_xlfn.NORM.DIST(W$2*(LN(Underlying/$H25)+(RiskFreeRate-DividendYield+0.5*U25^2)*TimeToExpiration)/(U25*TimeToExpiration^0.5), 0, 1, TRUE) - 
       $H25*EXP(-RiskFreeRate*TimeToExpiration)*_xlfn.NORM.DIST(W$2*(LN(Underlying/$H25)+(RiskFreeRate-DividendYield-0.5*U25^2)*TimeToExpiration)/(U25*TimeToExpiration^0.5), 0, 1, TRUE)
)</f>
        <v>0</v>
      </c>
      <c r="X25" s="7">
        <f>X$2*(Underlying*EXP(-DividendYield*TimeToExpiration)*_xlfn.NORM.DIST(X$2*(LN(Underlying/$H25)+(RiskFreeRate-DividendYield+0.5*V25^2)*TimeToExpiration)/(V25*TimeToExpiration^0.5), 0, 1, TRUE) - 
       $H25*EXP(-RiskFreeRate*TimeToExpiration)*_xlfn.NORM.DIST(X$2*(LN(Underlying/$H25)+(RiskFreeRate-DividendYield-0.5*V25^2)*TimeToExpiration)/(V25*TimeToExpiration^0.5), 0, 1, TRUE)
)</f>
        <v>11.91537625</v>
      </c>
      <c r="Y25" s="40">
        <f t="shared" si="11"/>
        <v>0.375875</v>
      </c>
      <c r="Z25" s="8">
        <f>Z$2*(Underlying*EXP(-DividendYield*TimeToExpiration)*_xlfn.NORM.DIST(Z$2*(LN(Underlying/$H25)+(RiskFreeRate-DividendYield+0.5*Y25^2)*TimeToExpiration)/(Y25*TimeToExpiration^0.5), 0, 1, TRUE) - 
       $H25*EXP(-RiskFreeRate*TimeToExpiration)*_xlfn.NORM.DIST(Z$2*(LN(Underlying/$H25)+(RiskFreeRate-DividendYield-0.5*Y25^2)*TimeToExpiration)/(Y25*TimeToExpiration^0.5), 0, 1, TRUE)
)</f>
        <v>4.84959909</v>
      </c>
      <c r="AA25" s="41">
        <f t="shared" si="12"/>
        <v>0.001</v>
      </c>
      <c r="AB25" s="40">
        <f t="shared" si="13"/>
        <v>0.375875</v>
      </c>
      <c r="AC25" s="7">
        <f>AC$2*(Underlying*EXP(-DividendYield*TimeToExpiration)*_xlfn.NORM.DIST(AC$2*(LN(Underlying/$H25)+(RiskFreeRate-DividendYield+0.5*AA25^2)*TimeToExpiration)/(AA25*TimeToExpiration^0.5), 0, 1, TRUE) - 
       $H25*EXP(-RiskFreeRate*TimeToExpiration)*_xlfn.NORM.DIST(AC$2*(LN(Underlying/$H25)+(RiskFreeRate-DividendYield-0.5*AA25^2)*TimeToExpiration)/(AA25*TimeToExpiration^0.5), 0, 1, TRUE)
)</f>
        <v>0</v>
      </c>
      <c r="AD25" s="7">
        <f>AD$2*(Underlying*EXP(-DividendYield*TimeToExpiration)*_xlfn.NORM.DIST(AD$2*(LN(Underlying/$H25)+(RiskFreeRate-DividendYield+0.5*AB25^2)*TimeToExpiration)/(AB25*TimeToExpiration^0.5), 0, 1, TRUE) - 
       $H25*EXP(-RiskFreeRate*TimeToExpiration)*_xlfn.NORM.DIST(AD$2*(LN(Underlying/$H25)+(RiskFreeRate-DividendYield-0.5*AB25^2)*TimeToExpiration)/(AB25*TimeToExpiration^0.5), 0, 1, TRUE)
)</f>
        <v>4.84959909</v>
      </c>
      <c r="AE25" s="40">
        <f t="shared" si="14"/>
        <v>0.1884375</v>
      </c>
      <c r="AF25" s="8">
        <f>AF$2*(Underlying*EXP(-DividendYield*TimeToExpiration)*_xlfn.NORM.DIST(AF$2*(LN(Underlying/$H25)+(RiskFreeRate-DividendYield+0.5*AE25^2)*TimeToExpiration)/(AE25*TimeToExpiration^0.5), 0, 1, TRUE) - 
       $H25*EXP(-RiskFreeRate*TimeToExpiration)*_xlfn.NORM.DIST(AF$2*(LN(Underlying/$H25)+(RiskFreeRate-DividendYield-0.5*AE25^2)*TimeToExpiration)/(AE25*TimeToExpiration^0.5), 0, 1, TRUE)
)</f>
        <v>1.542029625</v>
      </c>
      <c r="AG25" s="40">
        <f t="shared" si="15"/>
        <v>0.1884375</v>
      </c>
      <c r="AH25" s="40">
        <f t="shared" si="16"/>
        <v>0.375875</v>
      </c>
      <c r="AI25" s="7">
        <f>AI$2*(Underlying*EXP(-DividendYield*TimeToExpiration)*_xlfn.NORM.DIST(AI$2*(LN(Underlying/$H25)+(RiskFreeRate-DividendYield+0.5*AG25^2)*TimeToExpiration)/(AG25*TimeToExpiration^0.5), 0, 1, TRUE) - 
       $H25*EXP(-RiskFreeRate*TimeToExpiration)*_xlfn.NORM.DIST(AI$2*(LN(Underlying/$H25)+(RiskFreeRate-DividendYield-0.5*AG25^2)*TimeToExpiration)/(AG25*TimeToExpiration^0.5), 0, 1, TRUE)
)</f>
        <v>1.542029625</v>
      </c>
      <c r="AJ25" s="7">
        <f>AJ$2*(Underlying*EXP(-DividendYield*TimeToExpiration)*_xlfn.NORM.DIST(AJ$2*(LN(Underlying/$H25)+(RiskFreeRate-DividendYield+0.5*AH25^2)*TimeToExpiration)/(AH25*TimeToExpiration^0.5), 0, 1, TRUE) - 
       $H25*EXP(-RiskFreeRate*TimeToExpiration)*_xlfn.NORM.DIST(AJ$2*(LN(Underlying/$H25)+(RiskFreeRate-DividendYield-0.5*AH25^2)*TimeToExpiration)/(AH25*TimeToExpiration^0.5), 0, 1, TRUE)
)</f>
        <v>4.84959909</v>
      </c>
      <c r="AK25" s="40">
        <f t="shared" si="17"/>
        <v>0.28215625</v>
      </c>
      <c r="AL25" s="8">
        <f>AL$2*(Underlying*EXP(-DividendYield*TimeToExpiration)*_xlfn.NORM.DIST(AL$2*(LN(Underlying/$H25)+(RiskFreeRate-DividendYield+0.5*AK25^2)*TimeToExpiration)/(AK25*TimeToExpiration^0.5), 0, 1, TRUE) - 
       $H25*EXP(-RiskFreeRate*TimeToExpiration)*_xlfn.NORM.DIST(AL$2*(LN(Underlying/$H25)+(RiskFreeRate-DividendYield-0.5*AK25^2)*TimeToExpiration)/(AK25*TimeToExpiration^0.5), 0, 1, TRUE)
)</f>
        <v>3.146984224</v>
      </c>
      <c r="AM25" s="40">
        <f t="shared" si="18"/>
        <v>0.28215625</v>
      </c>
      <c r="AN25" s="40">
        <f t="shared" si="19"/>
        <v>0.375875</v>
      </c>
      <c r="AO25" s="7">
        <f>AO$2*(Underlying*EXP(-DividendYield*TimeToExpiration)*_xlfn.NORM.DIST(AO$2*(LN(Underlying/$H25)+(RiskFreeRate-DividendYield+0.5*AM25^2)*TimeToExpiration)/(AM25*TimeToExpiration^0.5), 0, 1, TRUE) - 
       $H25*EXP(-RiskFreeRate*TimeToExpiration)*_xlfn.NORM.DIST(AO$2*(LN(Underlying/$H25)+(RiskFreeRate-DividendYield-0.5*AM25^2)*TimeToExpiration)/(AM25*TimeToExpiration^0.5), 0, 1, TRUE)
)</f>
        <v>3.146984224</v>
      </c>
      <c r="AP25" s="7">
        <f>AP$2*(Underlying*EXP(-DividendYield*TimeToExpiration)*_xlfn.NORM.DIST(AP$2*(LN(Underlying/$H25)+(RiskFreeRate-DividendYield+0.5*AN25^2)*TimeToExpiration)/(AN25*TimeToExpiration^0.5), 0, 1, TRUE) - 
       $H25*EXP(-RiskFreeRate*TimeToExpiration)*_xlfn.NORM.DIST(AP$2*(LN(Underlying/$H25)+(RiskFreeRate-DividendYield-0.5*AN25^2)*TimeToExpiration)/(AN25*TimeToExpiration^0.5), 0, 1, TRUE)
)</f>
        <v>4.84959909</v>
      </c>
      <c r="AQ25" s="40">
        <f t="shared" si="20"/>
        <v>0.329015625</v>
      </c>
      <c r="AR25" s="8">
        <f>AR$2*(Underlying*EXP(-DividendYield*TimeToExpiration)*_xlfn.NORM.DIST(AR$2*(LN(Underlying/$H25)+(RiskFreeRate-DividendYield+0.5*AQ25^2)*TimeToExpiration)/(AQ25*TimeToExpiration^0.5), 0, 1, TRUE) - 
       $H25*EXP(-RiskFreeRate*TimeToExpiration)*_xlfn.NORM.DIST(AR$2*(LN(Underlying/$H25)+(RiskFreeRate-DividendYield-0.5*AQ25^2)*TimeToExpiration)/(AQ25*TimeToExpiration^0.5), 0, 1, TRUE)
)</f>
        <v>3.991071293</v>
      </c>
      <c r="AS25" s="40">
        <f t="shared" si="21"/>
        <v>0.329015625</v>
      </c>
      <c r="AT25" s="40">
        <f t="shared" si="22"/>
        <v>0.375875</v>
      </c>
      <c r="AU25" s="7">
        <f>AU$2*(Underlying*EXP(-DividendYield*TimeToExpiration)*_xlfn.NORM.DIST(AU$2*(LN(Underlying/$H25)+(RiskFreeRate-DividendYield+0.5*AS25^2)*TimeToExpiration)/(AS25*TimeToExpiration^0.5), 0, 1, TRUE) - 
       $H25*EXP(-RiskFreeRate*TimeToExpiration)*_xlfn.NORM.DIST(AU$2*(LN(Underlying/$H25)+(RiskFreeRate-DividendYield-0.5*AS25^2)*TimeToExpiration)/(AS25*TimeToExpiration^0.5), 0, 1, TRUE)
)</f>
        <v>3.991071293</v>
      </c>
      <c r="AV25" s="7">
        <f>AV$2*(Underlying*EXP(-DividendYield*TimeToExpiration)*_xlfn.NORM.DIST(AV$2*(LN(Underlying/$H25)+(RiskFreeRate-DividendYield+0.5*AT25^2)*TimeToExpiration)/(AT25*TimeToExpiration^0.5), 0, 1, TRUE) - 
       $H25*EXP(-RiskFreeRate*TimeToExpiration)*_xlfn.NORM.DIST(AV$2*(LN(Underlying/$H25)+(RiskFreeRate-DividendYield-0.5*AT25^2)*TimeToExpiration)/(AT25*TimeToExpiration^0.5), 0, 1, TRUE)
)</f>
        <v>4.84959909</v>
      </c>
      <c r="AW25" s="40">
        <f t="shared" si="23"/>
        <v>0.3524453125</v>
      </c>
      <c r="AX25" s="8">
        <f>AX$2*(Underlying*EXP(-DividendYield*TimeToExpiration)*_xlfn.NORM.DIST(AX$2*(LN(Underlying/$H25)+(RiskFreeRate-DividendYield+0.5*AW25^2)*TimeToExpiration)/(AW25*TimeToExpiration^0.5), 0, 1, TRUE) - 
       $H25*EXP(-RiskFreeRate*TimeToExpiration)*_xlfn.NORM.DIST(AX$2*(LN(Underlying/$H25)+(RiskFreeRate-DividendYield-0.5*AW25^2)*TimeToExpiration)/(AW25*TimeToExpiration^0.5), 0, 1, TRUE)
)</f>
        <v>4.418879303</v>
      </c>
      <c r="AY25" s="40">
        <f t="shared" si="24"/>
        <v>0.3524453125</v>
      </c>
      <c r="AZ25" s="40">
        <f t="shared" si="25"/>
        <v>0.375875</v>
      </c>
      <c r="BA25" s="7">
        <f>BA$2*(Underlying*EXP(-DividendYield*TimeToExpiration)*_xlfn.NORM.DIST(BA$2*(LN(Underlying/$H25)+(RiskFreeRate-DividendYield+0.5*AY25^2)*TimeToExpiration)/(AY25*TimeToExpiration^0.5), 0, 1, TRUE) - 
       $H25*EXP(-RiskFreeRate*TimeToExpiration)*_xlfn.NORM.DIST(BA$2*(LN(Underlying/$H25)+(RiskFreeRate-DividendYield-0.5*AY25^2)*TimeToExpiration)/(AY25*TimeToExpiration^0.5), 0, 1, TRUE)
)</f>
        <v>4.418879303</v>
      </c>
      <c r="BB25" s="7">
        <f>BB$2*(Underlying*EXP(-DividendYield*TimeToExpiration)*_xlfn.NORM.DIST(BB$2*(LN(Underlying/$H25)+(RiskFreeRate-DividendYield+0.5*AZ25^2)*TimeToExpiration)/(AZ25*TimeToExpiration^0.5), 0, 1, TRUE) - 
       $H25*EXP(-RiskFreeRate*TimeToExpiration)*_xlfn.NORM.DIST(BB$2*(LN(Underlying/$H25)+(RiskFreeRate-DividendYield-0.5*AZ25^2)*TimeToExpiration)/(AZ25*TimeToExpiration^0.5), 0, 1, TRUE)
)</f>
        <v>4.84959909</v>
      </c>
      <c r="BC25" s="40">
        <f t="shared" si="26"/>
        <v>0.3641601563</v>
      </c>
      <c r="BD25" s="8">
        <f>BD$2*(Underlying*EXP(-DividendYield*TimeToExpiration)*_xlfn.NORM.DIST(BD$2*(LN(Underlying/$H25)+(RiskFreeRate-DividendYield+0.5*BC25^2)*TimeToExpiration)/(BC25*TimeToExpiration^0.5), 0, 1, TRUE) - 
       $H25*EXP(-RiskFreeRate*TimeToExpiration)*_xlfn.NORM.DIST(BD$2*(LN(Underlying/$H25)+(RiskFreeRate-DividendYield-0.5*BC25^2)*TimeToExpiration)/(BC25*TimeToExpiration^0.5), 0, 1, TRUE)
)</f>
        <v>4.633909493</v>
      </c>
      <c r="BE25" s="40">
        <f t="shared" si="27"/>
        <v>0.3641601563</v>
      </c>
      <c r="BF25" s="40">
        <f t="shared" si="28"/>
        <v>0.375875</v>
      </c>
      <c r="BG25" s="7">
        <f>BG$2*(Underlying*EXP(-DividendYield*TimeToExpiration)*_xlfn.NORM.DIST(BG$2*(LN(Underlying/$H25)+(RiskFreeRate-DividendYield+0.5*BE25^2)*TimeToExpiration)/(BE25*TimeToExpiration^0.5), 0, 1, TRUE) - 
       $H25*EXP(-RiskFreeRate*TimeToExpiration)*_xlfn.NORM.DIST(BG$2*(LN(Underlying/$H25)+(RiskFreeRate-DividendYield-0.5*BE25^2)*TimeToExpiration)/(BE25*TimeToExpiration^0.5), 0, 1, TRUE)
)</f>
        <v>4.633909493</v>
      </c>
      <c r="BH25" s="7">
        <f>BH$2*(Underlying*EXP(-DividendYield*TimeToExpiration)*_xlfn.NORM.DIST(BH$2*(LN(Underlying/$H25)+(RiskFreeRate-DividendYield+0.5*BF25^2)*TimeToExpiration)/(BF25*TimeToExpiration^0.5), 0, 1, TRUE) - 
       $H25*EXP(-RiskFreeRate*TimeToExpiration)*_xlfn.NORM.DIST(BH$2*(LN(Underlying/$H25)+(RiskFreeRate-DividendYield-0.5*BF25^2)*TimeToExpiration)/(BF25*TimeToExpiration^0.5), 0, 1, TRUE)
)</f>
        <v>4.84959909</v>
      </c>
      <c r="BI25" s="40">
        <f t="shared" si="29"/>
        <v>0.3700175781</v>
      </c>
      <c r="BJ25" s="8">
        <f>BJ$2*(Underlying*EXP(-DividendYield*TimeToExpiration)*_xlfn.NORM.DIST(BJ$2*(LN(Underlying/$H25)+(RiskFreeRate-DividendYield+0.5*BI25^2)*TimeToExpiration)/(BI25*TimeToExpiration^0.5), 0, 1, TRUE) - 
       $H25*EXP(-RiskFreeRate*TimeToExpiration)*_xlfn.NORM.DIST(BJ$2*(LN(Underlying/$H25)+(RiskFreeRate-DividendYield-0.5*BI25^2)*TimeToExpiration)/(BI25*TimeToExpiration^0.5), 0, 1, TRUE)
)</f>
        <v>4.741675695</v>
      </c>
      <c r="BK25" s="40">
        <f t="shared" si="30"/>
        <v>0.3641601563</v>
      </c>
      <c r="BL25" s="40">
        <f t="shared" si="31"/>
        <v>0.3700175781</v>
      </c>
      <c r="BM25" s="7">
        <f>BM$2*(Underlying*EXP(-DividendYield*TimeToExpiration)*_xlfn.NORM.DIST(BM$2*(LN(Underlying/$H25)+(RiskFreeRate-DividendYield+0.5*BK25^2)*TimeToExpiration)/(BK25*TimeToExpiration^0.5), 0, 1, TRUE) - 
       $H25*EXP(-RiskFreeRate*TimeToExpiration)*_xlfn.NORM.DIST(BM$2*(LN(Underlying/$H25)+(RiskFreeRate-DividendYield-0.5*BK25^2)*TimeToExpiration)/(BK25*TimeToExpiration^0.5), 0, 1, TRUE)
)</f>
        <v>4.633909493</v>
      </c>
      <c r="BN25" s="7">
        <f>BN$2*(Underlying*EXP(-DividendYield*TimeToExpiration)*_xlfn.NORM.DIST(BN$2*(LN(Underlying/$H25)+(RiskFreeRate-DividendYield+0.5*BL25^2)*TimeToExpiration)/(BL25*TimeToExpiration^0.5), 0, 1, TRUE) - 
       $H25*EXP(-RiskFreeRate*TimeToExpiration)*_xlfn.NORM.DIST(BN$2*(LN(Underlying/$H25)+(RiskFreeRate-DividendYield-0.5*BL25^2)*TimeToExpiration)/(BL25*TimeToExpiration^0.5), 0, 1, TRUE)
)</f>
        <v>4.741675695</v>
      </c>
      <c r="BO25" s="40">
        <f t="shared" si="32"/>
        <v>0.3670888672</v>
      </c>
      <c r="BP25" s="8">
        <f>BP$2*(Underlying*EXP(-DividendYield*TimeToExpiration)*_xlfn.NORM.DIST(BP$2*(LN(Underlying/$H25)+(RiskFreeRate-DividendYield+0.5*BO25^2)*TimeToExpiration)/(BO25*TimeToExpiration^0.5), 0, 1, TRUE) - 
       $H25*EXP(-RiskFreeRate*TimeToExpiration)*_xlfn.NORM.DIST(BP$2*(LN(Underlying/$H25)+(RiskFreeRate-DividendYield-0.5*BO25^2)*TimeToExpiration)/(BO25*TimeToExpiration^0.5), 0, 1, TRUE)
)</f>
        <v>4.687772484</v>
      </c>
      <c r="BQ25" s="40">
        <f t="shared" si="33"/>
        <v>0.3641601563</v>
      </c>
      <c r="BR25" s="40">
        <f t="shared" si="34"/>
        <v>0.3670888672</v>
      </c>
      <c r="BS25" s="7">
        <f>BS$2*(Underlying*EXP(-DividendYield*TimeToExpiration)*_xlfn.NORM.DIST(BS$2*(LN(Underlying/$H25)+(RiskFreeRate-DividendYield+0.5*BQ25^2)*TimeToExpiration)/(BQ25*TimeToExpiration^0.5), 0, 1, TRUE) - 
       $H25*EXP(-RiskFreeRate*TimeToExpiration)*_xlfn.NORM.DIST(BS$2*(LN(Underlying/$H25)+(RiskFreeRate-DividendYield-0.5*BQ25^2)*TimeToExpiration)/(BQ25*TimeToExpiration^0.5), 0, 1, TRUE)
)</f>
        <v>4.633909493</v>
      </c>
      <c r="BT25" s="7">
        <f>BT$2*(Underlying*EXP(-DividendYield*TimeToExpiration)*_xlfn.NORM.DIST(BT$2*(LN(Underlying/$H25)+(RiskFreeRate-DividendYield+0.5*BR25^2)*TimeToExpiration)/(BR25*TimeToExpiration^0.5), 0, 1, TRUE) - 
       $H25*EXP(-RiskFreeRate*TimeToExpiration)*_xlfn.NORM.DIST(BT$2*(LN(Underlying/$H25)+(RiskFreeRate-DividendYield-0.5*BR25^2)*TimeToExpiration)/(BR25*TimeToExpiration^0.5), 0, 1, TRUE)
)</f>
        <v>4.687772484</v>
      </c>
      <c r="BU25" s="40">
        <f t="shared" si="35"/>
        <v>0.3656245117</v>
      </c>
      <c r="BV25" s="8">
        <f>BV$2*(Underlying*EXP(-DividendYield*TimeToExpiration)*_xlfn.NORM.DIST(BV$2*(LN(Underlying/$H25)+(RiskFreeRate-DividendYield+0.5*BU25^2)*TimeToExpiration)/(BU25*TimeToExpiration^0.5), 0, 1, TRUE) - 
       $H25*EXP(-RiskFreeRate*TimeToExpiration)*_xlfn.NORM.DIST(BV$2*(LN(Underlying/$H25)+(RiskFreeRate-DividendYield-0.5*BU25^2)*TimeToExpiration)/(BU25*TimeToExpiration^0.5), 0, 1, TRUE)
)</f>
        <v>4.660835902</v>
      </c>
      <c r="BW25" s="40">
        <f t="shared" si="36"/>
        <v>0.3641601563</v>
      </c>
      <c r="BX25" s="40">
        <f t="shared" si="37"/>
        <v>0.3656245117</v>
      </c>
      <c r="BY25" s="7">
        <f>BY$2*(Underlying*EXP(-DividendYield*TimeToExpiration)*_xlfn.NORM.DIST(BY$2*(LN(Underlying/$H25)+(RiskFreeRate-DividendYield+0.5*BW25^2)*TimeToExpiration)/(BW25*TimeToExpiration^0.5), 0, 1, TRUE) - 
       $H25*EXP(-RiskFreeRate*TimeToExpiration)*_xlfn.NORM.DIST(BY$2*(LN(Underlying/$H25)+(RiskFreeRate-DividendYield-0.5*BW25^2)*TimeToExpiration)/(BW25*TimeToExpiration^0.5), 0, 1, TRUE)
)</f>
        <v>4.633909493</v>
      </c>
      <c r="BZ25" s="7">
        <f>BZ$2*(Underlying*EXP(-DividendYield*TimeToExpiration)*_xlfn.NORM.DIST(BZ$2*(LN(Underlying/$H25)+(RiskFreeRate-DividendYield+0.5*BX25^2)*TimeToExpiration)/(BX25*TimeToExpiration^0.5), 0, 1, TRUE) - 
       $H25*EXP(-RiskFreeRate*TimeToExpiration)*_xlfn.NORM.DIST(BZ$2*(LN(Underlying/$H25)+(RiskFreeRate-DividendYield-0.5*BX25^2)*TimeToExpiration)/(BX25*TimeToExpiration^0.5), 0, 1, TRUE)
)</f>
        <v>4.660835902</v>
      </c>
      <c r="CA25" s="40">
        <f t="shared" si="38"/>
        <v>0.364892334</v>
      </c>
      <c r="CB25" s="8">
        <f>CB$2*(Underlying*EXP(-DividendYield*TimeToExpiration)*_xlfn.NORM.DIST(CB$2*(LN(Underlying/$H25)+(RiskFreeRate-DividendYield+0.5*CA25^2)*TimeToExpiration)/(CA25*TimeToExpiration^0.5), 0, 1, TRUE) - 
       $H25*EXP(-RiskFreeRate*TimeToExpiration)*_xlfn.NORM.DIST(CB$2*(LN(Underlying/$H25)+(RiskFreeRate-DividendYield-0.5*CA25^2)*TimeToExpiration)/(CA25*TimeToExpiration^0.5), 0, 1, TRUE)
)</f>
        <v>4.647371419</v>
      </c>
      <c r="CC25" s="40">
        <f t="shared" si="39"/>
        <v>0.364892334</v>
      </c>
      <c r="CD25" s="40">
        <f t="shared" si="40"/>
        <v>0.3656245117</v>
      </c>
      <c r="CE25" s="7">
        <f>CE$2*(Underlying*EXP(-DividendYield*TimeToExpiration)*_xlfn.NORM.DIST(CE$2*(LN(Underlying/$H25)+(RiskFreeRate-DividendYield+0.5*CC25^2)*TimeToExpiration)/(CC25*TimeToExpiration^0.5), 0, 1, TRUE) - 
       $H25*EXP(-RiskFreeRate*TimeToExpiration)*_xlfn.NORM.DIST(CE$2*(LN(Underlying/$H25)+(RiskFreeRate-DividendYield-0.5*CC25^2)*TimeToExpiration)/(CC25*TimeToExpiration^0.5), 0, 1, TRUE)
)</f>
        <v>4.647371419</v>
      </c>
      <c r="CF25" s="7">
        <f>CF$2*(Underlying*EXP(-DividendYield*TimeToExpiration)*_xlfn.NORM.DIST(CF$2*(LN(Underlying/$H25)+(RiskFreeRate-DividendYield+0.5*CD25^2)*TimeToExpiration)/(CD25*TimeToExpiration^0.5), 0, 1, TRUE) - 
       $H25*EXP(-RiskFreeRate*TimeToExpiration)*_xlfn.NORM.DIST(CF$2*(LN(Underlying/$H25)+(RiskFreeRate-DividendYield-0.5*CD25^2)*TimeToExpiration)/(CD25*TimeToExpiration^0.5), 0, 1, TRUE)
)</f>
        <v>4.660835902</v>
      </c>
      <c r="CG25" s="40">
        <f t="shared" si="41"/>
        <v>0.3652584229</v>
      </c>
      <c r="CH25" s="8">
        <f>CH$2*(Underlying*EXP(-DividendYield*TimeToExpiration)*_xlfn.NORM.DIST(CH$2*(LN(Underlying/$H25)+(RiskFreeRate-DividendYield+0.5*CG25^2)*TimeToExpiration)/(CG25*TimeToExpiration^0.5), 0, 1, TRUE) - 
       $H25*EXP(-RiskFreeRate*TimeToExpiration)*_xlfn.NORM.DIST(CH$2*(LN(Underlying/$H25)+(RiskFreeRate-DividendYield-0.5*CG25^2)*TimeToExpiration)/(CG25*TimeToExpiration^0.5), 0, 1, TRUE)
)</f>
        <v>4.654103342</v>
      </c>
      <c r="CI25" s="40">
        <f t="shared" si="42"/>
        <v>0.364892334</v>
      </c>
      <c r="CJ25" s="40">
        <f t="shared" si="43"/>
        <v>0.3652584229</v>
      </c>
      <c r="CK25" s="7">
        <f>CK$2*(Underlying*EXP(-DividendYield*TimeToExpiration)*_xlfn.NORM.DIST(CK$2*(LN(Underlying/$H25)+(RiskFreeRate-DividendYield+0.5*CI25^2)*TimeToExpiration)/(CI25*TimeToExpiration^0.5), 0, 1, TRUE) - 
       $H25*EXP(-RiskFreeRate*TimeToExpiration)*_xlfn.NORM.DIST(CK$2*(LN(Underlying/$H25)+(RiskFreeRate-DividendYield-0.5*CI25^2)*TimeToExpiration)/(CI25*TimeToExpiration^0.5), 0, 1, TRUE)
)</f>
        <v>4.647371419</v>
      </c>
      <c r="CL25" s="7">
        <f>CL$2*(Underlying*EXP(-DividendYield*TimeToExpiration)*_xlfn.NORM.DIST(CL$2*(LN(Underlying/$H25)+(RiskFreeRate-DividendYield+0.5*CJ25^2)*TimeToExpiration)/(CJ25*TimeToExpiration^0.5), 0, 1, TRUE) - 
       $H25*EXP(-RiskFreeRate*TimeToExpiration)*_xlfn.NORM.DIST(CL$2*(LN(Underlying/$H25)+(RiskFreeRate-DividendYield-0.5*CJ25^2)*TimeToExpiration)/(CJ25*TimeToExpiration^0.5), 0, 1, TRUE)
)</f>
        <v>4.654103342</v>
      </c>
      <c r="CM25" s="40">
        <f t="shared" si="44"/>
        <v>0.3650753784</v>
      </c>
      <c r="CN25" s="8">
        <f>CN$2*(Underlying*EXP(-DividendYield*TimeToExpiration)*_xlfn.NORM.DIST(CN$2*(LN(Underlying/$H25)+(RiskFreeRate-DividendYield+0.5*CM25^2)*TimeToExpiration)/(CM25*TimeToExpiration^0.5), 0, 1, TRUE) - 
       $H25*EXP(-RiskFreeRate*TimeToExpiration)*_xlfn.NORM.DIST(CN$2*(LN(Underlying/$H25)+(RiskFreeRate-DividendYield-0.5*CM25^2)*TimeToExpiration)/(CM25*TimeToExpiration^0.5), 0, 1, TRUE)
)</f>
        <v>4.6507373</v>
      </c>
      <c r="CO25" s="40">
        <f t="shared" si="45"/>
        <v>0.364892334</v>
      </c>
      <c r="CP25" s="40">
        <f t="shared" si="46"/>
        <v>0.3650753784</v>
      </c>
      <c r="CQ25" s="7">
        <f>CQ$2*(Underlying*EXP(-DividendYield*TimeToExpiration)*_xlfn.NORM.DIST(CQ$2*(LN(Underlying/$H25)+(RiskFreeRate-DividendYield+0.5*CO25^2)*TimeToExpiration)/(CO25*TimeToExpiration^0.5), 0, 1, TRUE) - 
       $H25*EXP(-RiskFreeRate*TimeToExpiration)*_xlfn.NORM.DIST(CQ$2*(LN(Underlying/$H25)+(RiskFreeRate-DividendYield-0.5*CO25^2)*TimeToExpiration)/(CO25*TimeToExpiration^0.5), 0, 1, TRUE)
)</f>
        <v>4.647371419</v>
      </c>
      <c r="CR25" s="7">
        <f>CR$2*(Underlying*EXP(-DividendYield*TimeToExpiration)*_xlfn.NORM.DIST(CR$2*(LN(Underlying/$H25)+(RiskFreeRate-DividendYield+0.5*CP25^2)*TimeToExpiration)/(CP25*TimeToExpiration^0.5), 0, 1, TRUE) - 
       $H25*EXP(-RiskFreeRate*TimeToExpiration)*_xlfn.NORM.DIST(CR$2*(LN(Underlying/$H25)+(RiskFreeRate-DividendYield-0.5*CP25^2)*TimeToExpiration)/(CP25*TimeToExpiration^0.5), 0, 1, TRUE)
)</f>
        <v>4.6507373</v>
      </c>
      <c r="CS25" s="40">
        <f t="shared" si="47"/>
        <v>0.3649838562</v>
      </c>
      <c r="CT25" s="8">
        <f>CT$2*(Underlying*EXP(-DividendYield*TimeToExpiration)*_xlfn.NORM.DIST(CT$2*(LN(Underlying/$H25)+(RiskFreeRate-DividendYield+0.5*CS25^2)*TimeToExpiration)/(CS25*TimeToExpiration^0.5), 0, 1, TRUE) - 
       $H25*EXP(-RiskFreeRate*TimeToExpiration)*_xlfn.NORM.DIST(CT$2*(LN(Underlying/$H25)+(RiskFreeRate-DividendYield-0.5*CS25^2)*TimeToExpiration)/(CS25*TimeToExpiration^0.5), 0, 1, TRUE)
)</f>
        <v>4.649054339</v>
      </c>
      <c r="CU25" s="40">
        <f t="shared" si="48"/>
        <v>0.3649838562</v>
      </c>
      <c r="CV25" s="40">
        <f t="shared" si="49"/>
        <v>0.3650753784</v>
      </c>
      <c r="CW25" s="7">
        <f>CW$2*(Underlying*EXP(-DividendYield*TimeToExpiration)*_xlfn.NORM.DIST(CW$2*(LN(Underlying/$H25)+(RiskFreeRate-DividendYield+0.5*CU25^2)*TimeToExpiration)/(CU25*TimeToExpiration^0.5), 0, 1, TRUE) - 
       $H25*EXP(-RiskFreeRate*TimeToExpiration)*_xlfn.NORM.DIST(CW$2*(LN(Underlying/$H25)+(RiskFreeRate-DividendYield-0.5*CU25^2)*TimeToExpiration)/(CU25*TimeToExpiration^0.5), 0, 1, TRUE)
)</f>
        <v>4.649054339</v>
      </c>
      <c r="CX25" s="7">
        <f>CX$2*(Underlying*EXP(-DividendYield*TimeToExpiration)*_xlfn.NORM.DIST(CX$2*(LN(Underlying/$H25)+(RiskFreeRate-DividendYield+0.5*CV25^2)*TimeToExpiration)/(CV25*TimeToExpiration^0.5), 0, 1, TRUE) - 
       $H25*EXP(-RiskFreeRate*TimeToExpiration)*_xlfn.NORM.DIST(CX$2*(LN(Underlying/$H25)+(RiskFreeRate-DividendYield-0.5*CV25^2)*TimeToExpiration)/(CV25*TimeToExpiration^0.5), 0, 1, TRUE)
)</f>
        <v>4.6507373</v>
      </c>
      <c r="CY25" s="40">
        <f t="shared" si="50"/>
        <v>0.3650296173</v>
      </c>
      <c r="CZ25" s="8">
        <f>CZ$2*(Underlying*EXP(-DividendYield*TimeToExpiration)*_xlfn.NORM.DIST(CZ$2*(LN(Underlying/$H25)+(RiskFreeRate-DividendYield+0.5*CY25^2)*TimeToExpiration)/(CY25*TimeToExpiration^0.5), 0, 1, TRUE) - 
       $H25*EXP(-RiskFreeRate*TimeToExpiration)*_xlfn.NORM.DIST(CZ$2*(LN(Underlying/$H25)+(RiskFreeRate-DividendYield-0.5*CY25^2)*TimeToExpiration)/(CY25*TimeToExpiration^0.5), 0, 1, TRUE)
)</f>
        <v>4.649895815</v>
      </c>
      <c r="DA25" s="40">
        <f t="shared" si="51"/>
        <v>0.3650296173</v>
      </c>
      <c r="DB25" s="40">
        <f t="shared" si="52"/>
        <v>0.3650753784</v>
      </c>
      <c r="DC25" s="7">
        <f>DC$2*(Underlying*EXP(-DividendYield*TimeToExpiration)*_xlfn.NORM.DIST(DC$2*(LN(Underlying/$H25)+(RiskFreeRate-DividendYield+0.5*DA25^2)*TimeToExpiration)/(DA25*TimeToExpiration^0.5), 0, 1, TRUE) - 
       $H25*EXP(-RiskFreeRate*TimeToExpiration)*_xlfn.NORM.DIST(DC$2*(LN(Underlying/$H25)+(RiskFreeRate-DividendYield-0.5*DA25^2)*TimeToExpiration)/(DA25*TimeToExpiration^0.5), 0, 1, TRUE)
)</f>
        <v>4.649895815</v>
      </c>
      <c r="DD25" s="7">
        <f>DD$2*(Underlying*EXP(-DividendYield*TimeToExpiration)*_xlfn.NORM.DIST(DD$2*(LN(Underlying/$H25)+(RiskFreeRate-DividendYield+0.5*DB25^2)*TimeToExpiration)/(DB25*TimeToExpiration^0.5), 0, 1, TRUE) - 
       $H25*EXP(-RiskFreeRate*TimeToExpiration)*_xlfn.NORM.DIST(DD$2*(LN(Underlying/$H25)+(RiskFreeRate-DividendYield-0.5*DB25^2)*TimeToExpiration)/(DB25*TimeToExpiration^0.5), 0, 1, TRUE)
)</f>
        <v>4.6507373</v>
      </c>
      <c r="DE25" s="40">
        <f t="shared" si="53"/>
        <v>0.3650524979</v>
      </c>
      <c r="DF25" s="8">
        <f>DF$2*(Underlying*EXP(-DividendYield*TimeToExpiration)*_xlfn.NORM.DIST(DF$2*(LN(Underlying/$H25)+(RiskFreeRate-DividendYield+0.5*DE25^2)*TimeToExpiration)/(DE25*TimeToExpiration^0.5), 0, 1, TRUE) - 
       $H25*EXP(-RiskFreeRate*TimeToExpiration)*_xlfn.NORM.DIST(DF$2*(LN(Underlying/$H25)+(RiskFreeRate-DividendYield-0.5*DE25^2)*TimeToExpiration)/(DE25*TimeToExpiration^0.5), 0, 1, TRUE)
)</f>
        <v>4.650316556</v>
      </c>
    </row>
    <row r="26">
      <c r="A26" s="20">
        <f>'Option Mkt Data'!A26</f>
        <v>347.5</v>
      </c>
      <c r="B26" s="35">
        <f t="shared" ref="B26:C26" si="73">DE26</f>
        <v>0.3654185867</v>
      </c>
      <c r="C26" s="7">
        <f t="shared" si="73"/>
        <v>3.799863237</v>
      </c>
      <c r="D26" s="7">
        <f t="shared" si="3"/>
        <v>0.0001364768216</v>
      </c>
      <c r="E26" s="9">
        <f t="shared" si="4"/>
        <v>0.00003591495576</v>
      </c>
      <c r="F26" s="36">
        <f>D26/'Option Mkt Data'!L26</f>
        <v>0.001364776023</v>
      </c>
      <c r="G26" s="5">
        <f>'Option Mkt Data'!J26</f>
        <v>3.799999714</v>
      </c>
      <c r="H26" s="33">
        <f>'Option Mkt Data'!A26</f>
        <v>347.5</v>
      </c>
      <c r="I26" s="37">
        <f>MinSolverVola</f>
        <v>0.001</v>
      </c>
      <c r="J26" s="38">
        <f>MaxSolverVola</f>
        <v>3</v>
      </c>
      <c r="K26" s="39">
        <f>K$2*(Underlying*EXP(-DividendYield*TimeToExpiration)*_xlfn.NORM.DIST(K$2*(LN(Underlying/$H26)+(RiskFreeRate-DividendYield+0.5*I26^2)*TimeToExpiration)/(I26*TimeToExpiration^0.5), 0, 1, TRUE) - 
       $H26*EXP(-RiskFreeRate*TimeToExpiration)*_xlfn.NORM.DIST(K$2*(LN(Underlying/$H26)+(RiskFreeRate-DividendYield-0.5*I26^2)*TimeToExpiration)/(I26*TimeToExpiration^0.5), 0, 1, TRUE)
)</f>
        <v>0</v>
      </c>
      <c r="L26" s="7">
        <f>L$2*(Underlying*EXP(-DividendYield*TimeToExpiration)*_xlfn.NORM.DIST(L$2*(LN(Underlying/$H26)+(RiskFreeRate-DividendYield+0.5*J26^2)*TimeToExpiration)/(J26*TimeToExpiration^0.5), 0, 1, TRUE) - 
       $H26*EXP(-RiskFreeRate*TimeToExpiration)*_xlfn.NORM.DIST(L$2*(LN(Underlying/$H26)+(RiskFreeRate-DividendYield-0.5*J26^2)*TimeToExpiration)/(J26*TimeToExpiration^0.5), 0, 1, TRUE)
)</f>
        <v>53.76849777</v>
      </c>
      <c r="M26" s="40">
        <f t="shared" si="5"/>
        <v>1.5005</v>
      </c>
      <c r="N26" s="8">
        <f>N$2*(Underlying*EXP(-DividendYield*TimeToExpiration)*_xlfn.NORM.DIST(N$2*(LN(Underlying/$H26)+(RiskFreeRate-DividendYield+0.5*M26^2)*TimeToExpiration)/(M26*TimeToExpiration^0.5), 0, 1, TRUE) - 
       $H26*EXP(-RiskFreeRate*TimeToExpiration)*_xlfn.NORM.DIST(N$2*(LN(Underlying/$H26)+(RiskFreeRate-DividendYield-0.5*M26^2)*TimeToExpiration)/(M26*TimeToExpiration^0.5), 0, 1, TRUE)
)</f>
        <v>25.19866953</v>
      </c>
      <c r="O26" s="41">
        <f t="shared" si="6"/>
        <v>0.001</v>
      </c>
      <c r="P26" s="40">
        <f t="shared" si="7"/>
        <v>1.5005</v>
      </c>
      <c r="Q26" s="7">
        <f>Q$2*(Underlying*EXP(-DividendYield*TimeToExpiration)*_xlfn.NORM.DIST(Q$2*(LN(Underlying/$H26)+(RiskFreeRate-DividendYield+0.5*O26^2)*TimeToExpiration)/(O26*TimeToExpiration^0.5), 0, 1, TRUE) - 
       $H26*EXP(-RiskFreeRate*TimeToExpiration)*_xlfn.NORM.DIST(Q$2*(LN(Underlying/$H26)+(RiskFreeRate-DividendYield-0.5*O26^2)*TimeToExpiration)/(O26*TimeToExpiration^0.5), 0, 1, TRUE))</f>
        <v>0</v>
      </c>
      <c r="R26" s="7">
        <f>R$2*(Underlying*EXP(-DividendYield*TimeToExpiration)*_xlfn.NORM.DIST(R$2*(LN(Underlying/$H26)+(RiskFreeRate-DividendYield+0.5*P26^2)*TimeToExpiration)/(P26*TimeToExpiration^0.5), 0, 1, TRUE) - 
       $H26*EXP(-RiskFreeRate*TimeToExpiration)*_xlfn.NORM.DIST(R$2*(LN(Underlying/$H26)+(RiskFreeRate-DividendYield-0.5*P26^2)*TimeToExpiration)/(P26*TimeToExpiration^0.5), 0, 1, TRUE)
)</f>
        <v>25.19866953</v>
      </c>
      <c r="S26" s="40">
        <f t="shared" si="8"/>
        <v>0.75075</v>
      </c>
      <c r="T26" s="8">
        <f>T$2*(Underlying*EXP(-DividendYield*TimeToExpiration)*_xlfn.NORM.DIST(T$2*(LN(Underlying/$H26)+(RiskFreeRate-DividendYield+0.5*S26^2)*TimeToExpiration)/(S26*TimeToExpiration^0.5), 0, 1, TRUE) - 
       $H26*EXP(-RiskFreeRate*TimeToExpiration)*_xlfn.NORM.DIST(T$2*(LN(Underlying/$H26)+(RiskFreeRate-DividendYield-0.5*S26^2)*TimeToExpiration)/(S26*TimeToExpiration^0.5), 0, 1, TRUE)
)</f>
        <v>10.90061038</v>
      </c>
      <c r="U26" s="41">
        <f t="shared" si="9"/>
        <v>0.001</v>
      </c>
      <c r="V26" s="40">
        <f t="shared" si="10"/>
        <v>0.75075</v>
      </c>
      <c r="W26" s="7">
        <f>W$2*(Underlying*EXP(-DividendYield*TimeToExpiration)*_xlfn.NORM.DIST(W$2*(LN(Underlying/$H26)+(RiskFreeRate-DividendYield+0.5*U26^2)*TimeToExpiration)/(U26*TimeToExpiration^0.5), 0, 1, TRUE) - 
       $H26*EXP(-RiskFreeRate*TimeToExpiration)*_xlfn.NORM.DIST(W$2*(LN(Underlying/$H26)+(RiskFreeRate-DividendYield-0.5*U26^2)*TimeToExpiration)/(U26*TimeToExpiration^0.5), 0, 1, TRUE)
)</f>
        <v>0</v>
      </c>
      <c r="X26" s="7">
        <f>X$2*(Underlying*EXP(-DividendYield*TimeToExpiration)*_xlfn.NORM.DIST(X$2*(LN(Underlying/$H26)+(RiskFreeRate-DividendYield+0.5*V26^2)*TimeToExpiration)/(V26*TimeToExpiration^0.5), 0, 1, TRUE) - 
       $H26*EXP(-RiskFreeRate*TimeToExpiration)*_xlfn.NORM.DIST(X$2*(LN(Underlying/$H26)+(RiskFreeRate-DividendYield-0.5*V26^2)*TimeToExpiration)/(V26*TimeToExpiration^0.5), 0, 1, TRUE)
)</f>
        <v>10.90061038</v>
      </c>
      <c r="Y26" s="40">
        <f t="shared" si="11"/>
        <v>0.375875</v>
      </c>
      <c r="Z26" s="8">
        <f>Z$2*(Underlying*EXP(-DividendYield*TimeToExpiration)*_xlfn.NORM.DIST(Z$2*(LN(Underlying/$H26)+(RiskFreeRate-DividendYield+0.5*Y26^2)*TimeToExpiration)/(Y26*TimeToExpiration^0.5), 0, 1, TRUE) - 
       $H26*EXP(-RiskFreeRate*TimeToExpiration)*_xlfn.NORM.DIST(Z$2*(LN(Underlying/$H26)+(RiskFreeRate-DividendYield-0.5*Y26^2)*TimeToExpiration)/(Y26*TimeToExpiration^0.5), 0, 1, TRUE)
)</f>
        <v>3.983432536</v>
      </c>
      <c r="AA26" s="41">
        <f t="shared" si="12"/>
        <v>0.001</v>
      </c>
      <c r="AB26" s="40">
        <f t="shared" si="13"/>
        <v>0.375875</v>
      </c>
      <c r="AC26" s="7">
        <f>AC$2*(Underlying*EXP(-DividendYield*TimeToExpiration)*_xlfn.NORM.DIST(AC$2*(LN(Underlying/$H26)+(RiskFreeRate-DividendYield+0.5*AA26^2)*TimeToExpiration)/(AA26*TimeToExpiration^0.5), 0, 1, TRUE) - 
       $H26*EXP(-RiskFreeRate*TimeToExpiration)*_xlfn.NORM.DIST(AC$2*(LN(Underlying/$H26)+(RiskFreeRate-DividendYield-0.5*AA26^2)*TimeToExpiration)/(AA26*TimeToExpiration^0.5), 0, 1, TRUE)
)</f>
        <v>0</v>
      </c>
      <c r="AD26" s="7">
        <f>AD$2*(Underlying*EXP(-DividendYield*TimeToExpiration)*_xlfn.NORM.DIST(AD$2*(LN(Underlying/$H26)+(RiskFreeRate-DividendYield+0.5*AB26^2)*TimeToExpiration)/(AB26*TimeToExpiration^0.5), 0, 1, TRUE) - 
       $H26*EXP(-RiskFreeRate*TimeToExpiration)*_xlfn.NORM.DIST(AD$2*(LN(Underlying/$H26)+(RiskFreeRate-DividendYield-0.5*AB26^2)*TimeToExpiration)/(AB26*TimeToExpiration^0.5), 0, 1, TRUE)
)</f>
        <v>3.983432536</v>
      </c>
      <c r="AE26" s="40">
        <f t="shared" si="14"/>
        <v>0.1884375</v>
      </c>
      <c r="AF26" s="8">
        <f>AF$2*(Underlying*EXP(-DividendYield*TimeToExpiration)*_xlfn.NORM.DIST(AF$2*(LN(Underlying/$H26)+(RiskFreeRate-DividendYield+0.5*AE26^2)*TimeToExpiration)/(AE26*TimeToExpiration^0.5), 0, 1, TRUE) - 
       $H26*EXP(-RiskFreeRate*TimeToExpiration)*_xlfn.NORM.DIST(AF$2*(LN(Underlying/$H26)+(RiskFreeRate-DividendYield-0.5*AE26^2)*TimeToExpiration)/(AE26*TimeToExpiration^0.5), 0, 1, TRUE)
)</f>
        <v>0.9719326886</v>
      </c>
      <c r="AG26" s="40">
        <f t="shared" si="15"/>
        <v>0.1884375</v>
      </c>
      <c r="AH26" s="40">
        <f t="shared" si="16"/>
        <v>0.375875</v>
      </c>
      <c r="AI26" s="7">
        <f>AI$2*(Underlying*EXP(-DividendYield*TimeToExpiration)*_xlfn.NORM.DIST(AI$2*(LN(Underlying/$H26)+(RiskFreeRate-DividendYield+0.5*AG26^2)*TimeToExpiration)/(AG26*TimeToExpiration^0.5), 0, 1, TRUE) - 
       $H26*EXP(-RiskFreeRate*TimeToExpiration)*_xlfn.NORM.DIST(AI$2*(LN(Underlying/$H26)+(RiskFreeRate-DividendYield-0.5*AG26^2)*TimeToExpiration)/(AG26*TimeToExpiration^0.5), 0, 1, TRUE)
)</f>
        <v>0.9719326886</v>
      </c>
      <c r="AJ26" s="7">
        <f>AJ$2*(Underlying*EXP(-DividendYield*TimeToExpiration)*_xlfn.NORM.DIST(AJ$2*(LN(Underlying/$H26)+(RiskFreeRate-DividendYield+0.5*AH26^2)*TimeToExpiration)/(AH26*TimeToExpiration^0.5), 0, 1, TRUE) - 
       $H26*EXP(-RiskFreeRate*TimeToExpiration)*_xlfn.NORM.DIST(AJ$2*(LN(Underlying/$H26)+(RiskFreeRate-DividendYield-0.5*AH26^2)*TimeToExpiration)/(AH26*TimeToExpiration^0.5), 0, 1, TRUE)
)</f>
        <v>3.983432536</v>
      </c>
      <c r="AK26" s="40">
        <f t="shared" si="17"/>
        <v>0.28215625</v>
      </c>
      <c r="AL26" s="8">
        <f>AL$2*(Underlying*EXP(-DividendYield*TimeToExpiration)*_xlfn.NORM.DIST(AL$2*(LN(Underlying/$H26)+(RiskFreeRate-DividendYield+0.5*AK26^2)*TimeToExpiration)/(AK26*TimeToExpiration^0.5), 0, 1, TRUE) - 
       $H26*EXP(-RiskFreeRate*TimeToExpiration)*_xlfn.NORM.DIST(AL$2*(LN(Underlying/$H26)+(RiskFreeRate-DividendYield-0.5*AK26^2)*TimeToExpiration)/(AK26*TimeToExpiration^0.5), 0, 1, TRUE)
)</f>
        <v>2.384384874</v>
      </c>
      <c r="AM26" s="40">
        <f t="shared" si="18"/>
        <v>0.28215625</v>
      </c>
      <c r="AN26" s="40">
        <f t="shared" si="19"/>
        <v>0.375875</v>
      </c>
      <c r="AO26" s="7">
        <f>AO$2*(Underlying*EXP(-DividendYield*TimeToExpiration)*_xlfn.NORM.DIST(AO$2*(LN(Underlying/$H26)+(RiskFreeRate-DividendYield+0.5*AM26^2)*TimeToExpiration)/(AM26*TimeToExpiration^0.5), 0, 1, TRUE) - 
       $H26*EXP(-RiskFreeRate*TimeToExpiration)*_xlfn.NORM.DIST(AO$2*(LN(Underlying/$H26)+(RiskFreeRate-DividendYield-0.5*AM26^2)*TimeToExpiration)/(AM26*TimeToExpiration^0.5), 0, 1, TRUE)
)</f>
        <v>2.384384874</v>
      </c>
      <c r="AP26" s="7">
        <f>AP$2*(Underlying*EXP(-DividendYield*TimeToExpiration)*_xlfn.NORM.DIST(AP$2*(LN(Underlying/$H26)+(RiskFreeRate-DividendYield+0.5*AN26^2)*TimeToExpiration)/(AN26*TimeToExpiration^0.5), 0, 1, TRUE) - 
       $H26*EXP(-RiskFreeRate*TimeToExpiration)*_xlfn.NORM.DIST(AP$2*(LN(Underlying/$H26)+(RiskFreeRate-DividendYield-0.5*AN26^2)*TimeToExpiration)/(AN26*TimeToExpiration^0.5), 0, 1, TRUE)
)</f>
        <v>3.983432536</v>
      </c>
      <c r="AQ26" s="40">
        <f t="shared" si="20"/>
        <v>0.329015625</v>
      </c>
      <c r="AR26" s="8">
        <f>AR$2*(Underlying*EXP(-DividendYield*TimeToExpiration)*_xlfn.NORM.DIST(AR$2*(LN(Underlying/$H26)+(RiskFreeRate-DividendYield+0.5*AQ26^2)*TimeToExpiration)/(AQ26*TimeToExpiration^0.5), 0, 1, TRUE) - 
       $H26*EXP(-RiskFreeRate*TimeToExpiration)*_xlfn.NORM.DIST(AR$2*(LN(Underlying/$H26)+(RiskFreeRate-DividendYield-0.5*AQ26^2)*TimeToExpiration)/(AQ26*TimeToExpiration^0.5), 0, 1, TRUE)
)</f>
        <v>3.169566963</v>
      </c>
      <c r="AS26" s="40">
        <f t="shared" si="21"/>
        <v>0.329015625</v>
      </c>
      <c r="AT26" s="40">
        <f t="shared" si="22"/>
        <v>0.375875</v>
      </c>
      <c r="AU26" s="7">
        <f>AU$2*(Underlying*EXP(-DividendYield*TimeToExpiration)*_xlfn.NORM.DIST(AU$2*(LN(Underlying/$H26)+(RiskFreeRate-DividendYield+0.5*AS26^2)*TimeToExpiration)/(AS26*TimeToExpiration^0.5), 0, 1, TRUE) - 
       $H26*EXP(-RiskFreeRate*TimeToExpiration)*_xlfn.NORM.DIST(AU$2*(LN(Underlying/$H26)+(RiskFreeRate-DividendYield-0.5*AS26^2)*TimeToExpiration)/(AS26*TimeToExpiration^0.5), 0, 1, TRUE)
)</f>
        <v>3.169566963</v>
      </c>
      <c r="AV26" s="7">
        <f>AV$2*(Underlying*EXP(-DividendYield*TimeToExpiration)*_xlfn.NORM.DIST(AV$2*(LN(Underlying/$H26)+(RiskFreeRate-DividendYield+0.5*AT26^2)*TimeToExpiration)/(AT26*TimeToExpiration^0.5), 0, 1, TRUE) - 
       $H26*EXP(-RiskFreeRate*TimeToExpiration)*_xlfn.NORM.DIST(AV$2*(LN(Underlying/$H26)+(RiskFreeRate-DividendYield-0.5*AT26^2)*TimeToExpiration)/(AT26*TimeToExpiration^0.5), 0, 1, TRUE)
)</f>
        <v>3.983432536</v>
      </c>
      <c r="AW26" s="40">
        <f t="shared" si="23"/>
        <v>0.3524453125</v>
      </c>
      <c r="AX26" s="8">
        <f>AX$2*(Underlying*EXP(-DividendYield*TimeToExpiration)*_xlfn.NORM.DIST(AX$2*(LN(Underlying/$H26)+(RiskFreeRate-DividendYield+0.5*AW26^2)*TimeToExpiration)/(AW26*TimeToExpiration^0.5), 0, 1, TRUE) - 
       $H26*EXP(-RiskFreeRate*TimeToExpiration)*_xlfn.NORM.DIST(AX$2*(LN(Underlying/$H26)+(RiskFreeRate-DividendYield-0.5*AW26^2)*TimeToExpiration)/(AW26*TimeToExpiration^0.5), 0, 1, TRUE)
)</f>
        <v>3.573576588</v>
      </c>
      <c r="AY26" s="40">
        <f t="shared" si="24"/>
        <v>0.3524453125</v>
      </c>
      <c r="AZ26" s="40">
        <f t="shared" si="25"/>
        <v>0.375875</v>
      </c>
      <c r="BA26" s="7">
        <f>BA$2*(Underlying*EXP(-DividendYield*TimeToExpiration)*_xlfn.NORM.DIST(BA$2*(LN(Underlying/$H26)+(RiskFreeRate-DividendYield+0.5*AY26^2)*TimeToExpiration)/(AY26*TimeToExpiration^0.5), 0, 1, TRUE) - 
       $H26*EXP(-RiskFreeRate*TimeToExpiration)*_xlfn.NORM.DIST(BA$2*(LN(Underlying/$H26)+(RiskFreeRate-DividendYield-0.5*AY26^2)*TimeToExpiration)/(AY26*TimeToExpiration^0.5), 0, 1, TRUE)
)</f>
        <v>3.573576588</v>
      </c>
      <c r="BB26" s="7">
        <f>BB$2*(Underlying*EXP(-DividendYield*TimeToExpiration)*_xlfn.NORM.DIST(BB$2*(LN(Underlying/$H26)+(RiskFreeRate-DividendYield+0.5*AZ26^2)*TimeToExpiration)/(AZ26*TimeToExpiration^0.5), 0, 1, TRUE) - 
       $H26*EXP(-RiskFreeRate*TimeToExpiration)*_xlfn.NORM.DIST(BB$2*(LN(Underlying/$H26)+(RiskFreeRate-DividendYield-0.5*AZ26^2)*TimeToExpiration)/(AZ26*TimeToExpiration^0.5), 0, 1, TRUE)
)</f>
        <v>3.983432536</v>
      </c>
      <c r="BC26" s="40">
        <f t="shared" si="26"/>
        <v>0.3641601563</v>
      </c>
      <c r="BD26" s="8">
        <f>BD$2*(Underlying*EXP(-DividendYield*TimeToExpiration)*_xlfn.NORM.DIST(BD$2*(LN(Underlying/$H26)+(RiskFreeRate-DividendYield+0.5*BC26^2)*TimeToExpiration)/(BC26*TimeToExpiration^0.5), 0, 1, TRUE) - 
       $H26*EXP(-RiskFreeRate*TimeToExpiration)*_xlfn.NORM.DIST(BD$2*(LN(Underlying/$H26)+(RiskFreeRate-DividendYield-0.5*BC26^2)*TimeToExpiration)/(BC26*TimeToExpiration^0.5), 0, 1, TRUE)
)</f>
        <v>3.777839696</v>
      </c>
      <c r="BE26" s="40">
        <f t="shared" si="27"/>
        <v>0.3641601563</v>
      </c>
      <c r="BF26" s="40">
        <f t="shared" si="28"/>
        <v>0.375875</v>
      </c>
      <c r="BG26" s="7">
        <f>BG$2*(Underlying*EXP(-DividendYield*TimeToExpiration)*_xlfn.NORM.DIST(BG$2*(LN(Underlying/$H26)+(RiskFreeRate-DividendYield+0.5*BE26^2)*TimeToExpiration)/(BE26*TimeToExpiration^0.5), 0, 1, TRUE) - 
       $H26*EXP(-RiskFreeRate*TimeToExpiration)*_xlfn.NORM.DIST(BG$2*(LN(Underlying/$H26)+(RiskFreeRate-DividendYield-0.5*BE26^2)*TimeToExpiration)/(BE26*TimeToExpiration^0.5), 0, 1, TRUE)
)</f>
        <v>3.777839696</v>
      </c>
      <c r="BH26" s="7">
        <f>BH$2*(Underlying*EXP(-DividendYield*TimeToExpiration)*_xlfn.NORM.DIST(BH$2*(LN(Underlying/$H26)+(RiskFreeRate-DividendYield+0.5*BF26^2)*TimeToExpiration)/(BF26*TimeToExpiration^0.5), 0, 1, TRUE) - 
       $H26*EXP(-RiskFreeRate*TimeToExpiration)*_xlfn.NORM.DIST(BH$2*(LN(Underlying/$H26)+(RiskFreeRate-DividendYield-0.5*BF26^2)*TimeToExpiration)/(BF26*TimeToExpiration^0.5), 0, 1, TRUE)
)</f>
        <v>3.983432536</v>
      </c>
      <c r="BI26" s="40">
        <f t="shared" si="29"/>
        <v>0.3700175781</v>
      </c>
      <c r="BJ26" s="8">
        <f>BJ$2*(Underlying*EXP(-DividendYield*TimeToExpiration)*_xlfn.NORM.DIST(BJ$2*(LN(Underlying/$H26)+(RiskFreeRate-DividendYield+0.5*BI26^2)*TimeToExpiration)/(BI26*TimeToExpiration^0.5), 0, 1, TRUE) - 
       $H26*EXP(-RiskFreeRate*TimeToExpiration)*_xlfn.NORM.DIST(BJ$2*(LN(Underlying/$H26)+(RiskFreeRate-DividendYield-0.5*BI26^2)*TimeToExpiration)/(BI26*TimeToExpiration^0.5), 0, 1, TRUE)
)</f>
        <v>3.880477307</v>
      </c>
      <c r="BK26" s="40">
        <f t="shared" si="30"/>
        <v>0.3641601563</v>
      </c>
      <c r="BL26" s="40">
        <f t="shared" si="31"/>
        <v>0.3700175781</v>
      </c>
      <c r="BM26" s="7">
        <f>BM$2*(Underlying*EXP(-DividendYield*TimeToExpiration)*_xlfn.NORM.DIST(BM$2*(LN(Underlying/$H26)+(RiskFreeRate-DividendYield+0.5*BK26^2)*TimeToExpiration)/(BK26*TimeToExpiration^0.5), 0, 1, TRUE) - 
       $H26*EXP(-RiskFreeRate*TimeToExpiration)*_xlfn.NORM.DIST(BM$2*(LN(Underlying/$H26)+(RiskFreeRate-DividendYield-0.5*BK26^2)*TimeToExpiration)/(BK26*TimeToExpiration^0.5), 0, 1, TRUE)
)</f>
        <v>3.777839696</v>
      </c>
      <c r="BN26" s="7">
        <f>BN$2*(Underlying*EXP(-DividendYield*TimeToExpiration)*_xlfn.NORM.DIST(BN$2*(LN(Underlying/$H26)+(RiskFreeRate-DividendYield+0.5*BL26^2)*TimeToExpiration)/(BL26*TimeToExpiration^0.5), 0, 1, TRUE) - 
       $H26*EXP(-RiskFreeRate*TimeToExpiration)*_xlfn.NORM.DIST(BN$2*(LN(Underlying/$H26)+(RiskFreeRate-DividendYield-0.5*BL26^2)*TimeToExpiration)/(BL26*TimeToExpiration^0.5), 0, 1, TRUE)
)</f>
        <v>3.880477307</v>
      </c>
      <c r="BO26" s="40">
        <f t="shared" si="32"/>
        <v>0.3670888672</v>
      </c>
      <c r="BP26" s="8">
        <f>BP$2*(Underlying*EXP(-DividendYield*TimeToExpiration)*_xlfn.NORM.DIST(BP$2*(LN(Underlying/$H26)+(RiskFreeRate-DividendYield+0.5*BO26^2)*TimeToExpiration)/(BO26*TimeToExpiration^0.5), 0, 1, TRUE) - 
       $H26*EXP(-RiskFreeRate*TimeToExpiration)*_xlfn.NORM.DIST(BP$2*(LN(Underlying/$H26)+(RiskFreeRate-DividendYield-0.5*BO26^2)*TimeToExpiration)/(BO26*TimeToExpiration^0.5), 0, 1, TRUE)
)</f>
        <v>3.829117907</v>
      </c>
      <c r="BQ26" s="40">
        <f t="shared" si="33"/>
        <v>0.3641601563</v>
      </c>
      <c r="BR26" s="40">
        <f t="shared" si="34"/>
        <v>0.3670888672</v>
      </c>
      <c r="BS26" s="7">
        <f>BS$2*(Underlying*EXP(-DividendYield*TimeToExpiration)*_xlfn.NORM.DIST(BS$2*(LN(Underlying/$H26)+(RiskFreeRate-DividendYield+0.5*BQ26^2)*TimeToExpiration)/(BQ26*TimeToExpiration^0.5), 0, 1, TRUE) - 
       $H26*EXP(-RiskFreeRate*TimeToExpiration)*_xlfn.NORM.DIST(BS$2*(LN(Underlying/$H26)+(RiskFreeRate-DividendYield-0.5*BQ26^2)*TimeToExpiration)/(BQ26*TimeToExpiration^0.5), 0, 1, TRUE)
)</f>
        <v>3.777839696</v>
      </c>
      <c r="BT26" s="7">
        <f>BT$2*(Underlying*EXP(-DividendYield*TimeToExpiration)*_xlfn.NORM.DIST(BT$2*(LN(Underlying/$H26)+(RiskFreeRate-DividendYield+0.5*BR26^2)*TimeToExpiration)/(BR26*TimeToExpiration^0.5), 0, 1, TRUE) - 
       $H26*EXP(-RiskFreeRate*TimeToExpiration)*_xlfn.NORM.DIST(BT$2*(LN(Underlying/$H26)+(RiskFreeRate-DividendYield-0.5*BR26^2)*TimeToExpiration)/(BR26*TimeToExpiration^0.5), 0, 1, TRUE)
)</f>
        <v>3.829117907</v>
      </c>
      <c r="BU26" s="40">
        <f t="shared" si="35"/>
        <v>0.3656245117</v>
      </c>
      <c r="BV26" s="8">
        <f>BV$2*(Underlying*EXP(-DividendYield*TimeToExpiration)*_xlfn.NORM.DIST(BV$2*(LN(Underlying/$H26)+(RiskFreeRate-DividendYield+0.5*BU26^2)*TimeToExpiration)/(BU26*TimeToExpiration^0.5), 0, 1, TRUE) - 
       $H26*EXP(-RiskFreeRate*TimeToExpiration)*_xlfn.NORM.DIST(BV$2*(LN(Underlying/$H26)+(RiskFreeRate-DividendYield-0.5*BU26^2)*TimeToExpiration)/(BU26*TimeToExpiration^0.5), 0, 1, TRUE)
)</f>
        <v>3.803468539</v>
      </c>
      <c r="BW26" s="40">
        <f t="shared" si="36"/>
        <v>0.3641601563</v>
      </c>
      <c r="BX26" s="40">
        <f t="shared" si="37"/>
        <v>0.3656245117</v>
      </c>
      <c r="BY26" s="7">
        <f>BY$2*(Underlying*EXP(-DividendYield*TimeToExpiration)*_xlfn.NORM.DIST(BY$2*(LN(Underlying/$H26)+(RiskFreeRate-DividendYield+0.5*BW26^2)*TimeToExpiration)/(BW26*TimeToExpiration^0.5), 0, 1, TRUE) - 
       $H26*EXP(-RiskFreeRate*TimeToExpiration)*_xlfn.NORM.DIST(BY$2*(LN(Underlying/$H26)+(RiskFreeRate-DividendYield-0.5*BW26^2)*TimeToExpiration)/(BW26*TimeToExpiration^0.5), 0, 1, TRUE)
)</f>
        <v>3.777839696</v>
      </c>
      <c r="BZ26" s="7">
        <f>BZ$2*(Underlying*EXP(-DividendYield*TimeToExpiration)*_xlfn.NORM.DIST(BZ$2*(LN(Underlying/$H26)+(RiskFreeRate-DividendYield+0.5*BX26^2)*TimeToExpiration)/(BX26*TimeToExpiration^0.5), 0, 1, TRUE) - 
       $H26*EXP(-RiskFreeRate*TimeToExpiration)*_xlfn.NORM.DIST(BZ$2*(LN(Underlying/$H26)+(RiskFreeRate-DividendYield-0.5*BX26^2)*TimeToExpiration)/(BX26*TimeToExpiration^0.5), 0, 1, TRUE)
)</f>
        <v>3.803468539</v>
      </c>
      <c r="CA26" s="40">
        <f t="shared" si="38"/>
        <v>0.364892334</v>
      </c>
      <c r="CB26" s="8">
        <f>CB$2*(Underlying*EXP(-DividendYield*TimeToExpiration)*_xlfn.NORM.DIST(CB$2*(LN(Underlying/$H26)+(RiskFreeRate-DividendYield+0.5*CA26^2)*TimeToExpiration)/(CA26*TimeToExpiration^0.5), 0, 1, TRUE) - 
       $H26*EXP(-RiskFreeRate*TimeToExpiration)*_xlfn.NORM.DIST(CB$2*(LN(Underlying/$H26)+(RiskFreeRate-DividendYield-0.5*CA26^2)*TimeToExpiration)/(CA26*TimeToExpiration^0.5), 0, 1, TRUE)
)</f>
        <v>3.790651537</v>
      </c>
      <c r="CC26" s="40">
        <f t="shared" si="39"/>
        <v>0.364892334</v>
      </c>
      <c r="CD26" s="40">
        <f t="shared" si="40"/>
        <v>0.3656245117</v>
      </c>
      <c r="CE26" s="7">
        <f>CE$2*(Underlying*EXP(-DividendYield*TimeToExpiration)*_xlfn.NORM.DIST(CE$2*(LN(Underlying/$H26)+(RiskFreeRate-DividendYield+0.5*CC26^2)*TimeToExpiration)/(CC26*TimeToExpiration^0.5), 0, 1, TRUE) - 
       $H26*EXP(-RiskFreeRate*TimeToExpiration)*_xlfn.NORM.DIST(CE$2*(LN(Underlying/$H26)+(RiskFreeRate-DividendYield-0.5*CC26^2)*TimeToExpiration)/(CC26*TimeToExpiration^0.5), 0, 1, TRUE)
)</f>
        <v>3.790651537</v>
      </c>
      <c r="CF26" s="7">
        <f>CF$2*(Underlying*EXP(-DividendYield*TimeToExpiration)*_xlfn.NORM.DIST(CF$2*(LN(Underlying/$H26)+(RiskFreeRate-DividendYield+0.5*CD26^2)*TimeToExpiration)/(CD26*TimeToExpiration^0.5), 0, 1, TRUE) - 
       $H26*EXP(-RiskFreeRate*TimeToExpiration)*_xlfn.NORM.DIST(CF$2*(LN(Underlying/$H26)+(RiskFreeRate-DividendYield-0.5*CD26^2)*TimeToExpiration)/(CD26*TimeToExpiration^0.5), 0, 1, TRUE)
)</f>
        <v>3.803468539</v>
      </c>
      <c r="CG26" s="40">
        <f t="shared" si="41"/>
        <v>0.3652584229</v>
      </c>
      <c r="CH26" s="8">
        <f>CH$2*(Underlying*EXP(-DividendYield*TimeToExpiration)*_xlfn.NORM.DIST(CH$2*(LN(Underlying/$H26)+(RiskFreeRate-DividendYield+0.5*CG26^2)*TimeToExpiration)/(CG26*TimeToExpiration^0.5), 0, 1, TRUE) - 
       $H26*EXP(-RiskFreeRate*TimeToExpiration)*_xlfn.NORM.DIST(CH$2*(LN(Underlying/$H26)+(RiskFreeRate-DividendYield-0.5*CG26^2)*TimeToExpiration)/(CG26*TimeToExpiration^0.5), 0, 1, TRUE)
)</f>
        <v>3.797059395</v>
      </c>
      <c r="CI26" s="40">
        <f t="shared" si="42"/>
        <v>0.3652584229</v>
      </c>
      <c r="CJ26" s="40">
        <f t="shared" si="43"/>
        <v>0.3656245117</v>
      </c>
      <c r="CK26" s="7">
        <f>CK$2*(Underlying*EXP(-DividendYield*TimeToExpiration)*_xlfn.NORM.DIST(CK$2*(LN(Underlying/$H26)+(RiskFreeRate-DividendYield+0.5*CI26^2)*TimeToExpiration)/(CI26*TimeToExpiration^0.5), 0, 1, TRUE) - 
       $H26*EXP(-RiskFreeRate*TimeToExpiration)*_xlfn.NORM.DIST(CK$2*(LN(Underlying/$H26)+(RiskFreeRate-DividendYield-0.5*CI26^2)*TimeToExpiration)/(CI26*TimeToExpiration^0.5), 0, 1, TRUE)
)</f>
        <v>3.797059395</v>
      </c>
      <c r="CL26" s="7">
        <f>CL$2*(Underlying*EXP(-DividendYield*TimeToExpiration)*_xlfn.NORM.DIST(CL$2*(LN(Underlying/$H26)+(RiskFreeRate-DividendYield+0.5*CJ26^2)*TimeToExpiration)/(CJ26*TimeToExpiration^0.5), 0, 1, TRUE) - 
       $H26*EXP(-RiskFreeRate*TimeToExpiration)*_xlfn.NORM.DIST(CL$2*(LN(Underlying/$H26)+(RiskFreeRate-DividendYield-0.5*CJ26^2)*TimeToExpiration)/(CJ26*TimeToExpiration^0.5), 0, 1, TRUE)
)</f>
        <v>3.803468539</v>
      </c>
      <c r="CM26" s="40">
        <f t="shared" si="44"/>
        <v>0.3654414673</v>
      </c>
      <c r="CN26" s="8">
        <f>CN$2*(Underlying*EXP(-DividendYield*TimeToExpiration)*_xlfn.NORM.DIST(CN$2*(LN(Underlying/$H26)+(RiskFreeRate-DividendYield+0.5*CM26^2)*TimeToExpiration)/(CM26*TimeToExpiration^0.5), 0, 1, TRUE) - 
       $H26*EXP(-RiskFreeRate*TimeToExpiration)*_xlfn.NORM.DIST(CN$2*(LN(Underlying/$H26)+(RiskFreeRate-DividendYield-0.5*CM26^2)*TimeToExpiration)/(CM26*TimeToExpiration^0.5), 0, 1, TRUE)
)</f>
        <v>3.800263806</v>
      </c>
      <c r="CO26" s="40">
        <f t="shared" si="45"/>
        <v>0.3652584229</v>
      </c>
      <c r="CP26" s="40">
        <f t="shared" si="46"/>
        <v>0.3654414673</v>
      </c>
      <c r="CQ26" s="7">
        <f>CQ$2*(Underlying*EXP(-DividendYield*TimeToExpiration)*_xlfn.NORM.DIST(CQ$2*(LN(Underlying/$H26)+(RiskFreeRate-DividendYield+0.5*CO26^2)*TimeToExpiration)/(CO26*TimeToExpiration^0.5), 0, 1, TRUE) - 
       $H26*EXP(-RiskFreeRate*TimeToExpiration)*_xlfn.NORM.DIST(CQ$2*(LN(Underlying/$H26)+(RiskFreeRate-DividendYield-0.5*CO26^2)*TimeToExpiration)/(CO26*TimeToExpiration^0.5), 0, 1, TRUE)
)</f>
        <v>3.797059395</v>
      </c>
      <c r="CR26" s="7">
        <f>CR$2*(Underlying*EXP(-DividendYield*TimeToExpiration)*_xlfn.NORM.DIST(CR$2*(LN(Underlying/$H26)+(RiskFreeRate-DividendYield+0.5*CP26^2)*TimeToExpiration)/(CP26*TimeToExpiration^0.5), 0, 1, TRUE) - 
       $H26*EXP(-RiskFreeRate*TimeToExpiration)*_xlfn.NORM.DIST(CR$2*(LN(Underlying/$H26)+(RiskFreeRate-DividendYield-0.5*CP26^2)*TimeToExpiration)/(CP26*TimeToExpiration^0.5), 0, 1, TRUE)
)</f>
        <v>3.800263806</v>
      </c>
      <c r="CS26" s="40">
        <f t="shared" si="47"/>
        <v>0.3653499451</v>
      </c>
      <c r="CT26" s="8">
        <f>CT$2*(Underlying*EXP(-DividendYield*TimeToExpiration)*_xlfn.NORM.DIST(CT$2*(LN(Underlying/$H26)+(RiskFreeRate-DividendYield+0.5*CS26^2)*TimeToExpiration)/(CS26*TimeToExpiration^0.5), 0, 1, TRUE) - 
       $H26*EXP(-RiskFreeRate*TimeToExpiration)*_xlfn.NORM.DIST(CT$2*(LN(Underlying/$H26)+(RiskFreeRate-DividendYield-0.5*CS26^2)*TimeToExpiration)/(CS26*TimeToExpiration^0.5), 0, 1, TRUE)
)</f>
        <v>3.79866156</v>
      </c>
      <c r="CU26" s="40">
        <f t="shared" si="48"/>
        <v>0.3653499451</v>
      </c>
      <c r="CV26" s="40">
        <f t="shared" si="49"/>
        <v>0.3654414673</v>
      </c>
      <c r="CW26" s="7">
        <f>CW$2*(Underlying*EXP(-DividendYield*TimeToExpiration)*_xlfn.NORM.DIST(CW$2*(LN(Underlying/$H26)+(RiskFreeRate-DividendYield+0.5*CU26^2)*TimeToExpiration)/(CU26*TimeToExpiration^0.5), 0, 1, TRUE) - 
       $H26*EXP(-RiskFreeRate*TimeToExpiration)*_xlfn.NORM.DIST(CW$2*(LN(Underlying/$H26)+(RiskFreeRate-DividendYield-0.5*CU26^2)*TimeToExpiration)/(CU26*TimeToExpiration^0.5), 0, 1, TRUE)
)</f>
        <v>3.79866156</v>
      </c>
      <c r="CX26" s="7">
        <f>CX$2*(Underlying*EXP(-DividendYield*TimeToExpiration)*_xlfn.NORM.DIST(CX$2*(LN(Underlying/$H26)+(RiskFreeRate-DividendYield+0.5*CV26^2)*TimeToExpiration)/(CV26*TimeToExpiration^0.5), 0, 1, TRUE) - 
       $H26*EXP(-RiskFreeRate*TimeToExpiration)*_xlfn.NORM.DIST(CX$2*(LN(Underlying/$H26)+(RiskFreeRate-DividendYield-0.5*CV26^2)*TimeToExpiration)/(CV26*TimeToExpiration^0.5), 0, 1, TRUE)
)</f>
        <v>3.800263806</v>
      </c>
      <c r="CY26" s="40">
        <f t="shared" si="50"/>
        <v>0.3653957062</v>
      </c>
      <c r="CZ26" s="8">
        <f>CZ$2*(Underlying*EXP(-DividendYield*TimeToExpiration)*_xlfn.NORM.DIST(CZ$2*(LN(Underlying/$H26)+(RiskFreeRate-DividendYield+0.5*CY26^2)*TimeToExpiration)/(CY26*TimeToExpiration^0.5), 0, 1, TRUE) - 
       $H26*EXP(-RiskFreeRate*TimeToExpiration)*_xlfn.NORM.DIST(CZ$2*(LN(Underlying/$H26)+(RiskFreeRate-DividendYield-0.5*CY26^2)*TimeToExpiration)/(CY26*TimeToExpiration^0.5), 0, 1, TRUE)
)</f>
        <v>3.799462673</v>
      </c>
      <c r="DA26" s="40">
        <f t="shared" si="51"/>
        <v>0.3653957062</v>
      </c>
      <c r="DB26" s="40">
        <f t="shared" si="52"/>
        <v>0.3654414673</v>
      </c>
      <c r="DC26" s="7">
        <f>DC$2*(Underlying*EXP(-DividendYield*TimeToExpiration)*_xlfn.NORM.DIST(DC$2*(LN(Underlying/$H26)+(RiskFreeRate-DividendYield+0.5*DA26^2)*TimeToExpiration)/(DA26*TimeToExpiration^0.5), 0, 1, TRUE) - 
       $H26*EXP(-RiskFreeRate*TimeToExpiration)*_xlfn.NORM.DIST(DC$2*(LN(Underlying/$H26)+(RiskFreeRate-DividendYield-0.5*DA26^2)*TimeToExpiration)/(DA26*TimeToExpiration^0.5), 0, 1, TRUE)
)</f>
        <v>3.799462673</v>
      </c>
      <c r="DD26" s="7">
        <f>DD$2*(Underlying*EXP(-DividendYield*TimeToExpiration)*_xlfn.NORM.DIST(DD$2*(LN(Underlying/$H26)+(RiskFreeRate-DividendYield+0.5*DB26^2)*TimeToExpiration)/(DB26*TimeToExpiration^0.5), 0, 1, TRUE) - 
       $H26*EXP(-RiskFreeRate*TimeToExpiration)*_xlfn.NORM.DIST(DD$2*(LN(Underlying/$H26)+(RiskFreeRate-DividendYield-0.5*DB26^2)*TimeToExpiration)/(DB26*TimeToExpiration^0.5), 0, 1, TRUE)
)</f>
        <v>3.800263806</v>
      </c>
      <c r="DE26" s="40">
        <f t="shared" si="53"/>
        <v>0.3654185867</v>
      </c>
      <c r="DF26" s="8">
        <f>DF$2*(Underlying*EXP(-DividendYield*TimeToExpiration)*_xlfn.NORM.DIST(DF$2*(LN(Underlying/$H26)+(RiskFreeRate-DividendYield+0.5*DE26^2)*TimeToExpiration)/(DE26*TimeToExpiration^0.5), 0, 1, TRUE) - 
       $H26*EXP(-RiskFreeRate*TimeToExpiration)*_xlfn.NORM.DIST(DF$2*(LN(Underlying/$H26)+(RiskFreeRate-DividendYield-0.5*DE26^2)*TimeToExpiration)/(DE26*TimeToExpiration^0.5), 0, 1, TRUE)
)</f>
        <v>3.799863237</v>
      </c>
    </row>
    <row r="27">
      <c r="A27" s="20">
        <f>'Option Mkt Data'!A27</f>
        <v>350</v>
      </c>
      <c r="B27" s="35">
        <f t="shared" ref="B27:C27" si="74">DE27</f>
        <v>0.3674778366</v>
      </c>
      <c r="C27" s="7">
        <f t="shared" si="74"/>
        <v>3.100238904</v>
      </c>
      <c r="D27" s="7">
        <f t="shared" si="3"/>
        <v>0.0002394756635</v>
      </c>
      <c r="E27" s="9">
        <f t="shared" si="4"/>
        <v>0.00007725022829</v>
      </c>
      <c r="F27" s="36">
        <f>D27/'Option Mkt Data'!L27</f>
        <v>0.002394747487</v>
      </c>
      <c r="G27" s="5">
        <f>'Option Mkt Data'!J27</f>
        <v>3.099999428</v>
      </c>
      <c r="H27" s="33">
        <f>'Option Mkt Data'!A27</f>
        <v>350</v>
      </c>
      <c r="I27" s="37">
        <f>MinSolverVola</f>
        <v>0.001</v>
      </c>
      <c r="J27" s="38">
        <f>MaxSolverVola</f>
        <v>3</v>
      </c>
      <c r="K27" s="39">
        <f>K$2*(Underlying*EXP(-DividendYield*TimeToExpiration)*_xlfn.NORM.DIST(K$2*(LN(Underlying/$H27)+(RiskFreeRate-DividendYield+0.5*I27^2)*TimeToExpiration)/(I27*TimeToExpiration^0.5), 0, 1, TRUE) - 
       $H27*EXP(-RiskFreeRate*TimeToExpiration)*_xlfn.NORM.DIST(K$2*(LN(Underlying/$H27)+(RiskFreeRate-DividendYield-0.5*I27^2)*TimeToExpiration)/(I27*TimeToExpiration^0.5), 0, 1, TRUE)
)</f>
        <v>0</v>
      </c>
      <c r="L27" s="7">
        <f>L$2*(Underlying*EXP(-DividendYield*TimeToExpiration)*_xlfn.NORM.DIST(L$2*(LN(Underlying/$H27)+(RiskFreeRate-DividendYield+0.5*J27^2)*TimeToExpiration)/(J27*TimeToExpiration^0.5), 0, 1, TRUE) - 
       $H27*EXP(-RiskFreeRate*TimeToExpiration)*_xlfn.NORM.DIST(L$2*(LN(Underlying/$H27)+(RiskFreeRate-DividendYield-0.5*J27^2)*TimeToExpiration)/(J27*TimeToExpiration^0.5), 0, 1, TRUE)
)</f>
        <v>52.79035666</v>
      </c>
      <c r="M27" s="40">
        <f t="shared" si="5"/>
        <v>1.5005</v>
      </c>
      <c r="N27" s="8">
        <f>N$2*(Underlying*EXP(-DividendYield*TimeToExpiration)*_xlfn.NORM.DIST(N$2*(LN(Underlying/$H27)+(RiskFreeRate-DividendYield+0.5*M27^2)*TimeToExpiration)/(M27*TimeToExpiration^0.5), 0, 1, TRUE) - 
       $H27*EXP(-RiskFreeRate*TimeToExpiration)*_xlfn.NORM.DIST(N$2*(LN(Underlying/$H27)+(RiskFreeRate-DividendYield-0.5*M27^2)*TimeToExpiration)/(M27*TimeToExpiration^0.5), 0, 1, TRUE)
)</f>
        <v>24.1790031</v>
      </c>
      <c r="O27" s="41">
        <f t="shared" si="6"/>
        <v>0.001</v>
      </c>
      <c r="P27" s="40">
        <f t="shared" si="7"/>
        <v>1.5005</v>
      </c>
      <c r="Q27" s="7">
        <f>Q$2*(Underlying*EXP(-DividendYield*TimeToExpiration)*_xlfn.NORM.DIST(Q$2*(LN(Underlying/$H27)+(RiskFreeRate-DividendYield+0.5*O27^2)*TimeToExpiration)/(O27*TimeToExpiration^0.5), 0, 1, TRUE) - 
       $H27*EXP(-RiskFreeRate*TimeToExpiration)*_xlfn.NORM.DIST(Q$2*(LN(Underlying/$H27)+(RiskFreeRate-DividendYield-0.5*O27^2)*TimeToExpiration)/(O27*TimeToExpiration^0.5), 0, 1, TRUE))</f>
        <v>0</v>
      </c>
      <c r="R27" s="7">
        <f>R$2*(Underlying*EXP(-DividendYield*TimeToExpiration)*_xlfn.NORM.DIST(R$2*(LN(Underlying/$H27)+(RiskFreeRate-DividendYield+0.5*P27^2)*TimeToExpiration)/(P27*TimeToExpiration^0.5), 0, 1, TRUE) - 
       $H27*EXP(-RiskFreeRate*TimeToExpiration)*_xlfn.NORM.DIST(R$2*(LN(Underlying/$H27)+(RiskFreeRate-DividendYield-0.5*P27^2)*TimeToExpiration)/(P27*TimeToExpiration^0.5), 0, 1, TRUE)
)</f>
        <v>24.1790031</v>
      </c>
      <c r="S27" s="40">
        <f t="shared" si="8"/>
        <v>0.75075</v>
      </c>
      <c r="T27" s="8">
        <f>T$2*(Underlying*EXP(-DividendYield*TimeToExpiration)*_xlfn.NORM.DIST(T$2*(LN(Underlying/$H27)+(RiskFreeRate-DividendYield+0.5*S27^2)*TimeToExpiration)/(S27*TimeToExpiration^0.5), 0, 1, TRUE) - 
       $H27*EXP(-RiskFreeRate*TimeToExpiration)*_xlfn.NORM.DIST(T$2*(LN(Underlying/$H27)+(RiskFreeRate-DividendYield-0.5*S27^2)*TimeToExpiration)/(S27*TimeToExpiration^0.5), 0, 1, TRUE)
)</f>
        <v>9.950911685</v>
      </c>
      <c r="U27" s="41">
        <f t="shared" si="9"/>
        <v>0.001</v>
      </c>
      <c r="V27" s="40">
        <f t="shared" si="10"/>
        <v>0.75075</v>
      </c>
      <c r="W27" s="7">
        <f>W$2*(Underlying*EXP(-DividendYield*TimeToExpiration)*_xlfn.NORM.DIST(W$2*(LN(Underlying/$H27)+(RiskFreeRate-DividendYield+0.5*U27^2)*TimeToExpiration)/(U27*TimeToExpiration^0.5), 0, 1, TRUE) - 
       $H27*EXP(-RiskFreeRate*TimeToExpiration)*_xlfn.NORM.DIST(W$2*(LN(Underlying/$H27)+(RiskFreeRate-DividendYield-0.5*U27^2)*TimeToExpiration)/(U27*TimeToExpiration^0.5), 0, 1, TRUE)
)</f>
        <v>0</v>
      </c>
      <c r="X27" s="7">
        <f>X$2*(Underlying*EXP(-DividendYield*TimeToExpiration)*_xlfn.NORM.DIST(X$2*(LN(Underlying/$H27)+(RiskFreeRate-DividendYield+0.5*V27^2)*TimeToExpiration)/(V27*TimeToExpiration^0.5), 0, 1, TRUE) - 
       $H27*EXP(-RiskFreeRate*TimeToExpiration)*_xlfn.NORM.DIST(X$2*(LN(Underlying/$H27)+(RiskFreeRate-DividendYield-0.5*V27^2)*TimeToExpiration)/(V27*TimeToExpiration^0.5), 0, 1, TRUE)
)</f>
        <v>9.950911685</v>
      </c>
      <c r="Y27" s="40">
        <f t="shared" si="11"/>
        <v>0.375875</v>
      </c>
      <c r="Z27" s="8">
        <f>Z$2*(Underlying*EXP(-DividendYield*TimeToExpiration)*_xlfn.NORM.DIST(Z$2*(LN(Underlying/$H27)+(RiskFreeRate-DividendYield+0.5*Y27^2)*TimeToExpiration)/(Y27*TimeToExpiration^0.5), 0, 1, TRUE) - 
       $H27*EXP(-RiskFreeRate*TimeToExpiration)*_xlfn.NORM.DIST(Z$2*(LN(Underlying/$H27)+(RiskFreeRate-DividendYield-0.5*Y27^2)*TimeToExpiration)/(Y27*TimeToExpiration^0.5), 0, 1, TRUE)
)</f>
        <v>3.238343062</v>
      </c>
      <c r="AA27" s="41">
        <f t="shared" si="12"/>
        <v>0.001</v>
      </c>
      <c r="AB27" s="40">
        <f t="shared" si="13"/>
        <v>0.375875</v>
      </c>
      <c r="AC27" s="7">
        <f>AC$2*(Underlying*EXP(-DividendYield*TimeToExpiration)*_xlfn.NORM.DIST(AC$2*(LN(Underlying/$H27)+(RiskFreeRate-DividendYield+0.5*AA27^2)*TimeToExpiration)/(AA27*TimeToExpiration^0.5), 0, 1, TRUE) - 
       $H27*EXP(-RiskFreeRate*TimeToExpiration)*_xlfn.NORM.DIST(AC$2*(LN(Underlying/$H27)+(RiskFreeRate-DividendYield-0.5*AA27^2)*TimeToExpiration)/(AA27*TimeToExpiration^0.5), 0, 1, TRUE)
)</f>
        <v>0</v>
      </c>
      <c r="AD27" s="7">
        <f>AD$2*(Underlying*EXP(-DividendYield*TimeToExpiration)*_xlfn.NORM.DIST(AD$2*(LN(Underlying/$H27)+(RiskFreeRate-DividendYield+0.5*AB27^2)*TimeToExpiration)/(AB27*TimeToExpiration^0.5), 0, 1, TRUE) - 
       $H27*EXP(-RiskFreeRate*TimeToExpiration)*_xlfn.NORM.DIST(AD$2*(LN(Underlying/$H27)+(RiskFreeRate-DividendYield-0.5*AB27^2)*TimeToExpiration)/(AB27*TimeToExpiration^0.5), 0, 1, TRUE)
)</f>
        <v>3.238343062</v>
      </c>
      <c r="AE27" s="40">
        <f t="shared" si="14"/>
        <v>0.1884375</v>
      </c>
      <c r="AF27" s="8">
        <f>AF$2*(Underlying*EXP(-DividendYield*TimeToExpiration)*_xlfn.NORM.DIST(AF$2*(LN(Underlying/$H27)+(RiskFreeRate-DividendYield+0.5*AE27^2)*TimeToExpiration)/(AE27*TimeToExpiration^0.5), 0, 1, TRUE) - 
       $H27*EXP(-RiskFreeRate*TimeToExpiration)*_xlfn.NORM.DIST(AF$2*(LN(Underlying/$H27)+(RiskFreeRate-DividendYield-0.5*AE27^2)*TimeToExpiration)/(AE27*TimeToExpiration^0.5), 0, 1, TRUE)
)</f>
        <v>0.5839605043</v>
      </c>
      <c r="AG27" s="40">
        <f t="shared" si="15"/>
        <v>0.1884375</v>
      </c>
      <c r="AH27" s="40">
        <f t="shared" si="16"/>
        <v>0.375875</v>
      </c>
      <c r="AI27" s="7">
        <f>AI$2*(Underlying*EXP(-DividendYield*TimeToExpiration)*_xlfn.NORM.DIST(AI$2*(LN(Underlying/$H27)+(RiskFreeRate-DividendYield+0.5*AG27^2)*TimeToExpiration)/(AG27*TimeToExpiration^0.5), 0, 1, TRUE) - 
       $H27*EXP(-RiskFreeRate*TimeToExpiration)*_xlfn.NORM.DIST(AI$2*(LN(Underlying/$H27)+(RiskFreeRate-DividendYield-0.5*AG27^2)*TimeToExpiration)/(AG27*TimeToExpiration^0.5), 0, 1, TRUE)
)</f>
        <v>0.5839605043</v>
      </c>
      <c r="AJ27" s="7">
        <f>AJ$2*(Underlying*EXP(-DividendYield*TimeToExpiration)*_xlfn.NORM.DIST(AJ$2*(LN(Underlying/$H27)+(RiskFreeRate-DividendYield+0.5*AH27^2)*TimeToExpiration)/(AH27*TimeToExpiration^0.5), 0, 1, TRUE) - 
       $H27*EXP(-RiskFreeRate*TimeToExpiration)*_xlfn.NORM.DIST(AJ$2*(LN(Underlying/$H27)+(RiskFreeRate-DividendYield-0.5*AH27^2)*TimeToExpiration)/(AH27*TimeToExpiration^0.5), 0, 1, TRUE)
)</f>
        <v>3.238343062</v>
      </c>
      <c r="AK27" s="40">
        <f t="shared" si="17"/>
        <v>0.28215625</v>
      </c>
      <c r="AL27" s="8">
        <f>AL$2*(Underlying*EXP(-DividendYield*TimeToExpiration)*_xlfn.NORM.DIST(AL$2*(LN(Underlying/$H27)+(RiskFreeRate-DividendYield+0.5*AK27^2)*TimeToExpiration)/(AK27*TimeToExpiration^0.5), 0, 1, TRUE) - 
       $H27*EXP(-RiskFreeRate*TimeToExpiration)*_xlfn.NORM.DIST(AL$2*(LN(Underlying/$H27)+(RiskFreeRate-DividendYield-0.5*AK27^2)*TimeToExpiration)/(AK27*TimeToExpiration^0.5), 0, 1, TRUE)
)</f>
        <v>1.771604449</v>
      </c>
      <c r="AM27" s="40">
        <f t="shared" si="18"/>
        <v>0.28215625</v>
      </c>
      <c r="AN27" s="40">
        <f t="shared" si="19"/>
        <v>0.375875</v>
      </c>
      <c r="AO27" s="7">
        <f>AO$2*(Underlying*EXP(-DividendYield*TimeToExpiration)*_xlfn.NORM.DIST(AO$2*(LN(Underlying/$H27)+(RiskFreeRate-DividendYield+0.5*AM27^2)*TimeToExpiration)/(AM27*TimeToExpiration^0.5), 0, 1, TRUE) - 
       $H27*EXP(-RiskFreeRate*TimeToExpiration)*_xlfn.NORM.DIST(AO$2*(LN(Underlying/$H27)+(RiskFreeRate-DividendYield-0.5*AM27^2)*TimeToExpiration)/(AM27*TimeToExpiration^0.5), 0, 1, TRUE)
)</f>
        <v>1.771604449</v>
      </c>
      <c r="AP27" s="7">
        <f>AP$2*(Underlying*EXP(-DividendYield*TimeToExpiration)*_xlfn.NORM.DIST(AP$2*(LN(Underlying/$H27)+(RiskFreeRate-DividendYield+0.5*AN27^2)*TimeToExpiration)/(AN27*TimeToExpiration^0.5), 0, 1, TRUE) - 
       $H27*EXP(-RiskFreeRate*TimeToExpiration)*_xlfn.NORM.DIST(AP$2*(LN(Underlying/$H27)+(RiskFreeRate-DividendYield-0.5*AN27^2)*TimeToExpiration)/(AN27*TimeToExpiration^0.5), 0, 1, TRUE)
)</f>
        <v>3.238343062</v>
      </c>
      <c r="AQ27" s="40">
        <f t="shared" si="20"/>
        <v>0.329015625</v>
      </c>
      <c r="AR27" s="8">
        <f>AR$2*(Underlying*EXP(-DividendYield*TimeToExpiration)*_xlfn.NORM.DIST(AR$2*(LN(Underlying/$H27)+(RiskFreeRate-DividendYield+0.5*AQ27^2)*TimeToExpiration)/(AQ27*TimeToExpiration^0.5), 0, 1, TRUE) - 
       $H27*EXP(-RiskFreeRate*TimeToExpiration)*_xlfn.NORM.DIST(AR$2*(LN(Underlying/$H27)+(RiskFreeRate-DividendYield-0.5*AQ27^2)*TimeToExpiration)/(AQ27*TimeToExpiration^0.5), 0, 1, TRUE)
)</f>
        <v>2.482418348</v>
      </c>
      <c r="AS27" s="40">
        <f t="shared" si="21"/>
        <v>0.329015625</v>
      </c>
      <c r="AT27" s="40">
        <f t="shared" si="22"/>
        <v>0.375875</v>
      </c>
      <c r="AU27" s="7">
        <f>AU$2*(Underlying*EXP(-DividendYield*TimeToExpiration)*_xlfn.NORM.DIST(AU$2*(LN(Underlying/$H27)+(RiskFreeRate-DividendYield+0.5*AS27^2)*TimeToExpiration)/(AS27*TimeToExpiration^0.5), 0, 1, TRUE) - 
       $H27*EXP(-RiskFreeRate*TimeToExpiration)*_xlfn.NORM.DIST(AU$2*(LN(Underlying/$H27)+(RiskFreeRate-DividendYield-0.5*AS27^2)*TimeToExpiration)/(AS27*TimeToExpiration^0.5), 0, 1, TRUE)
)</f>
        <v>2.482418348</v>
      </c>
      <c r="AV27" s="7">
        <f>AV$2*(Underlying*EXP(-DividendYield*TimeToExpiration)*_xlfn.NORM.DIST(AV$2*(LN(Underlying/$H27)+(RiskFreeRate-DividendYield+0.5*AT27^2)*TimeToExpiration)/(AT27*TimeToExpiration^0.5), 0, 1, TRUE) - 
       $H27*EXP(-RiskFreeRate*TimeToExpiration)*_xlfn.NORM.DIST(AV$2*(LN(Underlying/$H27)+(RiskFreeRate-DividendYield-0.5*AT27^2)*TimeToExpiration)/(AT27*TimeToExpiration^0.5), 0, 1, TRUE)
)</f>
        <v>3.238343062</v>
      </c>
      <c r="AW27" s="40">
        <f t="shared" si="23"/>
        <v>0.3524453125</v>
      </c>
      <c r="AX27" s="8">
        <f>AX$2*(Underlying*EXP(-DividendYield*TimeToExpiration)*_xlfn.NORM.DIST(AX$2*(LN(Underlying/$H27)+(RiskFreeRate-DividendYield+0.5*AW27^2)*TimeToExpiration)/(AW27*TimeToExpiration^0.5), 0, 1, TRUE) - 
       $H27*EXP(-RiskFreeRate*TimeToExpiration)*_xlfn.NORM.DIST(AX$2*(LN(Underlying/$H27)+(RiskFreeRate-DividendYield-0.5*AW27^2)*TimeToExpiration)/(AW27*TimeToExpiration^0.5), 0, 1, TRUE)
)</f>
        <v>2.855719722</v>
      </c>
      <c r="AY27" s="40">
        <f t="shared" si="24"/>
        <v>0.3524453125</v>
      </c>
      <c r="AZ27" s="40">
        <f t="shared" si="25"/>
        <v>0.375875</v>
      </c>
      <c r="BA27" s="7">
        <f>BA$2*(Underlying*EXP(-DividendYield*TimeToExpiration)*_xlfn.NORM.DIST(BA$2*(LN(Underlying/$H27)+(RiskFreeRate-DividendYield+0.5*AY27^2)*TimeToExpiration)/(AY27*TimeToExpiration^0.5), 0, 1, TRUE) - 
       $H27*EXP(-RiskFreeRate*TimeToExpiration)*_xlfn.NORM.DIST(BA$2*(LN(Underlying/$H27)+(RiskFreeRate-DividendYield-0.5*AY27^2)*TimeToExpiration)/(AY27*TimeToExpiration^0.5), 0, 1, TRUE)
)</f>
        <v>2.855719722</v>
      </c>
      <c r="BB27" s="7">
        <f>BB$2*(Underlying*EXP(-DividendYield*TimeToExpiration)*_xlfn.NORM.DIST(BB$2*(LN(Underlying/$H27)+(RiskFreeRate-DividendYield+0.5*AZ27^2)*TimeToExpiration)/(AZ27*TimeToExpiration^0.5), 0, 1, TRUE) - 
       $H27*EXP(-RiskFreeRate*TimeToExpiration)*_xlfn.NORM.DIST(BB$2*(LN(Underlying/$H27)+(RiskFreeRate-DividendYield-0.5*AZ27^2)*TimeToExpiration)/(AZ27*TimeToExpiration^0.5), 0, 1, TRUE)
)</f>
        <v>3.238343062</v>
      </c>
      <c r="BC27" s="40">
        <f t="shared" si="26"/>
        <v>0.3641601563</v>
      </c>
      <c r="BD27" s="8">
        <f>BD$2*(Underlying*EXP(-DividendYield*TimeToExpiration)*_xlfn.NORM.DIST(BD$2*(LN(Underlying/$H27)+(RiskFreeRate-DividendYield+0.5*BC27^2)*TimeToExpiration)/(BC27*TimeToExpiration^0.5), 0, 1, TRUE) - 
       $H27*EXP(-RiskFreeRate*TimeToExpiration)*_xlfn.NORM.DIST(BD$2*(LN(Underlying/$H27)+(RiskFreeRate-DividendYield-0.5*BC27^2)*TimeToExpiration)/(BC27*TimeToExpiration^0.5), 0, 1, TRUE)
)</f>
        <v>3.045965488</v>
      </c>
      <c r="BE27" s="40">
        <f t="shared" si="27"/>
        <v>0.3641601563</v>
      </c>
      <c r="BF27" s="40">
        <f t="shared" si="28"/>
        <v>0.375875</v>
      </c>
      <c r="BG27" s="7">
        <f>BG$2*(Underlying*EXP(-DividendYield*TimeToExpiration)*_xlfn.NORM.DIST(BG$2*(LN(Underlying/$H27)+(RiskFreeRate-DividendYield+0.5*BE27^2)*TimeToExpiration)/(BE27*TimeToExpiration^0.5), 0, 1, TRUE) - 
       $H27*EXP(-RiskFreeRate*TimeToExpiration)*_xlfn.NORM.DIST(BG$2*(LN(Underlying/$H27)+(RiskFreeRate-DividendYield-0.5*BE27^2)*TimeToExpiration)/(BE27*TimeToExpiration^0.5), 0, 1, TRUE)
)</f>
        <v>3.045965488</v>
      </c>
      <c r="BH27" s="7">
        <f>BH$2*(Underlying*EXP(-DividendYield*TimeToExpiration)*_xlfn.NORM.DIST(BH$2*(LN(Underlying/$H27)+(RiskFreeRate-DividendYield+0.5*BF27^2)*TimeToExpiration)/(BF27*TimeToExpiration^0.5), 0, 1, TRUE) - 
       $H27*EXP(-RiskFreeRate*TimeToExpiration)*_xlfn.NORM.DIST(BH$2*(LN(Underlying/$H27)+(RiskFreeRate-DividendYield-0.5*BF27^2)*TimeToExpiration)/(BF27*TimeToExpiration^0.5), 0, 1, TRUE)
)</f>
        <v>3.238343062</v>
      </c>
      <c r="BI27" s="40">
        <f t="shared" si="29"/>
        <v>0.3700175781</v>
      </c>
      <c r="BJ27" s="8">
        <f>BJ$2*(Underlying*EXP(-DividendYield*TimeToExpiration)*_xlfn.NORM.DIST(BJ$2*(LN(Underlying/$H27)+(RiskFreeRate-DividendYield+0.5*BI27^2)*TimeToExpiration)/(BI27*TimeToExpiration^0.5), 0, 1, TRUE) - 
       $H27*EXP(-RiskFreeRate*TimeToExpiration)*_xlfn.NORM.DIST(BJ$2*(LN(Underlying/$H27)+(RiskFreeRate-DividendYield-0.5*BI27^2)*TimeToExpiration)/(BI27*TimeToExpiration^0.5), 0, 1, TRUE)
)</f>
        <v>3.141899053</v>
      </c>
      <c r="BK27" s="40">
        <f t="shared" si="30"/>
        <v>0.3641601563</v>
      </c>
      <c r="BL27" s="40">
        <f t="shared" si="31"/>
        <v>0.3700175781</v>
      </c>
      <c r="BM27" s="7">
        <f>BM$2*(Underlying*EXP(-DividendYield*TimeToExpiration)*_xlfn.NORM.DIST(BM$2*(LN(Underlying/$H27)+(RiskFreeRate-DividendYield+0.5*BK27^2)*TimeToExpiration)/(BK27*TimeToExpiration^0.5), 0, 1, TRUE) - 
       $H27*EXP(-RiskFreeRate*TimeToExpiration)*_xlfn.NORM.DIST(BM$2*(LN(Underlying/$H27)+(RiskFreeRate-DividendYield-0.5*BK27^2)*TimeToExpiration)/(BK27*TimeToExpiration^0.5), 0, 1, TRUE)
)</f>
        <v>3.045965488</v>
      </c>
      <c r="BN27" s="7">
        <f>BN$2*(Underlying*EXP(-DividendYield*TimeToExpiration)*_xlfn.NORM.DIST(BN$2*(LN(Underlying/$H27)+(RiskFreeRate-DividendYield+0.5*BL27^2)*TimeToExpiration)/(BL27*TimeToExpiration^0.5), 0, 1, TRUE) - 
       $H27*EXP(-RiskFreeRate*TimeToExpiration)*_xlfn.NORM.DIST(BN$2*(LN(Underlying/$H27)+(RiskFreeRate-DividendYield-0.5*BL27^2)*TimeToExpiration)/(BL27*TimeToExpiration^0.5), 0, 1, TRUE)
)</f>
        <v>3.141899053</v>
      </c>
      <c r="BO27" s="40">
        <f t="shared" si="32"/>
        <v>0.3670888672</v>
      </c>
      <c r="BP27" s="8">
        <f>BP$2*(Underlying*EXP(-DividendYield*TimeToExpiration)*_xlfn.NORM.DIST(BP$2*(LN(Underlying/$H27)+(RiskFreeRate-DividendYield+0.5*BO27^2)*TimeToExpiration)/(BO27*TimeToExpiration^0.5), 0, 1, TRUE) - 
       $H27*EXP(-RiskFreeRate*TimeToExpiration)*_xlfn.NORM.DIST(BP$2*(LN(Underlying/$H27)+(RiskFreeRate-DividendYield-0.5*BO27^2)*TimeToExpiration)/(BO27*TimeToExpiration^0.5), 0, 1, TRUE)
)</f>
        <v>3.093867106</v>
      </c>
      <c r="BQ27" s="40">
        <f t="shared" si="33"/>
        <v>0.3670888672</v>
      </c>
      <c r="BR27" s="40">
        <f t="shared" si="34"/>
        <v>0.3700175781</v>
      </c>
      <c r="BS27" s="7">
        <f>BS$2*(Underlying*EXP(-DividendYield*TimeToExpiration)*_xlfn.NORM.DIST(BS$2*(LN(Underlying/$H27)+(RiskFreeRate-DividendYield+0.5*BQ27^2)*TimeToExpiration)/(BQ27*TimeToExpiration^0.5), 0, 1, TRUE) - 
       $H27*EXP(-RiskFreeRate*TimeToExpiration)*_xlfn.NORM.DIST(BS$2*(LN(Underlying/$H27)+(RiskFreeRate-DividendYield-0.5*BQ27^2)*TimeToExpiration)/(BQ27*TimeToExpiration^0.5), 0, 1, TRUE)
)</f>
        <v>3.093867106</v>
      </c>
      <c r="BT27" s="7">
        <f>BT$2*(Underlying*EXP(-DividendYield*TimeToExpiration)*_xlfn.NORM.DIST(BT$2*(LN(Underlying/$H27)+(RiskFreeRate-DividendYield+0.5*BR27^2)*TimeToExpiration)/(BR27*TimeToExpiration^0.5), 0, 1, TRUE) - 
       $H27*EXP(-RiskFreeRate*TimeToExpiration)*_xlfn.NORM.DIST(BT$2*(LN(Underlying/$H27)+(RiskFreeRate-DividendYield-0.5*BR27^2)*TimeToExpiration)/(BR27*TimeToExpiration^0.5), 0, 1, TRUE)
)</f>
        <v>3.141899053</v>
      </c>
      <c r="BU27" s="40">
        <f t="shared" si="35"/>
        <v>0.3685532227</v>
      </c>
      <c r="BV27" s="8">
        <f>BV$2*(Underlying*EXP(-DividendYield*TimeToExpiration)*_xlfn.NORM.DIST(BV$2*(LN(Underlying/$H27)+(RiskFreeRate-DividendYield+0.5*BU27^2)*TimeToExpiration)/(BU27*TimeToExpiration^0.5), 0, 1, TRUE) - 
       $H27*EXP(-RiskFreeRate*TimeToExpiration)*_xlfn.NORM.DIST(BV$2*(LN(Underlying/$H27)+(RiskFreeRate-DividendYield-0.5*BU27^2)*TimeToExpiration)/(BU27*TimeToExpiration^0.5), 0, 1, TRUE)
)</f>
        <v>3.117866961</v>
      </c>
      <c r="BW27" s="40">
        <f t="shared" si="36"/>
        <v>0.3670888672</v>
      </c>
      <c r="BX27" s="40">
        <f t="shared" si="37"/>
        <v>0.3685532227</v>
      </c>
      <c r="BY27" s="7">
        <f>BY$2*(Underlying*EXP(-DividendYield*TimeToExpiration)*_xlfn.NORM.DIST(BY$2*(LN(Underlying/$H27)+(RiskFreeRate-DividendYield+0.5*BW27^2)*TimeToExpiration)/(BW27*TimeToExpiration^0.5), 0, 1, TRUE) - 
       $H27*EXP(-RiskFreeRate*TimeToExpiration)*_xlfn.NORM.DIST(BY$2*(LN(Underlying/$H27)+(RiskFreeRate-DividendYield-0.5*BW27^2)*TimeToExpiration)/(BW27*TimeToExpiration^0.5), 0, 1, TRUE)
)</f>
        <v>3.093867106</v>
      </c>
      <c r="BZ27" s="7">
        <f>BZ$2*(Underlying*EXP(-DividendYield*TimeToExpiration)*_xlfn.NORM.DIST(BZ$2*(LN(Underlying/$H27)+(RiskFreeRate-DividendYield+0.5*BX27^2)*TimeToExpiration)/(BX27*TimeToExpiration^0.5), 0, 1, TRUE) - 
       $H27*EXP(-RiskFreeRate*TimeToExpiration)*_xlfn.NORM.DIST(BZ$2*(LN(Underlying/$H27)+(RiskFreeRate-DividendYield-0.5*BX27^2)*TimeToExpiration)/(BX27*TimeToExpiration^0.5), 0, 1, TRUE)
)</f>
        <v>3.117866961</v>
      </c>
      <c r="CA27" s="40">
        <f t="shared" si="38"/>
        <v>0.3678210449</v>
      </c>
      <c r="CB27" s="8">
        <f>CB$2*(Underlying*EXP(-DividendYield*TimeToExpiration)*_xlfn.NORM.DIST(CB$2*(LN(Underlying/$H27)+(RiskFreeRate-DividendYield+0.5*CA27^2)*TimeToExpiration)/(CA27*TimeToExpiration^0.5), 0, 1, TRUE) - 
       $H27*EXP(-RiskFreeRate*TimeToExpiration)*_xlfn.NORM.DIST(CB$2*(LN(Underlying/$H27)+(RiskFreeRate-DividendYield-0.5*CA27^2)*TimeToExpiration)/(CA27*TimeToExpiration^0.5), 0, 1, TRUE)
)</f>
        <v>3.105862982</v>
      </c>
      <c r="CC27" s="40">
        <f t="shared" si="39"/>
        <v>0.3670888672</v>
      </c>
      <c r="CD27" s="40">
        <f t="shared" si="40"/>
        <v>0.3678210449</v>
      </c>
      <c r="CE27" s="7">
        <f>CE$2*(Underlying*EXP(-DividendYield*TimeToExpiration)*_xlfn.NORM.DIST(CE$2*(LN(Underlying/$H27)+(RiskFreeRate-DividendYield+0.5*CC27^2)*TimeToExpiration)/(CC27*TimeToExpiration^0.5), 0, 1, TRUE) - 
       $H27*EXP(-RiskFreeRate*TimeToExpiration)*_xlfn.NORM.DIST(CE$2*(LN(Underlying/$H27)+(RiskFreeRate-DividendYield-0.5*CC27^2)*TimeToExpiration)/(CC27*TimeToExpiration^0.5), 0, 1, TRUE)
)</f>
        <v>3.093867106</v>
      </c>
      <c r="CF27" s="7">
        <f>CF$2*(Underlying*EXP(-DividendYield*TimeToExpiration)*_xlfn.NORM.DIST(CF$2*(LN(Underlying/$H27)+(RiskFreeRate-DividendYield+0.5*CD27^2)*TimeToExpiration)/(CD27*TimeToExpiration^0.5), 0, 1, TRUE) - 
       $H27*EXP(-RiskFreeRate*TimeToExpiration)*_xlfn.NORM.DIST(CF$2*(LN(Underlying/$H27)+(RiskFreeRate-DividendYield-0.5*CD27^2)*TimeToExpiration)/(CD27*TimeToExpiration^0.5), 0, 1, TRUE)
)</f>
        <v>3.105862982</v>
      </c>
      <c r="CG27" s="40">
        <f t="shared" si="41"/>
        <v>0.3674549561</v>
      </c>
      <c r="CH27" s="8">
        <f>CH$2*(Underlying*EXP(-DividendYield*TimeToExpiration)*_xlfn.NORM.DIST(CH$2*(LN(Underlying/$H27)+(RiskFreeRate-DividendYield+0.5*CG27^2)*TimeToExpiration)/(CG27*TimeToExpiration^0.5), 0, 1, TRUE) - 
       $H27*EXP(-RiskFreeRate*TimeToExpiration)*_xlfn.NORM.DIST(CH$2*(LN(Underlying/$H27)+(RiskFreeRate-DividendYield-0.5*CG27^2)*TimeToExpiration)/(CG27*TimeToExpiration^0.5), 0, 1, TRUE)
)</f>
        <v>3.099864028</v>
      </c>
      <c r="CI27" s="40">
        <f t="shared" si="42"/>
        <v>0.3674549561</v>
      </c>
      <c r="CJ27" s="40">
        <f t="shared" si="43"/>
        <v>0.3678210449</v>
      </c>
      <c r="CK27" s="7">
        <f>CK$2*(Underlying*EXP(-DividendYield*TimeToExpiration)*_xlfn.NORM.DIST(CK$2*(LN(Underlying/$H27)+(RiskFreeRate-DividendYield+0.5*CI27^2)*TimeToExpiration)/(CI27*TimeToExpiration^0.5), 0, 1, TRUE) - 
       $H27*EXP(-RiskFreeRate*TimeToExpiration)*_xlfn.NORM.DIST(CK$2*(LN(Underlying/$H27)+(RiskFreeRate-DividendYield-0.5*CI27^2)*TimeToExpiration)/(CI27*TimeToExpiration^0.5), 0, 1, TRUE)
)</f>
        <v>3.099864028</v>
      </c>
      <c r="CL27" s="7">
        <f>CL$2*(Underlying*EXP(-DividendYield*TimeToExpiration)*_xlfn.NORM.DIST(CL$2*(LN(Underlying/$H27)+(RiskFreeRate-DividendYield+0.5*CJ27^2)*TimeToExpiration)/(CJ27*TimeToExpiration^0.5), 0, 1, TRUE) - 
       $H27*EXP(-RiskFreeRate*TimeToExpiration)*_xlfn.NORM.DIST(CL$2*(LN(Underlying/$H27)+(RiskFreeRate-DividendYield-0.5*CJ27^2)*TimeToExpiration)/(CJ27*TimeToExpiration^0.5), 0, 1, TRUE)
)</f>
        <v>3.105862982</v>
      </c>
      <c r="CM27" s="40">
        <f t="shared" si="44"/>
        <v>0.3676380005</v>
      </c>
      <c r="CN27" s="8">
        <f>CN$2*(Underlying*EXP(-DividendYield*TimeToExpiration)*_xlfn.NORM.DIST(CN$2*(LN(Underlying/$H27)+(RiskFreeRate-DividendYield+0.5*CM27^2)*TimeToExpiration)/(CM27*TimeToExpiration^0.5), 0, 1, TRUE) - 
       $H27*EXP(-RiskFreeRate*TimeToExpiration)*_xlfn.NORM.DIST(CN$2*(LN(Underlying/$H27)+(RiskFreeRate-DividendYield-0.5*CM27^2)*TimeToExpiration)/(CM27*TimeToExpiration^0.5), 0, 1, TRUE)
)</f>
        <v>3.102863252</v>
      </c>
      <c r="CO27" s="40">
        <f t="shared" si="45"/>
        <v>0.3674549561</v>
      </c>
      <c r="CP27" s="40">
        <f t="shared" si="46"/>
        <v>0.3676380005</v>
      </c>
      <c r="CQ27" s="7">
        <f>CQ$2*(Underlying*EXP(-DividendYield*TimeToExpiration)*_xlfn.NORM.DIST(CQ$2*(LN(Underlying/$H27)+(RiskFreeRate-DividendYield+0.5*CO27^2)*TimeToExpiration)/(CO27*TimeToExpiration^0.5), 0, 1, TRUE) - 
       $H27*EXP(-RiskFreeRate*TimeToExpiration)*_xlfn.NORM.DIST(CQ$2*(LN(Underlying/$H27)+(RiskFreeRate-DividendYield-0.5*CO27^2)*TimeToExpiration)/(CO27*TimeToExpiration^0.5), 0, 1, TRUE)
)</f>
        <v>3.099864028</v>
      </c>
      <c r="CR27" s="7">
        <f>CR$2*(Underlying*EXP(-DividendYield*TimeToExpiration)*_xlfn.NORM.DIST(CR$2*(LN(Underlying/$H27)+(RiskFreeRate-DividendYield+0.5*CP27^2)*TimeToExpiration)/(CP27*TimeToExpiration^0.5), 0, 1, TRUE) - 
       $H27*EXP(-RiskFreeRate*TimeToExpiration)*_xlfn.NORM.DIST(CR$2*(LN(Underlying/$H27)+(RiskFreeRate-DividendYield-0.5*CP27^2)*TimeToExpiration)/(CP27*TimeToExpiration^0.5), 0, 1, TRUE)
)</f>
        <v>3.102863252</v>
      </c>
      <c r="CS27" s="40">
        <f t="shared" si="47"/>
        <v>0.3675464783</v>
      </c>
      <c r="CT27" s="8">
        <f>CT$2*(Underlying*EXP(-DividendYield*TimeToExpiration)*_xlfn.NORM.DIST(CT$2*(LN(Underlying/$H27)+(RiskFreeRate-DividendYield+0.5*CS27^2)*TimeToExpiration)/(CS27*TimeToExpiration^0.5), 0, 1, TRUE) - 
       $H27*EXP(-RiskFreeRate*TimeToExpiration)*_xlfn.NORM.DIST(CT$2*(LN(Underlying/$H27)+(RiskFreeRate-DividendYield-0.5*CS27^2)*TimeToExpiration)/(CS27*TimeToExpiration^0.5), 0, 1, TRUE)
)</f>
        <v>3.101363577</v>
      </c>
      <c r="CU27" s="40">
        <f t="shared" si="48"/>
        <v>0.3674549561</v>
      </c>
      <c r="CV27" s="40">
        <f t="shared" si="49"/>
        <v>0.3675464783</v>
      </c>
      <c r="CW27" s="7">
        <f>CW$2*(Underlying*EXP(-DividendYield*TimeToExpiration)*_xlfn.NORM.DIST(CW$2*(LN(Underlying/$H27)+(RiskFreeRate-DividendYield+0.5*CU27^2)*TimeToExpiration)/(CU27*TimeToExpiration^0.5), 0, 1, TRUE) - 
       $H27*EXP(-RiskFreeRate*TimeToExpiration)*_xlfn.NORM.DIST(CW$2*(LN(Underlying/$H27)+(RiskFreeRate-DividendYield-0.5*CU27^2)*TimeToExpiration)/(CU27*TimeToExpiration^0.5), 0, 1, TRUE)
)</f>
        <v>3.099864028</v>
      </c>
      <c r="CX27" s="7">
        <f>CX$2*(Underlying*EXP(-DividendYield*TimeToExpiration)*_xlfn.NORM.DIST(CX$2*(LN(Underlying/$H27)+(RiskFreeRate-DividendYield+0.5*CV27^2)*TimeToExpiration)/(CV27*TimeToExpiration^0.5), 0, 1, TRUE) - 
       $H27*EXP(-RiskFreeRate*TimeToExpiration)*_xlfn.NORM.DIST(CX$2*(LN(Underlying/$H27)+(RiskFreeRate-DividendYield-0.5*CV27^2)*TimeToExpiration)/(CV27*TimeToExpiration^0.5), 0, 1, TRUE)
)</f>
        <v>3.101363577</v>
      </c>
      <c r="CY27" s="40">
        <f t="shared" si="50"/>
        <v>0.3675007172</v>
      </c>
      <c r="CZ27" s="8">
        <f>CZ$2*(Underlying*EXP(-DividendYield*TimeToExpiration)*_xlfn.NORM.DIST(CZ$2*(LN(Underlying/$H27)+(RiskFreeRate-DividendYield+0.5*CY27^2)*TimeToExpiration)/(CY27*TimeToExpiration^0.5), 0, 1, TRUE) - 
       $H27*EXP(-RiskFreeRate*TimeToExpiration)*_xlfn.NORM.DIST(CZ$2*(LN(Underlying/$H27)+(RiskFreeRate-DividendYield-0.5*CY27^2)*TimeToExpiration)/(CY27*TimeToExpiration^0.5), 0, 1, TRUE)
)</f>
        <v>3.100613787</v>
      </c>
      <c r="DA27" s="40">
        <f t="shared" si="51"/>
        <v>0.3674549561</v>
      </c>
      <c r="DB27" s="40">
        <f t="shared" si="52"/>
        <v>0.3675007172</v>
      </c>
      <c r="DC27" s="7">
        <f>DC$2*(Underlying*EXP(-DividendYield*TimeToExpiration)*_xlfn.NORM.DIST(DC$2*(LN(Underlying/$H27)+(RiskFreeRate-DividendYield+0.5*DA27^2)*TimeToExpiration)/(DA27*TimeToExpiration^0.5), 0, 1, TRUE) - 
       $H27*EXP(-RiskFreeRate*TimeToExpiration)*_xlfn.NORM.DIST(DC$2*(LN(Underlying/$H27)+(RiskFreeRate-DividendYield-0.5*DA27^2)*TimeToExpiration)/(DA27*TimeToExpiration^0.5), 0, 1, TRUE)
)</f>
        <v>3.099864028</v>
      </c>
      <c r="DD27" s="7">
        <f>DD$2*(Underlying*EXP(-DividendYield*TimeToExpiration)*_xlfn.NORM.DIST(DD$2*(LN(Underlying/$H27)+(RiskFreeRate-DividendYield+0.5*DB27^2)*TimeToExpiration)/(DB27*TimeToExpiration^0.5), 0, 1, TRUE) - 
       $H27*EXP(-RiskFreeRate*TimeToExpiration)*_xlfn.NORM.DIST(DD$2*(LN(Underlying/$H27)+(RiskFreeRate-DividendYield-0.5*DB27^2)*TimeToExpiration)/(DB27*TimeToExpiration^0.5), 0, 1, TRUE)
)</f>
        <v>3.100613787</v>
      </c>
      <c r="DE27" s="40">
        <f t="shared" si="53"/>
        <v>0.3674778366</v>
      </c>
      <c r="DF27" s="8">
        <f>DF$2*(Underlying*EXP(-DividendYield*TimeToExpiration)*_xlfn.NORM.DIST(DF$2*(LN(Underlying/$H27)+(RiskFreeRate-DividendYield+0.5*DE27^2)*TimeToExpiration)/(DE27*TimeToExpiration^0.5), 0, 1, TRUE) - 
       $H27*EXP(-RiskFreeRate*TimeToExpiration)*_xlfn.NORM.DIST(DF$2*(LN(Underlying/$H27)+(RiskFreeRate-DividendYield-0.5*DE27^2)*TimeToExpiration)/(DE27*TimeToExpiration^0.5), 0, 1, TRUE)
)</f>
        <v>3.100238904</v>
      </c>
    </row>
    <row r="28">
      <c r="A28" s="20">
        <f>'Option Mkt Data'!A28</f>
        <v>352.5</v>
      </c>
      <c r="B28" s="35">
        <f t="shared" ref="B28:C28" si="75">DE28</f>
        <v>0.3699031754</v>
      </c>
      <c r="C28" s="7">
        <f t="shared" si="75"/>
        <v>2.514732403</v>
      </c>
      <c r="D28" s="7">
        <f t="shared" si="3"/>
        <v>0.0002674634548</v>
      </c>
      <c r="E28" s="9">
        <f t="shared" si="4"/>
        <v>0.0001063473038</v>
      </c>
      <c r="F28" s="36">
        <f>D28/'Option Mkt Data'!L28</f>
        <v>0.008915527842</v>
      </c>
      <c r="G28" s="5">
        <f>'Option Mkt Data'!J28</f>
        <v>2.514999867</v>
      </c>
      <c r="H28" s="33">
        <f>'Option Mkt Data'!A28</f>
        <v>352.5</v>
      </c>
      <c r="I28" s="37">
        <f>MinSolverVola</f>
        <v>0.001</v>
      </c>
      <c r="J28" s="38">
        <f>MaxSolverVola</f>
        <v>3</v>
      </c>
      <c r="K28" s="39">
        <f>K$2*(Underlying*EXP(-DividendYield*TimeToExpiration)*_xlfn.NORM.DIST(K$2*(LN(Underlying/$H28)+(RiskFreeRate-DividendYield+0.5*I28^2)*TimeToExpiration)/(I28*TimeToExpiration^0.5), 0, 1, TRUE) - 
       $H28*EXP(-RiskFreeRate*TimeToExpiration)*_xlfn.NORM.DIST(K$2*(LN(Underlying/$H28)+(RiskFreeRate-DividendYield-0.5*I28^2)*TimeToExpiration)/(I28*TimeToExpiration^0.5), 0, 1, TRUE)
)</f>
        <v>0</v>
      </c>
      <c r="L28" s="7">
        <f>L$2*(Underlying*EXP(-DividendYield*TimeToExpiration)*_xlfn.NORM.DIST(L$2*(LN(Underlying/$H28)+(RiskFreeRate-DividendYield+0.5*J28^2)*TimeToExpiration)/(J28*TimeToExpiration^0.5), 0, 1, TRUE) - 
       $H28*EXP(-RiskFreeRate*TimeToExpiration)*_xlfn.NORM.DIST(L$2*(LN(Underlying/$H28)+(RiskFreeRate-DividendYield-0.5*J28^2)*TimeToExpiration)/(J28*TimeToExpiration^0.5), 0, 1, TRUE)
)</f>
        <v>51.82833169</v>
      </c>
      <c r="M28" s="40">
        <f t="shared" si="5"/>
        <v>1.5005</v>
      </c>
      <c r="N28" s="8">
        <f>N$2*(Underlying*EXP(-DividendYield*TimeToExpiration)*_xlfn.NORM.DIST(N$2*(LN(Underlying/$H28)+(RiskFreeRate-DividendYield+0.5*M28^2)*TimeToExpiration)/(M28*TimeToExpiration^0.5), 0, 1, TRUE) - 
       $H28*EXP(-RiskFreeRate*TimeToExpiration)*_xlfn.NORM.DIST(N$2*(LN(Underlying/$H28)+(RiskFreeRate-DividendYield-0.5*M28^2)*TimeToExpiration)/(M28*TimeToExpiration^0.5), 0, 1, TRUE)
)</f>
        <v>23.19185448</v>
      </c>
      <c r="O28" s="41">
        <f t="shared" si="6"/>
        <v>0.001</v>
      </c>
      <c r="P28" s="40">
        <f t="shared" si="7"/>
        <v>1.5005</v>
      </c>
      <c r="Q28" s="7">
        <f>Q$2*(Underlying*EXP(-DividendYield*TimeToExpiration)*_xlfn.NORM.DIST(Q$2*(LN(Underlying/$H28)+(RiskFreeRate-DividendYield+0.5*O28^2)*TimeToExpiration)/(O28*TimeToExpiration^0.5), 0, 1, TRUE) - 
       $H28*EXP(-RiskFreeRate*TimeToExpiration)*_xlfn.NORM.DIST(Q$2*(LN(Underlying/$H28)+(RiskFreeRate-DividendYield-0.5*O28^2)*TimeToExpiration)/(O28*TimeToExpiration^0.5), 0, 1, TRUE))</f>
        <v>0</v>
      </c>
      <c r="R28" s="7">
        <f>R$2*(Underlying*EXP(-DividendYield*TimeToExpiration)*_xlfn.NORM.DIST(R$2*(LN(Underlying/$H28)+(RiskFreeRate-DividendYield+0.5*P28^2)*TimeToExpiration)/(P28*TimeToExpiration^0.5), 0, 1, TRUE) - 
       $H28*EXP(-RiskFreeRate*TimeToExpiration)*_xlfn.NORM.DIST(R$2*(LN(Underlying/$H28)+(RiskFreeRate-DividendYield-0.5*P28^2)*TimeToExpiration)/(P28*TimeToExpiration^0.5), 0, 1, TRUE)
)</f>
        <v>23.19185448</v>
      </c>
      <c r="S28" s="40">
        <f t="shared" si="8"/>
        <v>0.75075</v>
      </c>
      <c r="T28" s="8">
        <f>T$2*(Underlying*EXP(-DividendYield*TimeToExpiration)*_xlfn.NORM.DIST(T$2*(LN(Underlying/$H28)+(RiskFreeRate-DividendYield+0.5*S28^2)*TimeToExpiration)/(S28*TimeToExpiration^0.5), 0, 1, TRUE) - 
       $H28*EXP(-RiskFreeRate*TimeToExpiration)*_xlfn.NORM.DIST(T$2*(LN(Underlying/$H28)+(RiskFreeRate-DividendYield-0.5*S28^2)*TimeToExpiration)/(S28*TimeToExpiration^0.5), 0, 1, TRUE)
)</f>
        <v>9.064500623</v>
      </c>
      <c r="U28" s="41">
        <f t="shared" si="9"/>
        <v>0.001</v>
      </c>
      <c r="V28" s="40">
        <f t="shared" si="10"/>
        <v>0.75075</v>
      </c>
      <c r="W28" s="7">
        <f>W$2*(Underlying*EXP(-DividendYield*TimeToExpiration)*_xlfn.NORM.DIST(W$2*(LN(Underlying/$H28)+(RiskFreeRate-DividendYield+0.5*U28^2)*TimeToExpiration)/(U28*TimeToExpiration^0.5), 0, 1, TRUE) - 
       $H28*EXP(-RiskFreeRate*TimeToExpiration)*_xlfn.NORM.DIST(W$2*(LN(Underlying/$H28)+(RiskFreeRate-DividendYield-0.5*U28^2)*TimeToExpiration)/(U28*TimeToExpiration^0.5), 0, 1, TRUE)
)</f>
        <v>0</v>
      </c>
      <c r="X28" s="7">
        <f>X$2*(Underlying*EXP(-DividendYield*TimeToExpiration)*_xlfn.NORM.DIST(X$2*(LN(Underlying/$H28)+(RiskFreeRate-DividendYield+0.5*V28^2)*TimeToExpiration)/(V28*TimeToExpiration^0.5), 0, 1, TRUE) - 
       $H28*EXP(-RiskFreeRate*TimeToExpiration)*_xlfn.NORM.DIST(X$2*(LN(Underlying/$H28)+(RiskFreeRate-DividendYield-0.5*V28^2)*TimeToExpiration)/(V28*TimeToExpiration^0.5), 0, 1, TRUE)
)</f>
        <v>9.064500623</v>
      </c>
      <c r="Y28" s="40">
        <f t="shared" si="11"/>
        <v>0.375875</v>
      </c>
      <c r="Z28" s="8">
        <f>Z$2*(Underlying*EXP(-DividendYield*TimeToExpiration)*_xlfn.NORM.DIST(Z$2*(LN(Underlying/$H28)+(RiskFreeRate-DividendYield+0.5*Y28^2)*TimeToExpiration)/(Y28*TimeToExpiration^0.5), 0, 1, TRUE) - 
       $H28*EXP(-RiskFreeRate*TimeToExpiration)*_xlfn.NORM.DIST(Z$2*(LN(Underlying/$H28)+(RiskFreeRate-DividendYield-0.5*Y28^2)*TimeToExpiration)/(Y28*TimeToExpiration^0.5), 0, 1, TRUE)
)</f>
        <v>2.605208263</v>
      </c>
      <c r="AA28" s="41">
        <f t="shared" si="12"/>
        <v>0.001</v>
      </c>
      <c r="AB28" s="40">
        <f t="shared" si="13"/>
        <v>0.375875</v>
      </c>
      <c r="AC28" s="7">
        <f>AC$2*(Underlying*EXP(-DividendYield*TimeToExpiration)*_xlfn.NORM.DIST(AC$2*(LN(Underlying/$H28)+(RiskFreeRate-DividendYield+0.5*AA28^2)*TimeToExpiration)/(AA28*TimeToExpiration^0.5), 0, 1, TRUE) - 
       $H28*EXP(-RiskFreeRate*TimeToExpiration)*_xlfn.NORM.DIST(AC$2*(LN(Underlying/$H28)+(RiskFreeRate-DividendYield-0.5*AA28^2)*TimeToExpiration)/(AA28*TimeToExpiration^0.5), 0, 1, TRUE)
)</f>
        <v>0</v>
      </c>
      <c r="AD28" s="7">
        <f>AD$2*(Underlying*EXP(-DividendYield*TimeToExpiration)*_xlfn.NORM.DIST(AD$2*(LN(Underlying/$H28)+(RiskFreeRate-DividendYield+0.5*AB28^2)*TimeToExpiration)/(AB28*TimeToExpiration^0.5), 0, 1, TRUE) - 
       $H28*EXP(-RiskFreeRate*TimeToExpiration)*_xlfn.NORM.DIST(AD$2*(LN(Underlying/$H28)+(RiskFreeRate-DividendYield-0.5*AB28^2)*TimeToExpiration)/(AB28*TimeToExpiration^0.5), 0, 1, TRUE)
)</f>
        <v>2.605208263</v>
      </c>
      <c r="AE28" s="40">
        <f t="shared" si="14"/>
        <v>0.1884375</v>
      </c>
      <c r="AF28" s="8">
        <f>AF$2*(Underlying*EXP(-DividendYield*TimeToExpiration)*_xlfn.NORM.DIST(AF$2*(LN(Underlying/$H28)+(RiskFreeRate-DividendYield+0.5*AE28^2)*TimeToExpiration)/(AE28*TimeToExpiration^0.5), 0, 1, TRUE) - 
       $H28*EXP(-RiskFreeRate*TimeToExpiration)*_xlfn.NORM.DIST(AF$2*(LN(Underlying/$H28)+(RiskFreeRate-DividendYield-0.5*AE28^2)*TimeToExpiration)/(AE28*TimeToExpiration^0.5), 0, 1, TRUE)
)</f>
        <v>0.3340073917</v>
      </c>
      <c r="AG28" s="40">
        <f t="shared" si="15"/>
        <v>0.1884375</v>
      </c>
      <c r="AH28" s="40">
        <f t="shared" si="16"/>
        <v>0.375875</v>
      </c>
      <c r="AI28" s="7">
        <f>AI$2*(Underlying*EXP(-DividendYield*TimeToExpiration)*_xlfn.NORM.DIST(AI$2*(LN(Underlying/$H28)+(RiskFreeRate-DividendYield+0.5*AG28^2)*TimeToExpiration)/(AG28*TimeToExpiration^0.5), 0, 1, TRUE) - 
       $H28*EXP(-RiskFreeRate*TimeToExpiration)*_xlfn.NORM.DIST(AI$2*(LN(Underlying/$H28)+(RiskFreeRate-DividendYield-0.5*AG28^2)*TimeToExpiration)/(AG28*TimeToExpiration^0.5), 0, 1, TRUE)
)</f>
        <v>0.3340073917</v>
      </c>
      <c r="AJ28" s="7">
        <f>AJ$2*(Underlying*EXP(-DividendYield*TimeToExpiration)*_xlfn.NORM.DIST(AJ$2*(LN(Underlying/$H28)+(RiskFreeRate-DividendYield+0.5*AH28^2)*TimeToExpiration)/(AH28*TimeToExpiration^0.5), 0, 1, TRUE) - 
       $H28*EXP(-RiskFreeRate*TimeToExpiration)*_xlfn.NORM.DIST(AJ$2*(LN(Underlying/$H28)+(RiskFreeRate-DividendYield-0.5*AH28^2)*TimeToExpiration)/(AH28*TimeToExpiration^0.5), 0, 1, TRUE)
)</f>
        <v>2.605208263</v>
      </c>
      <c r="AK28" s="40">
        <f t="shared" si="17"/>
        <v>0.28215625</v>
      </c>
      <c r="AL28" s="8">
        <f>AL$2*(Underlying*EXP(-DividendYield*TimeToExpiration)*_xlfn.NORM.DIST(AL$2*(LN(Underlying/$H28)+(RiskFreeRate-DividendYield+0.5*AK28^2)*TimeToExpiration)/(AK28*TimeToExpiration^0.5), 0, 1, TRUE) - 
       $H28*EXP(-RiskFreeRate*TimeToExpiration)*_xlfn.NORM.DIST(AL$2*(LN(Underlying/$H28)+(RiskFreeRate-DividendYield-0.5*AK28^2)*TimeToExpiration)/(AK28*TimeToExpiration^0.5), 0, 1, TRUE)
)</f>
        <v>1.290325435</v>
      </c>
      <c r="AM28" s="40">
        <f t="shared" si="18"/>
        <v>0.28215625</v>
      </c>
      <c r="AN28" s="40">
        <f t="shared" si="19"/>
        <v>0.375875</v>
      </c>
      <c r="AO28" s="7">
        <f>AO$2*(Underlying*EXP(-DividendYield*TimeToExpiration)*_xlfn.NORM.DIST(AO$2*(LN(Underlying/$H28)+(RiskFreeRate-DividendYield+0.5*AM28^2)*TimeToExpiration)/(AM28*TimeToExpiration^0.5), 0, 1, TRUE) - 
       $H28*EXP(-RiskFreeRate*TimeToExpiration)*_xlfn.NORM.DIST(AO$2*(LN(Underlying/$H28)+(RiskFreeRate-DividendYield-0.5*AM28^2)*TimeToExpiration)/(AM28*TimeToExpiration^0.5), 0, 1, TRUE)
)</f>
        <v>1.290325435</v>
      </c>
      <c r="AP28" s="7">
        <f>AP$2*(Underlying*EXP(-DividendYield*TimeToExpiration)*_xlfn.NORM.DIST(AP$2*(LN(Underlying/$H28)+(RiskFreeRate-DividendYield+0.5*AN28^2)*TimeToExpiration)/(AN28*TimeToExpiration^0.5), 0, 1, TRUE) - 
       $H28*EXP(-RiskFreeRate*TimeToExpiration)*_xlfn.NORM.DIST(AP$2*(LN(Underlying/$H28)+(RiskFreeRate-DividendYield-0.5*AN28^2)*TimeToExpiration)/(AN28*TimeToExpiration^0.5), 0, 1, TRUE)
)</f>
        <v>2.605208263</v>
      </c>
      <c r="AQ28" s="40">
        <f t="shared" si="20"/>
        <v>0.329015625</v>
      </c>
      <c r="AR28" s="8">
        <f>AR$2*(Underlying*EXP(-DividendYield*TimeToExpiration)*_xlfn.NORM.DIST(AR$2*(LN(Underlying/$H28)+(RiskFreeRate-DividendYield+0.5*AQ28^2)*TimeToExpiration)/(AQ28*TimeToExpiration^0.5), 0, 1, TRUE) - 
       $H28*EXP(-RiskFreeRate*TimeToExpiration)*_xlfn.NORM.DIST(AR$2*(LN(Underlying/$H28)+(RiskFreeRate-DividendYield-0.5*AQ28^2)*TimeToExpiration)/(AQ28*TimeToExpiration^0.5), 0, 1, TRUE)
)</f>
        <v>1.91697667</v>
      </c>
      <c r="AS28" s="40">
        <f t="shared" si="21"/>
        <v>0.329015625</v>
      </c>
      <c r="AT28" s="40">
        <f t="shared" si="22"/>
        <v>0.375875</v>
      </c>
      <c r="AU28" s="7">
        <f>AU$2*(Underlying*EXP(-DividendYield*TimeToExpiration)*_xlfn.NORM.DIST(AU$2*(LN(Underlying/$H28)+(RiskFreeRate-DividendYield+0.5*AS28^2)*TimeToExpiration)/(AS28*TimeToExpiration^0.5), 0, 1, TRUE) - 
       $H28*EXP(-RiskFreeRate*TimeToExpiration)*_xlfn.NORM.DIST(AU$2*(LN(Underlying/$H28)+(RiskFreeRate-DividendYield-0.5*AS28^2)*TimeToExpiration)/(AS28*TimeToExpiration^0.5), 0, 1, TRUE)
)</f>
        <v>1.91697667</v>
      </c>
      <c r="AV28" s="7">
        <f>AV$2*(Underlying*EXP(-DividendYield*TimeToExpiration)*_xlfn.NORM.DIST(AV$2*(LN(Underlying/$H28)+(RiskFreeRate-DividendYield+0.5*AT28^2)*TimeToExpiration)/(AT28*TimeToExpiration^0.5), 0, 1, TRUE) - 
       $H28*EXP(-RiskFreeRate*TimeToExpiration)*_xlfn.NORM.DIST(AV$2*(LN(Underlying/$H28)+(RiskFreeRate-DividendYield-0.5*AT28^2)*TimeToExpiration)/(AT28*TimeToExpiration^0.5), 0, 1, TRUE)
)</f>
        <v>2.605208263</v>
      </c>
      <c r="AW28" s="40">
        <f t="shared" si="23"/>
        <v>0.3524453125</v>
      </c>
      <c r="AX28" s="8">
        <f>AX$2*(Underlying*EXP(-DividendYield*TimeToExpiration)*_xlfn.NORM.DIST(AX$2*(LN(Underlying/$H28)+(RiskFreeRate-DividendYield+0.5*AW28^2)*TimeToExpiration)/(AW28*TimeToExpiration^0.5), 0, 1, TRUE) - 
       $H28*EXP(-RiskFreeRate*TimeToExpiration)*_xlfn.NORM.DIST(AX$2*(LN(Underlying/$H28)+(RiskFreeRate-DividendYield-0.5*AW28^2)*TimeToExpiration)/(AW28*TimeToExpiration^0.5), 0, 1, TRUE)
)</f>
        <v>2.254621109</v>
      </c>
      <c r="AY28" s="40">
        <f t="shared" si="24"/>
        <v>0.3524453125</v>
      </c>
      <c r="AZ28" s="40">
        <f t="shared" si="25"/>
        <v>0.375875</v>
      </c>
      <c r="BA28" s="7">
        <f>BA$2*(Underlying*EXP(-DividendYield*TimeToExpiration)*_xlfn.NORM.DIST(BA$2*(LN(Underlying/$H28)+(RiskFreeRate-DividendYield+0.5*AY28^2)*TimeToExpiration)/(AY28*TimeToExpiration^0.5), 0, 1, TRUE) - 
       $H28*EXP(-RiskFreeRate*TimeToExpiration)*_xlfn.NORM.DIST(BA$2*(LN(Underlying/$H28)+(RiskFreeRate-DividendYield-0.5*AY28^2)*TimeToExpiration)/(AY28*TimeToExpiration^0.5), 0, 1, TRUE)
)</f>
        <v>2.254621109</v>
      </c>
      <c r="BB28" s="7">
        <f>BB$2*(Underlying*EXP(-DividendYield*TimeToExpiration)*_xlfn.NORM.DIST(BB$2*(LN(Underlying/$H28)+(RiskFreeRate-DividendYield+0.5*AZ28^2)*TimeToExpiration)/(AZ28*TimeToExpiration^0.5), 0, 1, TRUE) - 
       $H28*EXP(-RiskFreeRate*TimeToExpiration)*_xlfn.NORM.DIST(BB$2*(LN(Underlying/$H28)+(RiskFreeRate-DividendYield-0.5*AZ28^2)*TimeToExpiration)/(AZ28*TimeToExpiration^0.5), 0, 1, TRUE)
)</f>
        <v>2.605208263</v>
      </c>
      <c r="BC28" s="40">
        <f t="shared" si="26"/>
        <v>0.3641601563</v>
      </c>
      <c r="BD28" s="8">
        <f>BD$2*(Underlying*EXP(-DividendYield*TimeToExpiration)*_xlfn.NORM.DIST(BD$2*(LN(Underlying/$H28)+(RiskFreeRate-DividendYield+0.5*BC28^2)*TimeToExpiration)/(BC28*TimeToExpiration^0.5), 0, 1, TRUE) - 
       $H28*EXP(-RiskFreeRate*TimeToExpiration)*_xlfn.NORM.DIST(BD$2*(LN(Underlying/$H28)+(RiskFreeRate-DividendYield-0.5*BC28^2)*TimeToExpiration)/(BC28*TimeToExpiration^0.5), 0, 1, TRUE)
)</f>
        <v>2.428424854</v>
      </c>
      <c r="BE28" s="40">
        <f t="shared" si="27"/>
        <v>0.3641601563</v>
      </c>
      <c r="BF28" s="40">
        <f t="shared" si="28"/>
        <v>0.375875</v>
      </c>
      <c r="BG28" s="7">
        <f>BG$2*(Underlying*EXP(-DividendYield*TimeToExpiration)*_xlfn.NORM.DIST(BG$2*(LN(Underlying/$H28)+(RiskFreeRate-DividendYield+0.5*BE28^2)*TimeToExpiration)/(BE28*TimeToExpiration^0.5), 0, 1, TRUE) - 
       $H28*EXP(-RiskFreeRate*TimeToExpiration)*_xlfn.NORM.DIST(BG$2*(LN(Underlying/$H28)+(RiskFreeRate-DividendYield-0.5*BE28^2)*TimeToExpiration)/(BE28*TimeToExpiration^0.5), 0, 1, TRUE)
)</f>
        <v>2.428424854</v>
      </c>
      <c r="BH28" s="7">
        <f>BH$2*(Underlying*EXP(-DividendYield*TimeToExpiration)*_xlfn.NORM.DIST(BH$2*(LN(Underlying/$H28)+(RiskFreeRate-DividendYield+0.5*BF28^2)*TimeToExpiration)/(BF28*TimeToExpiration^0.5), 0, 1, TRUE) - 
       $H28*EXP(-RiskFreeRate*TimeToExpiration)*_xlfn.NORM.DIST(BH$2*(LN(Underlying/$H28)+(RiskFreeRate-DividendYield-0.5*BF28^2)*TimeToExpiration)/(BF28*TimeToExpiration^0.5), 0, 1, TRUE)
)</f>
        <v>2.605208263</v>
      </c>
      <c r="BI28" s="40">
        <f t="shared" si="29"/>
        <v>0.3700175781</v>
      </c>
      <c r="BJ28" s="8">
        <f>BJ$2*(Underlying*EXP(-DividendYield*TimeToExpiration)*_xlfn.NORM.DIST(BJ$2*(LN(Underlying/$H28)+(RiskFreeRate-DividendYield+0.5*BI28^2)*TimeToExpiration)/(BI28*TimeToExpiration^0.5), 0, 1, TRUE) - 
       $H28*EXP(-RiskFreeRate*TimeToExpiration)*_xlfn.NORM.DIST(BJ$2*(LN(Underlying/$H28)+(RiskFreeRate-DividendYield-0.5*BI28^2)*TimeToExpiration)/(BI28*TimeToExpiration^0.5), 0, 1, TRUE)
)</f>
        <v>2.516458759</v>
      </c>
      <c r="BK28" s="40">
        <f t="shared" si="30"/>
        <v>0.3641601563</v>
      </c>
      <c r="BL28" s="40">
        <f t="shared" si="31"/>
        <v>0.3700175781</v>
      </c>
      <c r="BM28" s="7">
        <f>BM$2*(Underlying*EXP(-DividendYield*TimeToExpiration)*_xlfn.NORM.DIST(BM$2*(LN(Underlying/$H28)+(RiskFreeRate-DividendYield+0.5*BK28^2)*TimeToExpiration)/(BK28*TimeToExpiration^0.5), 0, 1, TRUE) - 
       $H28*EXP(-RiskFreeRate*TimeToExpiration)*_xlfn.NORM.DIST(BM$2*(LN(Underlying/$H28)+(RiskFreeRate-DividendYield-0.5*BK28^2)*TimeToExpiration)/(BK28*TimeToExpiration^0.5), 0, 1, TRUE)
)</f>
        <v>2.428424854</v>
      </c>
      <c r="BN28" s="7">
        <f>BN$2*(Underlying*EXP(-DividendYield*TimeToExpiration)*_xlfn.NORM.DIST(BN$2*(LN(Underlying/$H28)+(RiskFreeRate-DividendYield+0.5*BL28^2)*TimeToExpiration)/(BL28*TimeToExpiration^0.5), 0, 1, TRUE) - 
       $H28*EXP(-RiskFreeRate*TimeToExpiration)*_xlfn.NORM.DIST(BN$2*(LN(Underlying/$H28)+(RiskFreeRate-DividendYield-0.5*BL28^2)*TimeToExpiration)/(BL28*TimeToExpiration^0.5), 0, 1, TRUE)
)</f>
        <v>2.516458759</v>
      </c>
      <c r="BO28" s="40">
        <f t="shared" si="32"/>
        <v>0.3670888672</v>
      </c>
      <c r="BP28" s="8">
        <f>BP$2*(Underlying*EXP(-DividendYield*TimeToExpiration)*_xlfn.NORM.DIST(BP$2*(LN(Underlying/$H28)+(RiskFreeRate-DividendYield+0.5*BO28^2)*TimeToExpiration)/(BO28*TimeToExpiration^0.5), 0, 1, TRUE) - 
       $H28*EXP(-RiskFreeRate*TimeToExpiration)*_xlfn.NORM.DIST(BP$2*(LN(Underlying/$H28)+(RiskFreeRate-DividendYield-0.5*BO28^2)*TimeToExpiration)/(BO28*TimeToExpiration^0.5), 0, 1, TRUE)
)</f>
        <v>2.47235058</v>
      </c>
      <c r="BQ28" s="40">
        <f t="shared" si="33"/>
        <v>0.3670888672</v>
      </c>
      <c r="BR28" s="40">
        <f t="shared" si="34"/>
        <v>0.3700175781</v>
      </c>
      <c r="BS28" s="7">
        <f>BS$2*(Underlying*EXP(-DividendYield*TimeToExpiration)*_xlfn.NORM.DIST(BS$2*(LN(Underlying/$H28)+(RiskFreeRate-DividendYield+0.5*BQ28^2)*TimeToExpiration)/(BQ28*TimeToExpiration^0.5), 0, 1, TRUE) - 
       $H28*EXP(-RiskFreeRate*TimeToExpiration)*_xlfn.NORM.DIST(BS$2*(LN(Underlying/$H28)+(RiskFreeRate-DividendYield-0.5*BQ28^2)*TimeToExpiration)/(BQ28*TimeToExpiration^0.5), 0, 1, TRUE)
)</f>
        <v>2.47235058</v>
      </c>
      <c r="BT28" s="7">
        <f>BT$2*(Underlying*EXP(-DividendYield*TimeToExpiration)*_xlfn.NORM.DIST(BT$2*(LN(Underlying/$H28)+(RiskFreeRate-DividendYield+0.5*BR28^2)*TimeToExpiration)/(BR28*TimeToExpiration^0.5), 0, 1, TRUE) - 
       $H28*EXP(-RiskFreeRate*TimeToExpiration)*_xlfn.NORM.DIST(BT$2*(LN(Underlying/$H28)+(RiskFreeRate-DividendYield-0.5*BR28^2)*TimeToExpiration)/(BR28*TimeToExpiration^0.5), 0, 1, TRUE)
)</f>
        <v>2.516458759</v>
      </c>
      <c r="BU28" s="40">
        <f t="shared" si="35"/>
        <v>0.3685532227</v>
      </c>
      <c r="BV28" s="8">
        <f>BV$2*(Underlying*EXP(-DividendYield*TimeToExpiration)*_xlfn.NORM.DIST(BV$2*(LN(Underlying/$H28)+(RiskFreeRate-DividendYield+0.5*BU28^2)*TimeToExpiration)/(BU28*TimeToExpiration^0.5), 0, 1, TRUE) - 
       $H28*EXP(-RiskFreeRate*TimeToExpiration)*_xlfn.NORM.DIST(BV$2*(LN(Underlying/$H28)+(RiskFreeRate-DividendYield-0.5*BU28^2)*TimeToExpiration)/(BU28*TimeToExpiration^0.5), 0, 1, TRUE)
)</f>
        <v>2.494382088</v>
      </c>
      <c r="BW28" s="40">
        <f t="shared" si="36"/>
        <v>0.3685532227</v>
      </c>
      <c r="BX28" s="40">
        <f t="shared" si="37"/>
        <v>0.3700175781</v>
      </c>
      <c r="BY28" s="7">
        <f>BY$2*(Underlying*EXP(-DividendYield*TimeToExpiration)*_xlfn.NORM.DIST(BY$2*(LN(Underlying/$H28)+(RiskFreeRate-DividendYield+0.5*BW28^2)*TimeToExpiration)/(BW28*TimeToExpiration^0.5), 0, 1, TRUE) - 
       $H28*EXP(-RiskFreeRate*TimeToExpiration)*_xlfn.NORM.DIST(BY$2*(LN(Underlying/$H28)+(RiskFreeRate-DividendYield-0.5*BW28^2)*TimeToExpiration)/(BW28*TimeToExpiration^0.5), 0, 1, TRUE)
)</f>
        <v>2.494382088</v>
      </c>
      <c r="BZ28" s="7">
        <f>BZ$2*(Underlying*EXP(-DividendYield*TimeToExpiration)*_xlfn.NORM.DIST(BZ$2*(LN(Underlying/$H28)+(RiskFreeRate-DividendYield+0.5*BX28^2)*TimeToExpiration)/(BX28*TimeToExpiration^0.5), 0, 1, TRUE) - 
       $H28*EXP(-RiskFreeRate*TimeToExpiration)*_xlfn.NORM.DIST(BZ$2*(LN(Underlying/$H28)+(RiskFreeRate-DividendYield-0.5*BX28^2)*TimeToExpiration)/(BX28*TimeToExpiration^0.5), 0, 1, TRUE)
)</f>
        <v>2.516458759</v>
      </c>
      <c r="CA28" s="40">
        <f t="shared" si="38"/>
        <v>0.3692854004</v>
      </c>
      <c r="CB28" s="8">
        <f>CB$2*(Underlying*EXP(-DividendYield*TimeToExpiration)*_xlfn.NORM.DIST(CB$2*(LN(Underlying/$H28)+(RiskFreeRate-DividendYield+0.5*CA28^2)*TimeToExpiration)/(CA28*TimeToExpiration^0.5), 0, 1, TRUE) - 
       $H28*EXP(-RiskFreeRate*TimeToExpiration)*_xlfn.NORM.DIST(CB$2*(LN(Underlying/$H28)+(RiskFreeRate-DividendYield-0.5*CA28^2)*TimeToExpiration)/(CA28*TimeToExpiration^0.5), 0, 1, TRUE)
)</f>
        <v>2.505414806</v>
      </c>
      <c r="CC28" s="40">
        <f t="shared" si="39"/>
        <v>0.3692854004</v>
      </c>
      <c r="CD28" s="40">
        <f t="shared" si="40"/>
        <v>0.3700175781</v>
      </c>
      <c r="CE28" s="7">
        <f>CE$2*(Underlying*EXP(-DividendYield*TimeToExpiration)*_xlfn.NORM.DIST(CE$2*(LN(Underlying/$H28)+(RiskFreeRate-DividendYield+0.5*CC28^2)*TimeToExpiration)/(CC28*TimeToExpiration^0.5), 0, 1, TRUE) - 
       $H28*EXP(-RiskFreeRate*TimeToExpiration)*_xlfn.NORM.DIST(CE$2*(LN(Underlying/$H28)+(RiskFreeRate-DividendYield-0.5*CC28^2)*TimeToExpiration)/(CC28*TimeToExpiration^0.5), 0, 1, TRUE)
)</f>
        <v>2.505414806</v>
      </c>
      <c r="CF28" s="7">
        <f>CF$2*(Underlying*EXP(-DividendYield*TimeToExpiration)*_xlfn.NORM.DIST(CF$2*(LN(Underlying/$H28)+(RiskFreeRate-DividendYield+0.5*CD28^2)*TimeToExpiration)/(CD28*TimeToExpiration^0.5), 0, 1, TRUE) - 
       $H28*EXP(-RiskFreeRate*TimeToExpiration)*_xlfn.NORM.DIST(CF$2*(LN(Underlying/$H28)+(RiskFreeRate-DividendYield-0.5*CD28^2)*TimeToExpiration)/(CD28*TimeToExpiration^0.5), 0, 1, TRUE)
)</f>
        <v>2.516458759</v>
      </c>
      <c r="CG28" s="40">
        <f t="shared" si="41"/>
        <v>0.3696514893</v>
      </c>
      <c r="CH28" s="8">
        <f>CH$2*(Underlying*EXP(-DividendYield*TimeToExpiration)*_xlfn.NORM.DIST(CH$2*(LN(Underlying/$H28)+(RiskFreeRate-DividendYield+0.5*CG28^2)*TimeToExpiration)/(CG28*TimeToExpiration^0.5), 0, 1, TRUE) - 
       $H28*EXP(-RiskFreeRate*TimeToExpiration)*_xlfn.NORM.DIST(CH$2*(LN(Underlying/$H28)+(RiskFreeRate-DividendYield-0.5*CG28^2)*TimeToExpiration)/(CG28*TimeToExpiration^0.5), 0, 1, TRUE)
)</f>
        <v>2.510935382</v>
      </c>
      <c r="CI28" s="40">
        <f t="shared" si="42"/>
        <v>0.3696514893</v>
      </c>
      <c r="CJ28" s="40">
        <f t="shared" si="43"/>
        <v>0.3700175781</v>
      </c>
      <c r="CK28" s="7">
        <f>CK$2*(Underlying*EXP(-DividendYield*TimeToExpiration)*_xlfn.NORM.DIST(CK$2*(LN(Underlying/$H28)+(RiskFreeRate-DividendYield+0.5*CI28^2)*TimeToExpiration)/(CI28*TimeToExpiration^0.5), 0, 1, TRUE) - 
       $H28*EXP(-RiskFreeRate*TimeToExpiration)*_xlfn.NORM.DIST(CK$2*(LN(Underlying/$H28)+(RiskFreeRate-DividendYield-0.5*CI28^2)*TimeToExpiration)/(CI28*TimeToExpiration^0.5), 0, 1, TRUE)
)</f>
        <v>2.510935382</v>
      </c>
      <c r="CL28" s="7">
        <f>CL$2*(Underlying*EXP(-DividendYield*TimeToExpiration)*_xlfn.NORM.DIST(CL$2*(LN(Underlying/$H28)+(RiskFreeRate-DividendYield+0.5*CJ28^2)*TimeToExpiration)/(CJ28*TimeToExpiration^0.5), 0, 1, TRUE) - 
       $H28*EXP(-RiskFreeRate*TimeToExpiration)*_xlfn.NORM.DIST(CL$2*(LN(Underlying/$H28)+(RiskFreeRate-DividendYield-0.5*CJ28^2)*TimeToExpiration)/(CJ28*TimeToExpiration^0.5), 0, 1, TRUE)
)</f>
        <v>2.516458759</v>
      </c>
      <c r="CM28" s="40">
        <f t="shared" si="44"/>
        <v>0.3698345337</v>
      </c>
      <c r="CN28" s="8">
        <f>CN$2*(Underlying*EXP(-DividendYield*TimeToExpiration)*_xlfn.NORM.DIST(CN$2*(LN(Underlying/$H28)+(RiskFreeRate-DividendYield+0.5*CM28^2)*TimeToExpiration)/(CM28*TimeToExpiration^0.5), 0, 1, TRUE) - 
       $H28*EXP(-RiskFreeRate*TimeToExpiration)*_xlfn.NORM.DIST(CN$2*(LN(Underlying/$H28)+(RiskFreeRate-DividendYield-0.5*CM28^2)*TimeToExpiration)/(CM28*TimeToExpiration^0.5), 0, 1, TRUE)
)</f>
        <v>2.513696721</v>
      </c>
      <c r="CO28" s="40">
        <f t="shared" si="45"/>
        <v>0.3698345337</v>
      </c>
      <c r="CP28" s="40">
        <f t="shared" si="46"/>
        <v>0.3700175781</v>
      </c>
      <c r="CQ28" s="7">
        <f>CQ$2*(Underlying*EXP(-DividendYield*TimeToExpiration)*_xlfn.NORM.DIST(CQ$2*(LN(Underlying/$H28)+(RiskFreeRate-DividendYield+0.5*CO28^2)*TimeToExpiration)/(CO28*TimeToExpiration^0.5), 0, 1, TRUE) - 
       $H28*EXP(-RiskFreeRate*TimeToExpiration)*_xlfn.NORM.DIST(CQ$2*(LN(Underlying/$H28)+(RiskFreeRate-DividendYield-0.5*CO28^2)*TimeToExpiration)/(CO28*TimeToExpiration^0.5), 0, 1, TRUE)
)</f>
        <v>2.513696721</v>
      </c>
      <c r="CR28" s="7">
        <f>CR$2*(Underlying*EXP(-DividendYield*TimeToExpiration)*_xlfn.NORM.DIST(CR$2*(LN(Underlying/$H28)+(RiskFreeRate-DividendYield+0.5*CP28^2)*TimeToExpiration)/(CP28*TimeToExpiration^0.5), 0, 1, TRUE) - 
       $H28*EXP(-RiskFreeRate*TimeToExpiration)*_xlfn.NORM.DIST(CR$2*(LN(Underlying/$H28)+(RiskFreeRate-DividendYield-0.5*CP28^2)*TimeToExpiration)/(CP28*TimeToExpiration^0.5), 0, 1, TRUE)
)</f>
        <v>2.516458759</v>
      </c>
      <c r="CS28" s="40">
        <f t="shared" si="47"/>
        <v>0.3699260559</v>
      </c>
      <c r="CT28" s="8">
        <f>CT$2*(Underlying*EXP(-DividendYield*TimeToExpiration)*_xlfn.NORM.DIST(CT$2*(LN(Underlying/$H28)+(RiskFreeRate-DividendYield+0.5*CS28^2)*TimeToExpiration)/(CS28*TimeToExpiration^0.5), 0, 1, TRUE) - 
       $H28*EXP(-RiskFreeRate*TimeToExpiration)*_xlfn.NORM.DIST(CT$2*(LN(Underlying/$H28)+(RiskFreeRate-DividendYield-0.5*CS28^2)*TimeToExpiration)/(CS28*TimeToExpiration^0.5), 0, 1, TRUE)
)</f>
        <v>2.515077652</v>
      </c>
      <c r="CU28" s="40">
        <f t="shared" si="48"/>
        <v>0.3698345337</v>
      </c>
      <c r="CV28" s="40">
        <f t="shared" si="49"/>
        <v>0.3699260559</v>
      </c>
      <c r="CW28" s="7">
        <f>CW$2*(Underlying*EXP(-DividendYield*TimeToExpiration)*_xlfn.NORM.DIST(CW$2*(LN(Underlying/$H28)+(RiskFreeRate-DividendYield+0.5*CU28^2)*TimeToExpiration)/(CU28*TimeToExpiration^0.5), 0, 1, TRUE) - 
       $H28*EXP(-RiskFreeRate*TimeToExpiration)*_xlfn.NORM.DIST(CW$2*(LN(Underlying/$H28)+(RiskFreeRate-DividendYield-0.5*CU28^2)*TimeToExpiration)/(CU28*TimeToExpiration^0.5), 0, 1, TRUE)
)</f>
        <v>2.513696721</v>
      </c>
      <c r="CX28" s="7">
        <f>CX$2*(Underlying*EXP(-DividendYield*TimeToExpiration)*_xlfn.NORM.DIST(CX$2*(LN(Underlying/$H28)+(RiskFreeRate-DividendYield+0.5*CV28^2)*TimeToExpiration)/(CV28*TimeToExpiration^0.5), 0, 1, TRUE) - 
       $H28*EXP(-RiskFreeRate*TimeToExpiration)*_xlfn.NORM.DIST(CX$2*(LN(Underlying/$H28)+(RiskFreeRate-DividendYield-0.5*CV28^2)*TimeToExpiration)/(CV28*TimeToExpiration^0.5), 0, 1, TRUE)
)</f>
        <v>2.515077652</v>
      </c>
      <c r="CY28" s="40">
        <f t="shared" si="50"/>
        <v>0.3698802948</v>
      </c>
      <c r="CZ28" s="8">
        <f>CZ$2*(Underlying*EXP(-DividendYield*TimeToExpiration)*_xlfn.NORM.DIST(CZ$2*(LN(Underlying/$H28)+(RiskFreeRate-DividendYield+0.5*CY28^2)*TimeToExpiration)/(CY28*TimeToExpiration^0.5), 0, 1, TRUE) - 
       $H28*EXP(-RiskFreeRate*TimeToExpiration)*_xlfn.NORM.DIST(CZ$2*(LN(Underlying/$H28)+(RiskFreeRate-DividendYield-0.5*CY28^2)*TimeToExpiration)/(CY28*TimeToExpiration^0.5), 0, 1, TRUE)
)</f>
        <v>2.514387165</v>
      </c>
      <c r="DA28" s="40">
        <f t="shared" si="51"/>
        <v>0.3698802948</v>
      </c>
      <c r="DB28" s="40">
        <f t="shared" si="52"/>
        <v>0.3699260559</v>
      </c>
      <c r="DC28" s="7">
        <f>DC$2*(Underlying*EXP(-DividendYield*TimeToExpiration)*_xlfn.NORM.DIST(DC$2*(LN(Underlying/$H28)+(RiskFreeRate-DividendYield+0.5*DA28^2)*TimeToExpiration)/(DA28*TimeToExpiration^0.5), 0, 1, TRUE) - 
       $H28*EXP(-RiskFreeRate*TimeToExpiration)*_xlfn.NORM.DIST(DC$2*(LN(Underlying/$H28)+(RiskFreeRate-DividendYield-0.5*DA28^2)*TimeToExpiration)/(DA28*TimeToExpiration^0.5), 0, 1, TRUE)
)</f>
        <v>2.514387165</v>
      </c>
      <c r="DD28" s="7">
        <f>DD$2*(Underlying*EXP(-DividendYield*TimeToExpiration)*_xlfn.NORM.DIST(DD$2*(LN(Underlying/$H28)+(RiskFreeRate-DividendYield+0.5*DB28^2)*TimeToExpiration)/(DB28*TimeToExpiration^0.5), 0, 1, TRUE) - 
       $H28*EXP(-RiskFreeRate*TimeToExpiration)*_xlfn.NORM.DIST(DD$2*(LN(Underlying/$H28)+(RiskFreeRate-DividendYield-0.5*DB28^2)*TimeToExpiration)/(DB28*TimeToExpiration^0.5), 0, 1, TRUE)
)</f>
        <v>2.515077652</v>
      </c>
      <c r="DE28" s="40">
        <f t="shared" si="53"/>
        <v>0.3699031754</v>
      </c>
      <c r="DF28" s="8">
        <f>DF$2*(Underlying*EXP(-DividendYield*TimeToExpiration)*_xlfn.NORM.DIST(DF$2*(LN(Underlying/$H28)+(RiskFreeRate-DividendYield+0.5*DE28^2)*TimeToExpiration)/(DE28*TimeToExpiration^0.5), 0, 1, TRUE) - 
       $H28*EXP(-RiskFreeRate*TimeToExpiration)*_xlfn.NORM.DIST(DF$2*(LN(Underlying/$H28)+(RiskFreeRate-DividendYield-0.5*DE28^2)*TimeToExpiration)/(DE28*TimeToExpiration^0.5), 0, 1, TRUE)
)</f>
        <v>2.514732403</v>
      </c>
    </row>
    <row r="29">
      <c r="A29" s="20">
        <f>'Option Mkt Data'!A29</f>
        <v>355</v>
      </c>
      <c r="B29" s="35">
        <f t="shared" ref="B29:C29" si="76">DE29</f>
        <v>0.3734267807</v>
      </c>
      <c r="C29" s="7">
        <f t="shared" si="76"/>
        <v>2.040154232</v>
      </c>
      <c r="D29" s="7">
        <f t="shared" si="3"/>
        <v>0.0001547474573</v>
      </c>
      <c r="E29" s="9">
        <f t="shared" si="4"/>
        <v>0.00007585661587</v>
      </c>
      <c r="F29" s="36">
        <f>D29/'Option Mkt Data'!L29</f>
        <v>0.007737564757</v>
      </c>
      <c r="G29" s="5">
        <f>'Option Mkt Data'!J29</f>
        <v>2.039999485</v>
      </c>
      <c r="H29" s="33">
        <f>'Option Mkt Data'!A29</f>
        <v>355</v>
      </c>
      <c r="I29" s="37">
        <f>MinSolverVola</f>
        <v>0.001</v>
      </c>
      <c r="J29" s="38">
        <f>MaxSolverVola</f>
        <v>3</v>
      </c>
      <c r="K29" s="39">
        <f>K$2*(Underlying*EXP(-DividendYield*TimeToExpiration)*_xlfn.NORM.DIST(K$2*(LN(Underlying/$H29)+(RiskFreeRate-DividendYield+0.5*I29^2)*TimeToExpiration)/(I29*TimeToExpiration^0.5), 0, 1, TRUE) - 
       $H29*EXP(-RiskFreeRate*TimeToExpiration)*_xlfn.NORM.DIST(K$2*(LN(Underlying/$H29)+(RiskFreeRate-DividendYield-0.5*I29^2)*TimeToExpiration)/(I29*TimeToExpiration^0.5), 0, 1, TRUE)
)</f>
        <v>0</v>
      </c>
      <c r="L29" s="7">
        <f>L$2*(Underlying*EXP(-DividendYield*TimeToExpiration)*_xlfn.NORM.DIST(L$2*(LN(Underlying/$H29)+(RiskFreeRate-DividendYield+0.5*J29^2)*TimeToExpiration)/(J29*TimeToExpiration^0.5), 0, 1, TRUE) - 
       $H29*EXP(-RiskFreeRate*TimeToExpiration)*_xlfn.NORM.DIST(L$2*(LN(Underlying/$H29)+(RiskFreeRate-DividendYield-0.5*J29^2)*TimeToExpiration)/(J29*TimeToExpiration^0.5), 0, 1, TRUE)
)</f>
        <v>50.88223038</v>
      </c>
      <c r="M29" s="40">
        <f t="shared" si="5"/>
        <v>1.5005</v>
      </c>
      <c r="N29" s="8">
        <f>N$2*(Underlying*EXP(-DividendYield*TimeToExpiration)*_xlfn.NORM.DIST(N$2*(LN(Underlying/$H29)+(RiskFreeRate-DividendYield+0.5*M29^2)*TimeToExpiration)/(M29*TimeToExpiration^0.5), 0, 1, TRUE) - 
       $H29*EXP(-RiskFreeRate*TimeToExpiration)*_xlfn.NORM.DIST(N$2*(LN(Underlying/$H29)+(RiskFreeRate-DividendYield-0.5*M29^2)*TimeToExpiration)/(M29*TimeToExpiration^0.5), 0, 1, TRUE)
)</f>
        <v>22.23670665</v>
      </c>
      <c r="O29" s="41">
        <f t="shared" si="6"/>
        <v>0.001</v>
      </c>
      <c r="P29" s="40">
        <f t="shared" si="7"/>
        <v>1.5005</v>
      </c>
      <c r="Q29" s="7">
        <f>Q$2*(Underlying*EXP(-DividendYield*TimeToExpiration)*_xlfn.NORM.DIST(Q$2*(LN(Underlying/$H29)+(RiskFreeRate-DividendYield+0.5*O29^2)*TimeToExpiration)/(O29*TimeToExpiration^0.5), 0, 1, TRUE) - 
       $H29*EXP(-RiskFreeRate*TimeToExpiration)*_xlfn.NORM.DIST(Q$2*(LN(Underlying/$H29)+(RiskFreeRate-DividendYield-0.5*O29^2)*TimeToExpiration)/(O29*TimeToExpiration^0.5), 0, 1, TRUE))</f>
        <v>0</v>
      </c>
      <c r="R29" s="7">
        <f>R$2*(Underlying*EXP(-DividendYield*TimeToExpiration)*_xlfn.NORM.DIST(R$2*(LN(Underlying/$H29)+(RiskFreeRate-DividendYield+0.5*P29^2)*TimeToExpiration)/(P29*TimeToExpiration^0.5), 0, 1, TRUE) - 
       $H29*EXP(-RiskFreeRate*TimeToExpiration)*_xlfn.NORM.DIST(R$2*(LN(Underlying/$H29)+(RiskFreeRate-DividendYield-0.5*P29^2)*TimeToExpiration)/(P29*TimeToExpiration^0.5), 0, 1, TRUE)
)</f>
        <v>22.23670665</v>
      </c>
      <c r="S29" s="40">
        <f t="shared" si="8"/>
        <v>0.75075</v>
      </c>
      <c r="T29" s="8">
        <f>T$2*(Underlying*EXP(-DividendYield*TimeToExpiration)*_xlfn.NORM.DIST(T$2*(LN(Underlying/$H29)+(RiskFreeRate-DividendYield+0.5*S29^2)*TimeToExpiration)/(S29*TimeToExpiration^0.5), 0, 1, TRUE) - 
       $H29*EXP(-RiskFreeRate*TimeToExpiration)*_xlfn.NORM.DIST(T$2*(LN(Underlying/$H29)+(RiskFreeRate-DividendYield-0.5*S29^2)*TimeToExpiration)/(S29*TimeToExpiration^0.5), 0, 1, TRUE)
)</f>
        <v>8.23938153</v>
      </c>
      <c r="U29" s="41">
        <f t="shared" si="9"/>
        <v>0.001</v>
      </c>
      <c r="V29" s="40">
        <f t="shared" si="10"/>
        <v>0.75075</v>
      </c>
      <c r="W29" s="7">
        <f>W$2*(Underlying*EXP(-DividendYield*TimeToExpiration)*_xlfn.NORM.DIST(W$2*(LN(Underlying/$H29)+(RiskFreeRate-DividendYield+0.5*U29^2)*TimeToExpiration)/(U29*TimeToExpiration^0.5), 0, 1, TRUE) - 
       $H29*EXP(-RiskFreeRate*TimeToExpiration)*_xlfn.NORM.DIST(W$2*(LN(Underlying/$H29)+(RiskFreeRate-DividendYield-0.5*U29^2)*TimeToExpiration)/(U29*TimeToExpiration^0.5), 0, 1, TRUE)
)</f>
        <v>0</v>
      </c>
      <c r="X29" s="7">
        <f>X$2*(Underlying*EXP(-DividendYield*TimeToExpiration)*_xlfn.NORM.DIST(X$2*(LN(Underlying/$H29)+(RiskFreeRate-DividendYield+0.5*V29^2)*TimeToExpiration)/(V29*TimeToExpiration^0.5), 0, 1, TRUE) - 
       $H29*EXP(-RiskFreeRate*TimeToExpiration)*_xlfn.NORM.DIST(X$2*(LN(Underlying/$H29)+(RiskFreeRate-DividendYield-0.5*V29^2)*TimeToExpiration)/(V29*TimeToExpiration^0.5), 0, 1, TRUE)
)</f>
        <v>8.23938153</v>
      </c>
      <c r="Y29" s="40">
        <f t="shared" si="11"/>
        <v>0.375875</v>
      </c>
      <c r="Z29" s="8">
        <f>Z$2*(Underlying*EXP(-DividendYield*TimeToExpiration)*_xlfn.NORM.DIST(Z$2*(LN(Underlying/$H29)+(RiskFreeRate-DividendYield+0.5*Y29^2)*TimeToExpiration)/(Y29*TimeToExpiration^0.5), 0, 1, TRUE) - 
       $H29*EXP(-RiskFreeRate*TimeToExpiration)*_xlfn.NORM.DIST(Z$2*(LN(Underlying/$H29)+(RiskFreeRate-DividendYield-0.5*Y29^2)*TimeToExpiration)/(Y29*TimeToExpiration^0.5), 0, 1, TRUE)
)</f>
        <v>2.073808364</v>
      </c>
      <c r="AA29" s="41">
        <f t="shared" si="12"/>
        <v>0.001</v>
      </c>
      <c r="AB29" s="40">
        <f t="shared" si="13"/>
        <v>0.375875</v>
      </c>
      <c r="AC29" s="7">
        <f>AC$2*(Underlying*EXP(-DividendYield*TimeToExpiration)*_xlfn.NORM.DIST(AC$2*(LN(Underlying/$H29)+(RiskFreeRate-DividendYield+0.5*AA29^2)*TimeToExpiration)/(AA29*TimeToExpiration^0.5), 0, 1, TRUE) - 
       $H29*EXP(-RiskFreeRate*TimeToExpiration)*_xlfn.NORM.DIST(AC$2*(LN(Underlying/$H29)+(RiskFreeRate-DividendYield-0.5*AA29^2)*TimeToExpiration)/(AA29*TimeToExpiration^0.5), 0, 1, TRUE)
)</f>
        <v>0</v>
      </c>
      <c r="AD29" s="7">
        <f>AD$2*(Underlying*EXP(-DividendYield*TimeToExpiration)*_xlfn.NORM.DIST(AD$2*(LN(Underlying/$H29)+(RiskFreeRate-DividendYield+0.5*AB29^2)*TimeToExpiration)/(AB29*TimeToExpiration^0.5), 0, 1, TRUE) - 
       $H29*EXP(-RiskFreeRate*TimeToExpiration)*_xlfn.NORM.DIST(AD$2*(LN(Underlying/$H29)+(RiskFreeRate-DividendYield-0.5*AB29^2)*TimeToExpiration)/(AB29*TimeToExpiration^0.5), 0, 1, TRUE)
)</f>
        <v>2.073808364</v>
      </c>
      <c r="AE29" s="40">
        <f t="shared" si="14"/>
        <v>0.1884375</v>
      </c>
      <c r="AF29" s="8">
        <f>AF$2*(Underlying*EXP(-DividendYield*TimeToExpiration)*_xlfn.NORM.DIST(AF$2*(LN(Underlying/$H29)+(RiskFreeRate-DividendYield+0.5*AE29^2)*TimeToExpiration)/(AE29*TimeToExpiration^0.5), 0, 1, TRUE) - 
       $H29*EXP(-RiskFreeRate*TimeToExpiration)*_xlfn.NORM.DIST(AF$2*(LN(Underlying/$H29)+(RiskFreeRate-DividendYield-0.5*AE29^2)*TimeToExpiration)/(AE29*TimeToExpiration^0.5), 0, 1, TRUE)
)</f>
        <v>0.1816868591</v>
      </c>
      <c r="AG29" s="40">
        <f t="shared" si="15"/>
        <v>0.1884375</v>
      </c>
      <c r="AH29" s="40">
        <f t="shared" si="16"/>
        <v>0.375875</v>
      </c>
      <c r="AI29" s="7">
        <f>AI$2*(Underlying*EXP(-DividendYield*TimeToExpiration)*_xlfn.NORM.DIST(AI$2*(LN(Underlying/$H29)+(RiskFreeRate-DividendYield+0.5*AG29^2)*TimeToExpiration)/(AG29*TimeToExpiration^0.5), 0, 1, TRUE) - 
       $H29*EXP(-RiskFreeRate*TimeToExpiration)*_xlfn.NORM.DIST(AI$2*(LN(Underlying/$H29)+(RiskFreeRate-DividendYield-0.5*AG29^2)*TimeToExpiration)/(AG29*TimeToExpiration^0.5), 0, 1, TRUE)
)</f>
        <v>0.1816868591</v>
      </c>
      <c r="AJ29" s="7">
        <f>AJ$2*(Underlying*EXP(-DividendYield*TimeToExpiration)*_xlfn.NORM.DIST(AJ$2*(LN(Underlying/$H29)+(RiskFreeRate-DividendYield+0.5*AH29^2)*TimeToExpiration)/(AH29*TimeToExpiration^0.5), 0, 1, TRUE) - 
       $H29*EXP(-RiskFreeRate*TimeToExpiration)*_xlfn.NORM.DIST(AJ$2*(LN(Underlying/$H29)+(RiskFreeRate-DividendYield-0.5*AH29^2)*TimeToExpiration)/(AH29*TimeToExpiration^0.5), 0, 1, TRUE)
)</f>
        <v>2.073808364</v>
      </c>
      <c r="AK29" s="40">
        <f t="shared" si="17"/>
        <v>0.28215625</v>
      </c>
      <c r="AL29" s="8">
        <f>AL$2*(Underlying*EXP(-DividendYield*TimeToExpiration)*_xlfn.NORM.DIST(AL$2*(LN(Underlying/$H29)+(RiskFreeRate-DividendYield+0.5*AK29^2)*TimeToExpiration)/(AK29*TimeToExpiration^0.5), 0, 1, TRUE) - 
       $H29*EXP(-RiskFreeRate*TimeToExpiration)*_xlfn.NORM.DIST(AL$2*(LN(Underlying/$H29)+(RiskFreeRate-DividendYield-0.5*AK29^2)*TimeToExpiration)/(AK29*TimeToExpiration^0.5), 0, 1, TRUE)
)</f>
        <v>0.9209625942</v>
      </c>
      <c r="AM29" s="40">
        <f t="shared" si="18"/>
        <v>0.28215625</v>
      </c>
      <c r="AN29" s="40">
        <f t="shared" si="19"/>
        <v>0.375875</v>
      </c>
      <c r="AO29" s="7">
        <f>AO$2*(Underlying*EXP(-DividendYield*TimeToExpiration)*_xlfn.NORM.DIST(AO$2*(LN(Underlying/$H29)+(RiskFreeRate-DividendYield+0.5*AM29^2)*TimeToExpiration)/(AM29*TimeToExpiration^0.5), 0, 1, TRUE) - 
       $H29*EXP(-RiskFreeRate*TimeToExpiration)*_xlfn.NORM.DIST(AO$2*(LN(Underlying/$H29)+(RiskFreeRate-DividendYield-0.5*AM29^2)*TimeToExpiration)/(AM29*TimeToExpiration^0.5), 0, 1, TRUE)
)</f>
        <v>0.9209625942</v>
      </c>
      <c r="AP29" s="7">
        <f>AP$2*(Underlying*EXP(-DividendYield*TimeToExpiration)*_xlfn.NORM.DIST(AP$2*(LN(Underlying/$H29)+(RiskFreeRate-DividendYield+0.5*AN29^2)*TimeToExpiration)/(AN29*TimeToExpiration^0.5), 0, 1, TRUE) - 
       $H29*EXP(-RiskFreeRate*TimeToExpiration)*_xlfn.NORM.DIST(AP$2*(LN(Underlying/$H29)+(RiskFreeRate-DividendYield-0.5*AN29^2)*TimeToExpiration)/(AN29*TimeToExpiration^0.5), 0, 1, TRUE)
)</f>
        <v>2.073808364</v>
      </c>
      <c r="AQ29" s="40">
        <f t="shared" si="20"/>
        <v>0.329015625</v>
      </c>
      <c r="AR29" s="8">
        <f>AR$2*(Underlying*EXP(-DividendYield*TimeToExpiration)*_xlfn.NORM.DIST(AR$2*(LN(Underlying/$H29)+(RiskFreeRate-DividendYield+0.5*AQ29^2)*TimeToExpiration)/(AQ29*TimeToExpiration^0.5), 0, 1, TRUE) - 
       $H29*EXP(-RiskFreeRate*TimeToExpiration)*_xlfn.NORM.DIST(AR$2*(LN(Underlying/$H29)+(RiskFreeRate-DividendYield-0.5*AQ29^2)*TimeToExpiration)/(AQ29*TimeToExpiration^0.5), 0, 1, TRUE)
)</f>
        <v>1.459309308</v>
      </c>
      <c r="AS29" s="40">
        <f t="shared" si="21"/>
        <v>0.329015625</v>
      </c>
      <c r="AT29" s="40">
        <f t="shared" si="22"/>
        <v>0.375875</v>
      </c>
      <c r="AU29" s="7">
        <f>AU$2*(Underlying*EXP(-DividendYield*TimeToExpiration)*_xlfn.NORM.DIST(AU$2*(LN(Underlying/$H29)+(RiskFreeRate-DividendYield+0.5*AS29^2)*TimeToExpiration)/(AS29*TimeToExpiration^0.5), 0, 1, TRUE) - 
       $H29*EXP(-RiskFreeRate*TimeToExpiration)*_xlfn.NORM.DIST(AU$2*(LN(Underlying/$H29)+(RiskFreeRate-DividendYield-0.5*AS29^2)*TimeToExpiration)/(AS29*TimeToExpiration^0.5), 0, 1, TRUE)
)</f>
        <v>1.459309308</v>
      </c>
      <c r="AV29" s="7">
        <f>AV$2*(Underlying*EXP(-DividendYield*TimeToExpiration)*_xlfn.NORM.DIST(AV$2*(LN(Underlying/$H29)+(RiskFreeRate-DividendYield+0.5*AT29^2)*TimeToExpiration)/(AT29*TimeToExpiration^0.5), 0, 1, TRUE) - 
       $H29*EXP(-RiskFreeRate*TimeToExpiration)*_xlfn.NORM.DIST(AV$2*(LN(Underlying/$H29)+(RiskFreeRate-DividendYield-0.5*AT29^2)*TimeToExpiration)/(AT29*TimeToExpiration^0.5), 0, 1, TRUE)
)</f>
        <v>2.073808364</v>
      </c>
      <c r="AW29" s="40">
        <f t="shared" si="23"/>
        <v>0.3524453125</v>
      </c>
      <c r="AX29" s="8">
        <f>AX$2*(Underlying*EXP(-DividendYield*TimeToExpiration)*_xlfn.NORM.DIST(AX$2*(LN(Underlying/$H29)+(RiskFreeRate-DividendYield+0.5*AW29^2)*TimeToExpiration)/(AW29*TimeToExpiration^0.5), 0, 1, TRUE) - 
       $H29*EXP(-RiskFreeRate*TimeToExpiration)*_xlfn.NORM.DIST(AX$2*(LN(Underlying/$H29)+(RiskFreeRate-DividendYield-0.5*AW29^2)*TimeToExpiration)/(AW29*TimeToExpiration^0.5), 0, 1, TRUE)
)</f>
        <v>1.758394108</v>
      </c>
      <c r="AY29" s="40">
        <f t="shared" si="24"/>
        <v>0.3524453125</v>
      </c>
      <c r="AZ29" s="40">
        <f t="shared" si="25"/>
        <v>0.375875</v>
      </c>
      <c r="BA29" s="7">
        <f>BA$2*(Underlying*EXP(-DividendYield*TimeToExpiration)*_xlfn.NORM.DIST(BA$2*(LN(Underlying/$H29)+(RiskFreeRate-DividendYield+0.5*AY29^2)*TimeToExpiration)/(AY29*TimeToExpiration^0.5), 0, 1, TRUE) - 
       $H29*EXP(-RiskFreeRate*TimeToExpiration)*_xlfn.NORM.DIST(BA$2*(LN(Underlying/$H29)+(RiskFreeRate-DividendYield-0.5*AY29^2)*TimeToExpiration)/(AY29*TimeToExpiration^0.5), 0, 1, TRUE)
)</f>
        <v>1.758394108</v>
      </c>
      <c r="BB29" s="7">
        <f>BB$2*(Underlying*EXP(-DividendYield*TimeToExpiration)*_xlfn.NORM.DIST(BB$2*(LN(Underlying/$H29)+(RiskFreeRate-DividendYield+0.5*AZ29^2)*TimeToExpiration)/(AZ29*TimeToExpiration^0.5), 0, 1, TRUE) - 
       $H29*EXP(-RiskFreeRate*TimeToExpiration)*_xlfn.NORM.DIST(BB$2*(LN(Underlying/$H29)+(RiskFreeRate-DividendYield-0.5*AZ29^2)*TimeToExpiration)/(AZ29*TimeToExpiration^0.5), 0, 1, TRUE)
)</f>
        <v>2.073808364</v>
      </c>
      <c r="BC29" s="40">
        <f t="shared" si="26"/>
        <v>0.3641601563</v>
      </c>
      <c r="BD29" s="8">
        <f>BD$2*(Underlying*EXP(-DividendYield*TimeToExpiration)*_xlfn.NORM.DIST(BD$2*(LN(Underlying/$H29)+(RiskFreeRate-DividendYield+0.5*BC29^2)*TimeToExpiration)/(BC29*TimeToExpiration^0.5), 0, 1, TRUE) - 
       $H29*EXP(-RiskFreeRate*TimeToExpiration)*_xlfn.NORM.DIST(BD$2*(LN(Underlying/$H29)+(RiskFreeRate-DividendYield-0.5*BC29^2)*TimeToExpiration)/(BC29*TimeToExpiration^0.5), 0, 1, TRUE)
)</f>
        <v>1.914206575</v>
      </c>
      <c r="BE29" s="40">
        <f t="shared" si="27"/>
        <v>0.3641601563</v>
      </c>
      <c r="BF29" s="40">
        <f t="shared" si="28"/>
        <v>0.375875</v>
      </c>
      <c r="BG29" s="7">
        <f>BG$2*(Underlying*EXP(-DividendYield*TimeToExpiration)*_xlfn.NORM.DIST(BG$2*(LN(Underlying/$H29)+(RiskFreeRate-DividendYield+0.5*BE29^2)*TimeToExpiration)/(BE29*TimeToExpiration^0.5), 0, 1, TRUE) - 
       $H29*EXP(-RiskFreeRate*TimeToExpiration)*_xlfn.NORM.DIST(BG$2*(LN(Underlying/$H29)+(RiskFreeRate-DividendYield-0.5*BE29^2)*TimeToExpiration)/(BE29*TimeToExpiration^0.5), 0, 1, TRUE)
)</f>
        <v>1.914206575</v>
      </c>
      <c r="BH29" s="7">
        <f>BH$2*(Underlying*EXP(-DividendYield*TimeToExpiration)*_xlfn.NORM.DIST(BH$2*(LN(Underlying/$H29)+(RiskFreeRate-DividendYield+0.5*BF29^2)*TimeToExpiration)/(BF29*TimeToExpiration^0.5), 0, 1, TRUE) - 
       $H29*EXP(-RiskFreeRate*TimeToExpiration)*_xlfn.NORM.DIST(BH$2*(LN(Underlying/$H29)+(RiskFreeRate-DividendYield-0.5*BF29^2)*TimeToExpiration)/(BF29*TimeToExpiration^0.5), 0, 1, TRUE)
)</f>
        <v>2.073808364</v>
      </c>
      <c r="BI29" s="40">
        <f t="shared" si="29"/>
        <v>0.3700175781</v>
      </c>
      <c r="BJ29" s="8">
        <f>BJ$2*(Underlying*EXP(-DividendYield*TimeToExpiration)*_xlfn.NORM.DIST(BJ$2*(LN(Underlying/$H29)+(RiskFreeRate-DividendYield+0.5*BI29^2)*TimeToExpiration)/(BI29*TimeToExpiration^0.5), 0, 1, TRUE) - 
       $H29*EXP(-RiskFreeRate*TimeToExpiration)*_xlfn.NORM.DIST(BJ$2*(LN(Underlying/$H29)+(RiskFreeRate-DividendYield-0.5*BI29^2)*TimeToExpiration)/(BI29*TimeToExpiration^0.5), 0, 1, TRUE)
)</f>
        <v>1.993550821</v>
      </c>
      <c r="BK29" s="40">
        <f t="shared" si="30"/>
        <v>0.3700175781</v>
      </c>
      <c r="BL29" s="40">
        <f t="shared" si="31"/>
        <v>0.375875</v>
      </c>
      <c r="BM29" s="7">
        <f>BM$2*(Underlying*EXP(-DividendYield*TimeToExpiration)*_xlfn.NORM.DIST(BM$2*(LN(Underlying/$H29)+(RiskFreeRate-DividendYield+0.5*BK29^2)*TimeToExpiration)/(BK29*TimeToExpiration^0.5), 0, 1, TRUE) - 
       $H29*EXP(-RiskFreeRate*TimeToExpiration)*_xlfn.NORM.DIST(BM$2*(LN(Underlying/$H29)+(RiskFreeRate-DividendYield-0.5*BK29^2)*TimeToExpiration)/(BK29*TimeToExpiration^0.5), 0, 1, TRUE)
)</f>
        <v>1.993550821</v>
      </c>
      <c r="BN29" s="7">
        <f>BN$2*(Underlying*EXP(-DividendYield*TimeToExpiration)*_xlfn.NORM.DIST(BN$2*(LN(Underlying/$H29)+(RiskFreeRate-DividendYield+0.5*BL29^2)*TimeToExpiration)/(BL29*TimeToExpiration^0.5), 0, 1, TRUE) - 
       $H29*EXP(-RiskFreeRate*TimeToExpiration)*_xlfn.NORM.DIST(BN$2*(LN(Underlying/$H29)+(RiskFreeRate-DividendYield-0.5*BL29^2)*TimeToExpiration)/(BL29*TimeToExpiration^0.5), 0, 1, TRUE)
)</f>
        <v>2.073808364</v>
      </c>
      <c r="BO29" s="40">
        <f t="shared" si="32"/>
        <v>0.3729462891</v>
      </c>
      <c r="BP29" s="8">
        <f>BP$2*(Underlying*EXP(-DividendYield*TimeToExpiration)*_xlfn.NORM.DIST(BP$2*(LN(Underlying/$H29)+(RiskFreeRate-DividendYield+0.5*BO29^2)*TimeToExpiration)/(BO29*TimeToExpiration^0.5), 0, 1, TRUE) - 
       $H29*EXP(-RiskFreeRate*TimeToExpiration)*_xlfn.NORM.DIST(BP$2*(LN(Underlying/$H29)+(RiskFreeRate-DividendYield-0.5*BO29^2)*TimeToExpiration)/(BO29*TimeToExpiration^0.5), 0, 1, TRUE)
)</f>
        <v>2.033567481</v>
      </c>
      <c r="BQ29" s="40">
        <f t="shared" si="33"/>
        <v>0.3729462891</v>
      </c>
      <c r="BR29" s="40">
        <f t="shared" si="34"/>
        <v>0.375875</v>
      </c>
      <c r="BS29" s="7">
        <f>BS$2*(Underlying*EXP(-DividendYield*TimeToExpiration)*_xlfn.NORM.DIST(BS$2*(LN(Underlying/$H29)+(RiskFreeRate-DividendYield+0.5*BQ29^2)*TimeToExpiration)/(BQ29*TimeToExpiration^0.5), 0, 1, TRUE) - 
       $H29*EXP(-RiskFreeRate*TimeToExpiration)*_xlfn.NORM.DIST(BS$2*(LN(Underlying/$H29)+(RiskFreeRate-DividendYield-0.5*BQ29^2)*TimeToExpiration)/(BQ29*TimeToExpiration^0.5), 0, 1, TRUE)
)</f>
        <v>2.033567481</v>
      </c>
      <c r="BT29" s="7">
        <f>BT$2*(Underlying*EXP(-DividendYield*TimeToExpiration)*_xlfn.NORM.DIST(BT$2*(LN(Underlying/$H29)+(RiskFreeRate-DividendYield+0.5*BR29^2)*TimeToExpiration)/(BR29*TimeToExpiration^0.5), 0, 1, TRUE) - 
       $H29*EXP(-RiskFreeRate*TimeToExpiration)*_xlfn.NORM.DIST(BT$2*(LN(Underlying/$H29)+(RiskFreeRate-DividendYield-0.5*BR29^2)*TimeToExpiration)/(BR29*TimeToExpiration^0.5), 0, 1, TRUE)
)</f>
        <v>2.073808364</v>
      </c>
      <c r="BU29" s="40">
        <f t="shared" si="35"/>
        <v>0.3744106445</v>
      </c>
      <c r="BV29" s="8">
        <f>BV$2*(Underlying*EXP(-DividendYield*TimeToExpiration)*_xlfn.NORM.DIST(BV$2*(LN(Underlying/$H29)+(RiskFreeRate-DividendYield+0.5*BU29^2)*TimeToExpiration)/(BU29*TimeToExpiration^0.5), 0, 1, TRUE) - 
       $H29*EXP(-RiskFreeRate*TimeToExpiration)*_xlfn.NORM.DIST(BV$2*(LN(Underlying/$H29)+(RiskFreeRate-DividendYield-0.5*BU29^2)*TimeToExpiration)/(BU29*TimeToExpiration^0.5), 0, 1, TRUE)
)</f>
        <v>2.053660146</v>
      </c>
      <c r="BW29" s="40">
        <f t="shared" si="36"/>
        <v>0.3729462891</v>
      </c>
      <c r="BX29" s="40">
        <f t="shared" si="37"/>
        <v>0.3744106445</v>
      </c>
      <c r="BY29" s="7">
        <f>BY$2*(Underlying*EXP(-DividendYield*TimeToExpiration)*_xlfn.NORM.DIST(BY$2*(LN(Underlying/$H29)+(RiskFreeRate-DividendYield+0.5*BW29^2)*TimeToExpiration)/(BW29*TimeToExpiration^0.5), 0, 1, TRUE) - 
       $H29*EXP(-RiskFreeRate*TimeToExpiration)*_xlfn.NORM.DIST(BY$2*(LN(Underlying/$H29)+(RiskFreeRate-DividendYield-0.5*BW29^2)*TimeToExpiration)/(BW29*TimeToExpiration^0.5), 0, 1, TRUE)
)</f>
        <v>2.033567481</v>
      </c>
      <c r="BZ29" s="7">
        <f>BZ$2*(Underlying*EXP(-DividendYield*TimeToExpiration)*_xlfn.NORM.DIST(BZ$2*(LN(Underlying/$H29)+(RiskFreeRate-DividendYield+0.5*BX29^2)*TimeToExpiration)/(BX29*TimeToExpiration^0.5), 0, 1, TRUE) - 
       $H29*EXP(-RiskFreeRate*TimeToExpiration)*_xlfn.NORM.DIST(BZ$2*(LN(Underlying/$H29)+(RiskFreeRate-DividendYield-0.5*BX29^2)*TimeToExpiration)/(BX29*TimeToExpiration^0.5), 0, 1, TRUE)
)</f>
        <v>2.053660146</v>
      </c>
      <c r="CA29" s="40">
        <f t="shared" si="38"/>
        <v>0.3736784668</v>
      </c>
      <c r="CB29" s="8">
        <f>CB$2*(Underlying*EXP(-DividendYield*TimeToExpiration)*_xlfn.NORM.DIST(CB$2*(LN(Underlying/$H29)+(RiskFreeRate-DividendYield+0.5*CA29^2)*TimeToExpiration)/(CA29*TimeToExpiration^0.5), 0, 1, TRUE) - 
       $H29*EXP(-RiskFreeRate*TimeToExpiration)*_xlfn.NORM.DIST(CB$2*(LN(Underlying/$H29)+(RiskFreeRate-DividendYield-0.5*CA29^2)*TimeToExpiration)/(CA29*TimeToExpiration^0.5), 0, 1, TRUE)
)</f>
        <v>2.043606838</v>
      </c>
      <c r="CC29" s="40">
        <f t="shared" si="39"/>
        <v>0.3729462891</v>
      </c>
      <c r="CD29" s="40">
        <f t="shared" si="40"/>
        <v>0.3736784668</v>
      </c>
      <c r="CE29" s="7">
        <f>CE$2*(Underlying*EXP(-DividendYield*TimeToExpiration)*_xlfn.NORM.DIST(CE$2*(LN(Underlying/$H29)+(RiskFreeRate-DividendYield+0.5*CC29^2)*TimeToExpiration)/(CC29*TimeToExpiration^0.5), 0, 1, TRUE) - 
       $H29*EXP(-RiskFreeRate*TimeToExpiration)*_xlfn.NORM.DIST(CE$2*(LN(Underlying/$H29)+(RiskFreeRate-DividendYield-0.5*CC29^2)*TimeToExpiration)/(CC29*TimeToExpiration^0.5), 0, 1, TRUE)
)</f>
        <v>2.033567481</v>
      </c>
      <c r="CF29" s="7">
        <f>CF$2*(Underlying*EXP(-DividendYield*TimeToExpiration)*_xlfn.NORM.DIST(CF$2*(LN(Underlying/$H29)+(RiskFreeRate-DividendYield+0.5*CD29^2)*TimeToExpiration)/(CD29*TimeToExpiration^0.5), 0, 1, TRUE) - 
       $H29*EXP(-RiskFreeRate*TimeToExpiration)*_xlfn.NORM.DIST(CF$2*(LN(Underlying/$H29)+(RiskFreeRate-DividendYield-0.5*CD29^2)*TimeToExpiration)/(CD29*TimeToExpiration^0.5), 0, 1, TRUE)
)</f>
        <v>2.043606838</v>
      </c>
      <c r="CG29" s="40">
        <f t="shared" si="41"/>
        <v>0.3733123779</v>
      </c>
      <c r="CH29" s="8">
        <f>CH$2*(Underlying*EXP(-DividendYield*TimeToExpiration)*_xlfn.NORM.DIST(CH$2*(LN(Underlying/$H29)+(RiskFreeRate-DividendYield+0.5*CG29^2)*TimeToExpiration)/(CG29*TimeToExpiration^0.5), 0, 1, TRUE) - 
       $H29*EXP(-RiskFreeRate*TimeToExpiration)*_xlfn.NORM.DIST(CH$2*(LN(Underlying/$H29)+(RiskFreeRate-DividendYield-0.5*CG29^2)*TimeToExpiration)/(CG29*TimeToExpiration^0.5), 0, 1, TRUE)
)</f>
        <v>2.038585412</v>
      </c>
      <c r="CI29" s="40">
        <f t="shared" si="42"/>
        <v>0.3733123779</v>
      </c>
      <c r="CJ29" s="40">
        <f t="shared" si="43"/>
        <v>0.3736784668</v>
      </c>
      <c r="CK29" s="7">
        <f>CK$2*(Underlying*EXP(-DividendYield*TimeToExpiration)*_xlfn.NORM.DIST(CK$2*(LN(Underlying/$H29)+(RiskFreeRate-DividendYield+0.5*CI29^2)*TimeToExpiration)/(CI29*TimeToExpiration^0.5), 0, 1, TRUE) - 
       $H29*EXP(-RiskFreeRate*TimeToExpiration)*_xlfn.NORM.DIST(CK$2*(LN(Underlying/$H29)+(RiskFreeRate-DividendYield-0.5*CI29^2)*TimeToExpiration)/(CI29*TimeToExpiration^0.5), 0, 1, TRUE)
)</f>
        <v>2.038585412</v>
      </c>
      <c r="CL29" s="7">
        <f>CL$2*(Underlying*EXP(-DividendYield*TimeToExpiration)*_xlfn.NORM.DIST(CL$2*(LN(Underlying/$H29)+(RiskFreeRate-DividendYield+0.5*CJ29^2)*TimeToExpiration)/(CJ29*TimeToExpiration^0.5), 0, 1, TRUE) - 
       $H29*EXP(-RiskFreeRate*TimeToExpiration)*_xlfn.NORM.DIST(CL$2*(LN(Underlying/$H29)+(RiskFreeRate-DividendYield-0.5*CJ29^2)*TimeToExpiration)/(CJ29*TimeToExpiration^0.5), 0, 1, TRUE)
)</f>
        <v>2.043606838</v>
      </c>
      <c r="CM29" s="40">
        <f t="shared" si="44"/>
        <v>0.3734954224</v>
      </c>
      <c r="CN29" s="8">
        <f>CN$2*(Underlying*EXP(-DividendYield*TimeToExpiration)*_xlfn.NORM.DIST(CN$2*(LN(Underlying/$H29)+(RiskFreeRate-DividendYield+0.5*CM29^2)*TimeToExpiration)/(CM29*TimeToExpiration^0.5), 0, 1, TRUE) - 
       $H29*EXP(-RiskFreeRate*TimeToExpiration)*_xlfn.NORM.DIST(CN$2*(LN(Underlying/$H29)+(RiskFreeRate-DividendYield-0.5*CM29^2)*TimeToExpiration)/(CM29*TimeToExpiration^0.5), 0, 1, TRUE)
)</f>
        <v>2.041095689</v>
      </c>
      <c r="CO29" s="40">
        <f t="shared" si="45"/>
        <v>0.3733123779</v>
      </c>
      <c r="CP29" s="40">
        <f t="shared" si="46"/>
        <v>0.3734954224</v>
      </c>
      <c r="CQ29" s="7">
        <f>CQ$2*(Underlying*EXP(-DividendYield*TimeToExpiration)*_xlfn.NORM.DIST(CQ$2*(LN(Underlying/$H29)+(RiskFreeRate-DividendYield+0.5*CO29^2)*TimeToExpiration)/(CO29*TimeToExpiration^0.5), 0, 1, TRUE) - 
       $H29*EXP(-RiskFreeRate*TimeToExpiration)*_xlfn.NORM.DIST(CQ$2*(LN(Underlying/$H29)+(RiskFreeRate-DividendYield-0.5*CO29^2)*TimeToExpiration)/(CO29*TimeToExpiration^0.5), 0, 1, TRUE)
)</f>
        <v>2.038585412</v>
      </c>
      <c r="CR29" s="7">
        <f>CR$2*(Underlying*EXP(-DividendYield*TimeToExpiration)*_xlfn.NORM.DIST(CR$2*(LN(Underlying/$H29)+(RiskFreeRate-DividendYield+0.5*CP29^2)*TimeToExpiration)/(CP29*TimeToExpiration^0.5), 0, 1, TRUE) - 
       $H29*EXP(-RiskFreeRate*TimeToExpiration)*_xlfn.NORM.DIST(CR$2*(LN(Underlying/$H29)+(RiskFreeRate-DividendYield-0.5*CP29^2)*TimeToExpiration)/(CP29*TimeToExpiration^0.5), 0, 1, TRUE)
)</f>
        <v>2.041095689</v>
      </c>
      <c r="CS29" s="40">
        <f t="shared" si="47"/>
        <v>0.3734039001</v>
      </c>
      <c r="CT29" s="8">
        <f>CT$2*(Underlying*EXP(-DividendYield*TimeToExpiration)*_xlfn.NORM.DIST(CT$2*(LN(Underlying/$H29)+(RiskFreeRate-DividendYield+0.5*CS29^2)*TimeToExpiration)/(CS29*TimeToExpiration^0.5), 0, 1, TRUE) - 
       $H29*EXP(-RiskFreeRate*TimeToExpiration)*_xlfn.NORM.DIST(CT$2*(LN(Underlying/$H29)+(RiskFreeRate-DividendYield-0.5*CS29^2)*TimeToExpiration)/(CS29*TimeToExpiration^0.5), 0, 1, TRUE)
)</f>
        <v>2.039840441</v>
      </c>
      <c r="CU29" s="40">
        <f t="shared" si="48"/>
        <v>0.3734039001</v>
      </c>
      <c r="CV29" s="40">
        <f t="shared" si="49"/>
        <v>0.3734954224</v>
      </c>
      <c r="CW29" s="7">
        <f>CW$2*(Underlying*EXP(-DividendYield*TimeToExpiration)*_xlfn.NORM.DIST(CW$2*(LN(Underlying/$H29)+(RiskFreeRate-DividendYield+0.5*CU29^2)*TimeToExpiration)/(CU29*TimeToExpiration^0.5), 0, 1, TRUE) - 
       $H29*EXP(-RiskFreeRate*TimeToExpiration)*_xlfn.NORM.DIST(CW$2*(LN(Underlying/$H29)+(RiskFreeRate-DividendYield-0.5*CU29^2)*TimeToExpiration)/(CU29*TimeToExpiration^0.5), 0, 1, TRUE)
)</f>
        <v>2.039840441</v>
      </c>
      <c r="CX29" s="7">
        <f>CX$2*(Underlying*EXP(-DividendYield*TimeToExpiration)*_xlfn.NORM.DIST(CX$2*(LN(Underlying/$H29)+(RiskFreeRate-DividendYield+0.5*CV29^2)*TimeToExpiration)/(CV29*TimeToExpiration^0.5), 0, 1, TRUE) - 
       $H29*EXP(-RiskFreeRate*TimeToExpiration)*_xlfn.NORM.DIST(CX$2*(LN(Underlying/$H29)+(RiskFreeRate-DividendYield-0.5*CV29^2)*TimeToExpiration)/(CV29*TimeToExpiration^0.5), 0, 1, TRUE)
)</f>
        <v>2.041095689</v>
      </c>
      <c r="CY29" s="40">
        <f t="shared" si="50"/>
        <v>0.3734496613</v>
      </c>
      <c r="CZ29" s="8">
        <f>CZ$2*(Underlying*EXP(-DividendYield*TimeToExpiration)*_xlfn.NORM.DIST(CZ$2*(LN(Underlying/$H29)+(RiskFreeRate-DividendYield+0.5*CY29^2)*TimeToExpiration)/(CY29*TimeToExpiration^0.5), 0, 1, TRUE) - 
       $H29*EXP(-RiskFreeRate*TimeToExpiration)*_xlfn.NORM.DIST(CZ$2*(LN(Underlying/$H29)+(RiskFreeRate-DividendYield-0.5*CY29^2)*TimeToExpiration)/(CY29*TimeToExpiration^0.5), 0, 1, TRUE)
)</f>
        <v>2.040468038</v>
      </c>
      <c r="DA29" s="40">
        <f t="shared" si="51"/>
        <v>0.3734039001</v>
      </c>
      <c r="DB29" s="40">
        <f t="shared" si="52"/>
        <v>0.3734496613</v>
      </c>
      <c r="DC29" s="7">
        <f>DC$2*(Underlying*EXP(-DividendYield*TimeToExpiration)*_xlfn.NORM.DIST(DC$2*(LN(Underlying/$H29)+(RiskFreeRate-DividendYield+0.5*DA29^2)*TimeToExpiration)/(DA29*TimeToExpiration^0.5), 0, 1, TRUE) - 
       $H29*EXP(-RiskFreeRate*TimeToExpiration)*_xlfn.NORM.DIST(DC$2*(LN(Underlying/$H29)+(RiskFreeRate-DividendYield-0.5*DA29^2)*TimeToExpiration)/(DA29*TimeToExpiration^0.5), 0, 1, TRUE)
)</f>
        <v>2.039840441</v>
      </c>
      <c r="DD29" s="7">
        <f>DD$2*(Underlying*EXP(-DividendYield*TimeToExpiration)*_xlfn.NORM.DIST(DD$2*(LN(Underlying/$H29)+(RiskFreeRate-DividendYield+0.5*DB29^2)*TimeToExpiration)/(DB29*TimeToExpiration^0.5), 0, 1, TRUE) - 
       $H29*EXP(-RiskFreeRate*TimeToExpiration)*_xlfn.NORM.DIST(DD$2*(LN(Underlying/$H29)+(RiskFreeRate-DividendYield-0.5*DB29^2)*TimeToExpiration)/(DB29*TimeToExpiration^0.5), 0, 1, TRUE)
)</f>
        <v>2.040468038</v>
      </c>
      <c r="DE29" s="40">
        <f t="shared" si="53"/>
        <v>0.3734267807</v>
      </c>
      <c r="DF29" s="8">
        <f>DF$2*(Underlying*EXP(-DividendYield*TimeToExpiration)*_xlfn.NORM.DIST(DF$2*(LN(Underlying/$H29)+(RiskFreeRate-DividendYield+0.5*DE29^2)*TimeToExpiration)/(DE29*TimeToExpiration^0.5), 0, 1, TRUE) - 
       $H29*EXP(-RiskFreeRate*TimeToExpiration)*_xlfn.NORM.DIST(DF$2*(LN(Underlying/$H29)+(RiskFreeRate-DividendYield-0.5*DE29^2)*TimeToExpiration)/(DE29*TimeToExpiration^0.5), 0, 1, TRUE)
)</f>
        <v>2.040154232</v>
      </c>
    </row>
    <row r="30">
      <c r="A30" s="20">
        <f>'Option Mkt Data'!A30</f>
        <v>357.5</v>
      </c>
      <c r="B30" s="35">
        <f t="shared" ref="B30:C30" si="77">DE30</f>
        <v>0.3772249527</v>
      </c>
      <c r="C30" s="7">
        <f t="shared" si="77"/>
        <v>1.64989073</v>
      </c>
      <c r="D30" s="7">
        <f t="shared" si="3"/>
        <v>0.0001093650743</v>
      </c>
      <c r="E30" s="9">
        <f t="shared" si="4"/>
        <v>0.00006628185943</v>
      </c>
      <c r="F30" s="36">
        <f>D30/'Option Mkt Data'!L30</f>
        <v>0.005468389333</v>
      </c>
      <c r="G30" s="5">
        <f>'Option Mkt Data'!J30</f>
        <v>1.650000095</v>
      </c>
      <c r="H30" s="33">
        <f>'Option Mkt Data'!A30</f>
        <v>357.5</v>
      </c>
      <c r="I30" s="37">
        <f>MinSolverVola</f>
        <v>0.001</v>
      </c>
      <c r="J30" s="38">
        <f>MaxSolverVola</f>
        <v>3</v>
      </c>
      <c r="K30" s="39">
        <f>K$2*(Underlying*EXP(-DividendYield*TimeToExpiration)*_xlfn.NORM.DIST(K$2*(LN(Underlying/$H30)+(RiskFreeRate-DividendYield+0.5*I30^2)*TimeToExpiration)/(I30*TimeToExpiration^0.5), 0, 1, TRUE) - 
       $H30*EXP(-RiskFreeRate*TimeToExpiration)*_xlfn.NORM.DIST(K$2*(LN(Underlying/$H30)+(RiskFreeRate-DividendYield-0.5*I30^2)*TimeToExpiration)/(I30*TimeToExpiration^0.5), 0, 1, TRUE)
)</f>
        <v>0</v>
      </c>
      <c r="L30" s="7">
        <f>L$2*(Underlying*EXP(-DividendYield*TimeToExpiration)*_xlfn.NORM.DIST(L$2*(LN(Underlying/$H30)+(RiskFreeRate-DividendYield+0.5*J30^2)*TimeToExpiration)/(J30*TimeToExpiration^0.5), 0, 1, TRUE) - 
       $H30*EXP(-RiskFreeRate*TimeToExpiration)*_xlfn.NORM.DIST(L$2*(LN(Underlying/$H30)+(RiskFreeRate-DividendYield-0.5*J30^2)*TimeToExpiration)/(J30*TimeToExpiration^0.5), 0, 1, TRUE)
)</f>
        <v>49.95185951</v>
      </c>
      <c r="M30" s="40">
        <f t="shared" si="5"/>
        <v>1.5005</v>
      </c>
      <c r="N30" s="8">
        <f>N$2*(Underlying*EXP(-DividendYield*TimeToExpiration)*_xlfn.NORM.DIST(N$2*(LN(Underlying/$H30)+(RiskFreeRate-DividendYield+0.5*M30^2)*TimeToExpiration)/(M30*TimeToExpiration^0.5), 0, 1, TRUE) - 
       $H30*EXP(-RiskFreeRate*TimeToExpiration)*_xlfn.NORM.DIST(N$2*(LN(Underlying/$H30)+(RiskFreeRate-DividendYield-0.5*M30^2)*TimeToExpiration)/(M30*TimeToExpiration^0.5), 0, 1, TRUE)
)</f>
        <v>21.31301932</v>
      </c>
      <c r="O30" s="41">
        <f t="shared" si="6"/>
        <v>0.001</v>
      </c>
      <c r="P30" s="40">
        <f t="shared" si="7"/>
        <v>1.5005</v>
      </c>
      <c r="Q30" s="7">
        <f>Q$2*(Underlying*EXP(-DividendYield*TimeToExpiration)*_xlfn.NORM.DIST(Q$2*(LN(Underlying/$H30)+(RiskFreeRate-DividendYield+0.5*O30^2)*TimeToExpiration)/(O30*TimeToExpiration^0.5), 0, 1, TRUE) - 
       $H30*EXP(-RiskFreeRate*TimeToExpiration)*_xlfn.NORM.DIST(Q$2*(LN(Underlying/$H30)+(RiskFreeRate-DividendYield-0.5*O30^2)*TimeToExpiration)/(O30*TimeToExpiration^0.5), 0, 1, TRUE))</f>
        <v>0</v>
      </c>
      <c r="R30" s="7">
        <f>R$2*(Underlying*EXP(-DividendYield*TimeToExpiration)*_xlfn.NORM.DIST(R$2*(LN(Underlying/$H30)+(RiskFreeRate-DividendYield+0.5*P30^2)*TimeToExpiration)/(P30*TimeToExpiration^0.5), 0, 1, TRUE) - 
       $H30*EXP(-RiskFreeRate*TimeToExpiration)*_xlfn.NORM.DIST(R$2*(LN(Underlying/$H30)+(RiskFreeRate-DividendYield-0.5*P30^2)*TimeToExpiration)/(P30*TimeToExpiration^0.5), 0, 1, TRUE)
)</f>
        <v>21.31301932</v>
      </c>
      <c r="S30" s="40">
        <f t="shared" si="8"/>
        <v>0.75075</v>
      </c>
      <c r="T30" s="8">
        <f>T$2*(Underlying*EXP(-DividendYield*TimeToExpiration)*_xlfn.NORM.DIST(T$2*(LN(Underlying/$H30)+(RiskFreeRate-DividendYield+0.5*S30^2)*TimeToExpiration)/(S30*TimeToExpiration^0.5), 0, 1, TRUE) - 
       $H30*EXP(-RiskFreeRate*TimeToExpiration)*_xlfn.NORM.DIST(T$2*(LN(Underlying/$H30)+(RiskFreeRate-DividendYield-0.5*S30^2)*TimeToExpiration)/(S30*TimeToExpiration^0.5), 0, 1, TRUE)
)</f>
        <v>7.473371829</v>
      </c>
      <c r="U30" s="41">
        <f t="shared" si="9"/>
        <v>0.001</v>
      </c>
      <c r="V30" s="40">
        <f t="shared" si="10"/>
        <v>0.75075</v>
      </c>
      <c r="W30" s="7">
        <f>W$2*(Underlying*EXP(-DividendYield*TimeToExpiration)*_xlfn.NORM.DIST(W$2*(LN(Underlying/$H30)+(RiskFreeRate-DividendYield+0.5*U30^2)*TimeToExpiration)/(U30*TimeToExpiration^0.5), 0, 1, TRUE) - 
       $H30*EXP(-RiskFreeRate*TimeToExpiration)*_xlfn.NORM.DIST(W$2*(LN(Underlying/$H30)+(RiskFreeRate-DividendYield-0.5*U30^2)*TimeToExpiration)/(U30*TimeToExpiration^0.5), 0, 1, TRUE)
)</f>
        <v>0</v>
      </c>
      <c r="X30" s="7">
        <f>X$2*(Underlying*EXP(-DividendYield*TimeToExpiration)*_xlfn.NORM.DIST(X$2*(LN(Underlying/$H30)+(RiskFreeRate-DividendYield+0.5*V30^2)*TimeToExpiration)/(V30*TimeToExpiration^0.5), 0, 1, TRUE) - 
       $H30*EXP(-RiskFreeRate*TimeToExpiration)*_xlfn.NORM.DIST(X$2*(LN(Underlying/$H30)+(RiskFreeRate-DividendYield-0.5*V30^2)*TimeToExpiration)/(V30*TimeToExpiration^0.5), 0, 1, TRUE)
)</f>
        <v>7.473371829</v>
      </c>
      <c r="Y30" s="40">
        <f t="shared" si="11"/>
        <v>0.375875</v>
      </c>
      <c r="Z30" s="8">
        <f>Z$2*(Underlying*EXP(-DividendYield*TimeToExpiration)*_xlfn.NORM.DIST(Z$2*(LN(Underlying/$H30)+(RiskFreeRate-DividendYield+0.5*Y30^2)*TimeToExpiration)/(Y30*TimeToExpiration^0.5), 0, 1, TRUE) - 
       $H30*EXP(-RiskFreeRate*TimeToExpiration)*_xlfn.NORM.DIST(Z$2*(LN(Underlying/$H30)+(RiskFreeRate-DividendYield-0.5*Y30^2)*TimeToExpiration)/(Y30*TimeToExpiration^0.5), 0, 1, TRUE)
)</f>
        <v>1.633296322</v>
      </c>
      <c r="AA30" s="40">
        <f t="shared" si="12"/>
        <v>0.375875</v>
      </c>
      <c r="AB30" s="40">
        <f t="shared" si="13"/>
        <v>0.75075</v>
      </c>
      <c r="AC30" s="7">
        <f>AC$2*(Underlying*EXP(-DividendYield*TimeToExpiration)*_xlfn.NORM.DIST(AC$2*(LN(Underlying/$H30)+(RiskFreeRate-DividendYield+0.5*AA30^2)*TimeToExpiration)/(AA30*TimeToExpiration^0.5), 0, 1, TRUE) - 
       $H30*EXP(-RiskFreeRate*TimeToExpiration)*_xlfn.NORM.DIST(AC$2*(LN(Underlying/$H30)+(RiskFreeRate-DividendYield-0.5*AA30^2)*TimeToExpiration)/(AA30*TimeToExpiration^0.5), 0, 1, TRUE)
)</f>
        <v>1.633296322</v>
      </c>
      <c r="AD30" s="7">
        <f>AD$2*(Underlying*EXP(-DividendYield*TimeToExpiration)*_xlfn.NORM.DIST(AD$2*(LN(Underlying/$H30)+(RiskFreeRate-DividendYield+0.5*AB30^2)*TimeToExpiration)/(AB30*TimeToExpiration^0.5), 0, 1, TRUE) - 
       $H30*EXP(-RiskFreeRate*TimeToExpiration)*_xlfn.NORM.DIST(AD$2*(LN(Underlying/$H30)+(RiskFreeRate-DividendYield-0.5*AB30^2)*TimeToExpiration)/(AB30*TimeToExpiration^0.5), 0, 1, TRUE)
)</f>
        <v>7.473371829</v>
      </c>
      <c r="AE30" s="40">
        <f t="shared" si="14"/>
        <v>0.5633125</v>
      </c>
      <c r="AF30" s="8">
        <f>AF$2*(Underlying*EXP(-DividendYield*TimeToExpiration)*_xlfn.NORM.DIST(AF$2*(LN(Underlying/$H30)+(RiskFreeRate-DividendYield+0.5*AE30^2)*TimeToExpiration)/(AE30*TimeToExpiration^0.5), 0, 1, TRUE) - 
       $H30*EXP(-RiskFreeRate*TimeToExpiration)*_xlfn.NORM.DIST(AF$2*(LN(Underlying/$H30)+(RiskFreeRate-DividendYield-0.5*AE30^2)*TimeToExpiration)/(AE30*TimeToExpiration^0.5), 0, 1, TRUE)
)</f>
        <v>4.32941408</v>
      </c>
      <c r="AG30" s="40">
        <f t="shared" si="15"/>
        <v>0.375875</v>
      </c>
      <c r="AH30" s="40">
        <f t="shared" si="16"/>
        <v>0.5633125</v>
      </c>
      <c r="AI30" s="7">
        <f>AI$2*(Underlying*EXP(-DividendYield*TimeToExpiration)*_xlfn.NORM.DIST(AI$2*(LN(Underlying/$H30)+(RiskFreeRate-DividendYield+0.5*AG30^2)*TimeToExpiration)/(AG30*TimeToExpiration^0.5), 0, 1, TRUE) - 
       $H30*EXP(-RiskFreeRate*TimeToExpiration)*_xlfn.NORM.DIST(AI$2*(LN(Underlying/$H30)+(RiskFreeRate-DividendYield-0.5*AG30^2)*TimeToExpiration)/(AG30*TimeToExpiration^0.5), 0, 1, TRUE)
)</f>
        <v>1.633296322</v>
      </c>
      <c r="AJ30" s="7">
        <f>AJ$2*(Underlying*EXP(-DividendYield*TimeToExpiration)*_xlfn.NORM.DIST(AJ$2*(LN(Underlying/$H30)+(RiskFreeRate-DividendYield+0.5*AH30^2)*TimeToExpiration)/(AH30*TimeToExpiration^0.5), 0, 1, TRUE) - 
       $H30*EXP(-RiskFreeRate*TimeToExpiration)*_xlfn.NORM.DIST(AJ$2*(LN(Underlying/$H30)+(RiskFreeRate-DividendYield-0.5*AH30^2)*TimeToExpiration)/(AH30*TimeToExpiration^0.5), 0, 1, TRUE)
)</f>
        <v>4.32941408</v>
      </c>
      <c r="AK30" s="40">
        <f t="shared" si="17"/>
        <v>0.46959375</v>
      </c>
      <c r="AL30" s="8">
        <f>AL$2*(Underlying*EXP(-DividendYield*TimeToExpiration)*_xlfn.NORM.DIST(AL$2*(LN(Underlying/$H30)+(RiskFreeRate-DividendYield+0.5*AK30^2)*TimeToExpiration)/(AK30*TimeToExpiration^0.5), 0, 1, TRUE) - 
       $H30*EXP(-RiskFreeRate*TimeToExpiration)*_xlfn.NORM.DIST(AL$2*(LN(Underlying/$H30)+(RiskFreeRate-DividendYield-0.5*AK30^2)*TimeToExpiration)/(AK30*TimeToExpiration^0.5), 0, 1, TRUE)
)</f>
        <v>2.897819722</v>
      </c>
      <c r="AM30" s="40">
        <f t="shared" si="18"/>
        <v>0.375875</v>
      </c>
      <c r="AN30" s="40">
        <f t="shared" si="19"/>
        <v>0.46959375</v>
      </c>
      <c r="AO30" s="7">
        <f>AO$2*(Underlying*EXP(-DividendYield*TimeToExpiration)*_xlfn.NORM.DIST(AO$2*(LN(Underlying/$H30)+(RiskFreeRate-DividendYield+0.5*AM30^2)*TimeToExpiration)/(AM30*TimeToExpiration^0.5), 0, 1, TRUE) - 
       $H30*EXP(-RiskFreeRate*TimeToExpiration)*_xlfn.NORM.DIST(AO$2*(LN(Underlying/$H30)+(RiskFreeRate-DividendYield-0.5*AM30^2)*TimeToExpiration)/(AM30*TimeToExpiration^0.5), 0, 1, TRUE)
)</f>
        <v>1.633296322</v>
      </c>
      <c r="AP30" s="7">
        <f>AP$2*(Underlying*EXP(-DividendYield*TimeToExpiration)*_xlfn.NORM.DIST(AP$2*(LN(Underlying/$H30)+(RiskFreeRate-DividendYield+0.5*AN30^2)*TimeToExpiration)/(AN30*TimeToExpiration^0.5), 0, 1, TRUE) - 
       $H30*EXP(-RiskFreeRate*TimeToExpiration)*_xlfn.NORM.DIST(AP$2*(LN(Underlying/$H30)+(RiskFreeRate-DividendYield-0.5*AN30^2)*TimeToExpiration)/(AN30*TimeToExpiration^0.5), 0, 1, TRUE)
)</f>
        <v>2.897819722</v>
      </c>
      <c r="AQ30" s="40">
        <f t="shared" si="20"/>
        <v>0.422734375</v>
      </c>
      <c r="AR30" s="8">
        <f>AR$2*(Underlying*EXP(-DividendYield*TimeToExpiration)*_xlfn.NORM.DIST(AR$2*(LN(Underlying/$H30)+(RiskFreeRate-DividendYield+0.5*AQ30^2)*TimeToExpiration)/(AQ30*TimeToExpiration^0.5), 0, 1, TRUE) - 
       $H30*EXP(-RiskFreeRate*TimeToExpiration)*_xlfn.NORM.DIST(AR$2*(LN(Underlying/$H30)+(RiskFreeRate-DividendYield-0.5*AQ30^2)*TimeToExpiration)/(AQ30*TimeToExpiration^0.5), 0, 1, TRUE)
)</f>
        <v>2.239309506</v>
      </c>
      <c r="AS30" s="40">
        <f t="shared" si="21"/>
        <v>0.375875</v>
      </c>
      <c r="AT30" s="40">
        <f t="shared" si="22"/>
        <v>0.422734375</v>
      </c>
      <c r="AU30" s="7">
        <f>AU$2*(Underlying*EXP(-DividendYield*TimeToExpiration)*_xlfn.NORM.DIST(AU$2*(LN(Underlying/$H30)+(RiskFreeRate-DividendYield+0.5*AS30^2)*TimeToExpiration)/(AS30*TimeToExpiration^0.5), 0, 1, TRUE) - 
       $H30*EXP(-RiskFreeRate*TimeToExpiration)*_xlfn.NORM.DIST(AU$2*(LN(Underlying/$H30)+(RiskFreeRate-DividendYield-0.5*AS30^2)*TimeToExpiration)/(AS30*TimeToExpiration^0.5), 0, 1, TRUE)
)</f>
        <v>1.633296322</v>
      </c>
      <c r="AV30" s="7">
        <f>AV$2*(Underlying*EXP(-DividendYield*TimeToExpiration)*_xlfn.NORM.DIST(AV$2*(LN(Underlying/$H30)+(RiskFreeRate-DividendYield+0.5*AT30^2)*TimeToExpiration)/(AT30*TimeToExpiration^0.5), 0, 1, TRUE) - 
       $H30*EXP(-RiskFreeRate*TimeToExpiration)*_xlfn.NORM.DIST(AV$2*(LN(Underlying/$H30)+(RiskFreeRate-DividendYield-0.5*AT30^2)*TimeToExpiration)/(AT30*TimeToExpiration^0.5), 0, 1, TRUE)
)</f>
        <v>2.239309506</v>
      </c>
      <c r="AW30" s="40">
        <f t="shared" si="23"/>
        <v>0.3993046875</v>
      </c>
      <c r="AX30" s="8">
        <f>AX$2*(Underlying*EXP(-DividendYield*TimeToExpiration)*_xlfn.NORM.DIST(AX$2*(LN(Underlying/$H30)+(RiskFreeRate-DividendYield+0.5*AW30^2)*TimeToExpiration)/(AW30*TimeToExpiration^0.5), 0, 1, TRUE) - 
       $H30*EXP(-RiskFreeRate*TimeToExpiration)*_xlfn.NORM.DIST(AX$2*(LN(Underlying/$H30)+(RiskFreeRate-DividendYield-0.5*AW30^2)*TimeToExpiration)/(AW30*TimeToExpiration^0.5), 0, 1, TRUE)
)</f>
        <v>1.928889494</v>
      </c>
      <c r="AY30" s="40">
        <f t="shared" si="24"/>
        <v>0.375875</v>
      </c>
      <c r="AZ30" s="40">
        <f t="shared" si="25"/>
        <v>0.3993046875</v>
      </c>
      <c r="BA30" s="7">
        <f>BA$2*(Underlying*EXP(-DividendYield*TimeToExpiration)*_xlfn.NORM.DIST(BA$2*(LN(Underlying/$H30)+(RiskFreeRate-DividendYield+0.5*AY30^2)*TimeToExpiration)/(AY30*TimeToExpiration^0.5), 0, 1, TRUE) - 
       $H30*EXP(-RiskFreeRate*TimeToExpiration)*_xlfn.NORM.DIST(BA$2*(LN(Underlying/$H30)+(RiskFreeRate-DividendYield-0.5*AY30^2)*TimeToExpiration)/(AY30*TimeToExpiration^0.5), 0, 1, TRUE)
)</f>
        <v>1.633296322</v>
      </c>
      <c r="BB30" s="7">
        <f>BB$2*(Underlying*EXP(-DividendYield*TimeToExpiration)*_xlfn.NORM.DIST(BB$2*(LN(Underlying/$H30)+(RiskFreeRate-DividendYield+0.5*AZ30^2)*TimeToExpiration)/(AZ30*TimeToExpiration^0.5), 0, 1, TRUE) - 
       $H30*EXP(-RiskFreeRate*TimeToExpiration)*_xlfn.NORM.DIST(BB$2*(LN(Underlying/$H30)+(RiskFreeRate-DividendYield-0.5*AZ30^2)*TimeToExpiration)/(AZ30*TimeToExpiration^0.5), 0, 1, TRUE)
)</f>
        <v>1.928889494</v>
      </c>
      <c r="BC30" s="40">
        <f t="shared" si="26"/>
        <v>0.3875898438</v>
      </c>
      <c r="BD30" s="8">
        <f>BD$2*(Underlying*EXP(-DividendYield*TimeToExpiration)*_xlfn.NORM.DIST(BD$2*(LN(Underlying/$H30)+(RiskFreeRate-DividendYield+0.5*BC30^2)*TimeToExpiration)/(BC30*TimeToExpiration^0.5), 0, 1, TRUE) - 
       $H30*EXP(-RiskFreeRate*TimeToExpiration)*_xlfn.NORM.DIST(BD$2*(LN(Underlying/$H30)+(RiskFreeRate-DividendYield-0.5*BC30^2)*TimeToExpiration)/(BC30*TimeToExpiration^0.5), 0, 1, TRUE)
)</f>
        <v>1.779119447</v>
      </c>
      <c r="BE30" s="40">
        <f t="shared" si="27"/>
        <v>0.375875</v>
      </c>
      <c r="BF30" s="40">
        <f t="shared" si="28"/>
        <v>0.3875898438</v>
      </c>
      <c r="BG30" s="7">
        <f>BG$2*(Underlying*EXP(-DividendYield*TimeToExpiration)*_xlfn.NORM.DIST(BG$2*(LN(Underlying/$H30)+(RiskFreeRate-DividendYield+0.5*BE30^2)*TimeToExpiration)/(BE30*TimeToExpiration^0.5), 0, 1, TRUE) - 
       $H30*EXP(-RiskFreeRate*TimeToExpiration)*_xlfn.NORM.DIST(BG$2*(LN(Underlying/$H30)+(RiskFreeRate-DividendYield-0.5*BE30^2)*TimeToExpiration)/(BE30*TimeToExpiration^0.5), 0, 1, TRUE)
)</f>
        <v>1.633296322</v>
      </c>
      <c r="BH30" s="7">
        <f>BH$2*(Underlying*EXP(-DividendYield*TimeToExpiration)*_xlfn.NORM.DIST(BH$2*(LN(Underlying/$H30)+(RiskFreeRate-DividendYield+0.5*BF30^2)*TimeToExpiration)/(BF30*TimeToExpiration^0.5), 0, 1, TRUE) - 
       $H30*EXP(-RiskFreeRate*TimeToExpiration)*_xlfn.NORM.DIST(BH$2*(LN(Underlying/$H30)+(RiskFreeRate-DividendYield-0.5*BF30^2)*TimeToExpiration)/(BF30*TimeToExpiration^0.5), 0, 1, TRUE)
)</f>
        <v>1.779119447</v>
      </c>
      <c r="BI30" s="40">
        <f t="shared" si="29"/>
        <v>0.3817324219</v>
      </c>
      <c r="BJ30" s="8">
        <f>BJ$2*(Underlying*EXP(-DividendYield*TimeToExpiration)*_xlfn.NORM.DIST(BJ$2*(LN(Underlying/$H30)+(RiskFreeRate-DividendYield+0.5*BI30^2)*TimeToExpiration)/(BI30*TimeToExpiration^0.5), 0, 1, TRUE) - 
       $H30*EXP(-RiskFreeRate*TimeToExpiration)*_xlfn.NORM.DIST(BJ$2*(LN(Underlying/$H30)+(RiskFreeRate-DividendYield-0.5*BI30^2)*TimeToExpiration)/(BI30*TimeToExpiration^0.5), 0, 1, TRUE)
)</f>
        <v>1.705698576</v>
      </c>
      <c r="BK30" s="40">
        <f t="shared" si="30"/>
        <v>0.375875</v>
      </c>
      <c r="BL30" s="40">
        <f t="shared" si="31"/>
        <v>0.3817324219</v>
      </c>
      <c r="BM30" s="7">
        <f>BM$2*(Underlying*EXP(-DividendYield*TimeToExpiration)*_xlfn.NORM.DIST(BM$2*(LN(Underlying/$H30)+(RiskFreeRate-DividendYield+0.5*BK30^2)*TimeToExpiration)/(BK30*TimeToExpiration^0.5), 0, 1, TRUE) - 
       $H30*EXP(-RiskFreeRate*TimeToExpiration)*_xlfn.NORM.DIST(BM$2*(LN(Underlying/$H30)+(RiskFreeRate-DividendYield-0.5*BK30^2)*TimeToExpiration)/(BK30*TimeToExpiration^0.5), 0, 1, TRUE)
)</f>
        <v>1.633296322</v>
      </c>
      <c r="BN30" s="7">
        <f>BN$2*(Underlying*EXP(-DividendYield*TimeToExpiration)*_xlfn.NORM.DIST(BN$2*(LN(Underlying/$H30)+(RiskFreeRate-DividendYield+0.5*BL30^2)*TimeToExpiration)/(BL30*TimeToExpiration^0.5), 0, 1, TRUE) - 
       $H30*EXP(-RiskFreeRate*TimeToExpiration)*_xlfn.NORM.DIST(BN$2*(LN(Underlying/$H30)+(RiskFreeRate-DividendYield-0.5*BL30^2)*TimeToExpiration)/(BL30*TimeToExpiration^0.5), 0, 1, TRUE)
)</f>
        <v>1.705698576</v>
      </c>
      <c r="BO30" s="40">
        <f t="shared" si="32"/>
        <v>0.3788037109</v>
      </c>
      <c r="BP30" s="8">
        <f>BP$2*(Underlying*EXP(-DividendYield*TimeToExpiration)*_xlfn.NORM.DIST(BP$2*(LN(Underlying/$H30)+(RiskFreeRate-DividendYield+0.5*BO30^2)*TimeToExpiration)/(BO30*TimeToExpiration^0.5), 0, 1, TRUE) - 
       $H30*EXP(-RiskFreeRate*TimeToExpiration)*_xlfn.NORM.DIST(BP$2*(LN(Underlying/$H30)+(RiskFreeRate-DividendYield-0.5*BO30^2)*TimeToExpiration)/(BO30*TimeToExpiration^0.5), 0, 1, TRUE)
)</f>
        <v>1.669368069</v>
      </c>
      <c r="BQ30" s="40">
        <f t="shared" si="33"/>
        <v>0.375875</v>
      </c>
      <c r="BR30" s="40">
        <f t="shared" si="34"/>
        <v>0.3788037109</v>
      </c>
      <c r="BS30" s="7">
        <f>BS$2*(Underlying*EXP(-DividendYield*TimeToExpiration)*_xlfn.NORM.DIST(BS$2*(LN(Underlying/$H30)+(RiskFreeRate-DividendYield+0.5*BQ30^2)*TimeToExpiration)/(BQ30*TimeToExpiration^0.5), 0, 1, TRUE) - 
       $H30*EXP(-RiskFreeRate*TimeToExpiration)*_xlfn.NORM.DIST(BS$2*(LN(Underlying/$H30)+(RiskFreeRate-DividendYield-0.5*BQ30^2)*TimeToExpiration)/(BQ30*TimeToExpiration^0.5), 0, 1, TRUE)
)</f>
        <v>1.633296322</v>
      </c>
      <c r="BT30" s="7">
        <f>BT$2*(Underlying*EXP(-DividendYield*TimeToExpiration)*_xlfn.NORM.DIST(BT$2*(LN(Underlying/$H30)+(RiskFreeRate-DividendYield+0.5*BR30^2)*TimeToExpiration)/(BR30*TimeToExpiration^0.5), 0, 1, TRUE) - 
       $H30*EXP(-RiskFreeRate*TimeToExpiration)*_xlfn.NORM.DIST(BT$2*(LN(Underlying/$H30)+(RiskFreeRate-DividendYield-0.5*BR30^2)*TimeToExpiration)/(BR30*TimeToExpiration^0.5), 0, 1, TRUE)
)</f>
        <v>1.669368069</v>
      </c>
      <c r="BU30" s="40">
        <f t="shared" si="35"/>
        <v>0.3773393555</v>
      </c>
      <c r="BV30" s="8">
        <f>BV$2*(Underlying*EXP(-DividendYield*TimeToExpiration)*_xlfn.NORM.DIST(BV$2*(LN(Underlying/$H30)+(RiskFreeRate-DividendYield+0.5*BU30^2)*TimeToExpiration)/(BU30*TimeToExpiration^0.5), 0, 1, TRUE) - 
       $H30*EXP(-RiskFreeRate*TimeToExpiration)*_xlfn.NORM.DIST(BV$2*(LN(Underlying/$H30)+(RiskFreeRate-DividendYield-0.5*BU30^2)*TimeToExpiration)/(BU30*TimeToExpiration^0.5), 0, 1, TRUE)
)</f>
        <v>1.65129959</v>
      </c>
      <c r="BW30" s="40">
        <f t="shared" si="36"/>
        <v>0.375875</v>
      </c>
      <c r="BX30" s="40">
        <f t="shared" si="37"/>
        <v>0.3773393555</v>
      </c>
      <c r="BY30" s="7">
        <f>BY$2*(Underlying*EXP(-DividendYield*TimeToExpiration)*_xlfn.NORM.DIST(BY$2*(LN(Underlying/$H30)+(RiskFreeRate-DividendYield+0.5*BW30^2)*TimeToExpiration)/(BW30*TimeToExpiration^0.5), 0, 1, TRUE) - 
       $H30*EXP(-RiskFreeRate*TimeToExpiration)*_xlfn.NORM.DIST(BY$2*(LN(Underlying/$H30)+(RiskFreeRate-DividendYield-0.5*BW30^2)*TimeToExpiration)/(BW30*TimeToExpiration^0.5), 0, 1, TRUE)
)</f>
        <v>1.633296322</v>
      </c>
      <c r="BZ30" s="7">
        <f>BZ$2*(Underlying*EXP(-DividendYield*TimeToExpiration)*_xlfn.NORM.DIST(BZ$2*(LN(Underlying/$H30)+(RiskFreeRate-DividendYield+0.5*BX30^2)*TimeToExpiration)/(BX30*TimeToExpiration^0.5), 0, 1, TRUE) - 
       $H30*EXP(-RiskFreeRate*TimeToExpiration)*_xlfn.NORM.DIST(BZ$2*(LN(Underlying/$H30)+(RiskFreeRate-DividendYield-0.5*BX30^2)*TimeToExpiration)/(BX30*TimeToExpiration^0.5), 0, 1, TRUE)
)</f>
        <v>1.65129959</v>
      </c>
      <c r="CA30" s="40">
        <f t="shared" si="38"/>
        <v>0.3766071777</v>
      </c>
      <c r="CB30" s="8">
        <f>CB$2*(Underlying*EXP(-DividendYield*TimeToExpiration)*_xlfn.NORM.DIST(CB$2*(LN(Underlying/$H30)+(RiskFreeRate-DividendYield+0.5*CA30^2)*TimeToExpiration)/(CA30*TimeToExpiration^0.5), 0, 1, TRUE) - 
       $H30*EXP(-RiskFreeRate*TimeToExpiration)*_xlfn.NORM.DIST(CB$2*(LN(Underlying/$H30)+(RiskFreeRate-DividendYield-0.5*CA30^2)*TimeToExpiration)/(CA30*TimeToExpiration^0.5), 0, 1, TRUE)
)</f>
        <v>1.642289772</v>
      </c>
      <c r="CC30" s="40">
        <f t="shared" si="39"/>
        <v>0.3766071777</v>
      </c>
      <c r="CD30" s="40">
        <f t="shared" si="40"/>
        <v>0.3773393555</v>
      </c>
      <c r="CE30" s="7">
        <f>CE$2*(Underlying*EXP(-DividendYield*TimeToExpiration)*_xlfn.NORM.DIST(CE$2*(LN(Underlying/$H30)+(RiskFreeRate-DividendYield+0.5*CC30^2)*TimeToExpiration)/(CC30*TimeToExpiration^0.5), 0, 1, TRUE) - 
       $H30*EXP(-RiskFreeRate*TimeToExpiration)*_xlfn.NORM.DIST(CE$2*(LN(Underlying/$H30)+(RiskFreeRate-DividendYield-0.5*CC30^2)*TimeToExpiration)/(CC30*TimeToExpiration^0.5), 0, 1, TRUE)
)</f>
        <v>1.642289772</v>
      </c>
      <c r="CF30" s="7">
        <f>CF$2*(Underlying*EXP(-DividendYield*TimeToExpiration)*_xlfn.NORM.DIST(CF$2*(LN(Underlying/$H30)+(RiskFreeRate-DividendYield+0.5*CD30^2)*TimeToExpiration)/(CD30*TimeToExpiration^0.5), 0, 1, TRUE) - 
       $H30*EXP(-RiskFreeRate*TimeToExpiration)*_xlfn.NORM.DIST(CF$2*(LN(Underlying/$H30)+(RiskFreeRate-DividendYield-0.5*CD30^2)*TimeToExpiration)/(CD30*TimeToExpiration^0.5), 0, 1, TRUE)
)</f>
        <v>1.65129959</v>
      </c>
      <c r="CG30" s="40">
        <f t="shared" si="41"/>
        <v>0.3769732666</v>
      </c>
      <c r="CH30" s="8">
        <f>CH$2*(Underlying*EXP(-DividendYield*TimeToExpiration)*_xlfn.NORM.DIST(CH$2*(LN(Underlying/$H30)+(RiskFreeRate-DividendYield+0.5*CG30^2)*TimeToExpiration)/(CG30*TimeToExpiration^0.5), 0, 1, TRUE) - 
       $H30*EXP(-RiskFreeRate*TimeToExpiration)*_xlfn.NORM.DIST(CH$2*(LN(Underlying/$H30)+(RiskFreeRate-DividendYield-0.5*CG30^2)*TimeToExpiration)/(CG30*TimeToExpiration^0.5), 0, 1, TRUE)
)</f>
        <v>1.646792639</v>
      </c>
      <c r="CI30" s="40">
        <f t="shared" si="42"/>
        <v>0.3769732666</v>
      </c>
      <c r="CJ30" s="40">
        <f t="shared" si="43"/>
        <v>0.3773393555</v>
      </c>
      <c r="CK30" s="7">
        <f>CK$2*(Underlying*EXP(-DividendYield*TimeToExpiration)*_xlfn.NORM.DIST(CK$2*(LN(Underlying/$H30)+(RiskFreeRate-DividendYield+0.5*CI30^2)*TimeToExpiration)/(CI30*TimeToExpiration^0.5), 0, 1, TRUE) - 
       $H30*EXP(-RiskFreeRate*TimeToExpiration)*_xlfn.NORM.DIST(CK$2*(LN(Underlying/$H30)+(RiskFreeRate-DividendYield-0.5*CI30^2)*TimeToExpiration)/(CI30*TimeToExpiration^0.5), 0, 1, TRUE)
)</f>
        <v>1.646792639</v>
      </c>
      <c r="CL30" s="7">
        <f>CL$2*(Underlying*EXP(-DividendYield*TimeToExpiration)*_xlfn.NORM.DIST(CL$2*(LN(Underlying/$H30)+(RiskFreeRate-DividendYield+0.5*CJ30^2)*TimeToExpiration)/(CJ30*TimeToExpiration^0.5), 0, 1, TRUE) - 
       $H30*EXP(-RiskFreeRate*TimeToExpiration)*_xlfn.NORM.DIST(CL$2*(LN(Underlying/$H30)+(RiskFreeRate-DividendYield-0.5*CJ30^2)*TimeToExpiration)/(CJ30*TimeToExpiration^0.5), 0, 1, TRUE)
)</f>
        <v>1.65129959</v>
      </c>
      <c r="CM30" s="40">
        <f t="shared" si="44"/>
        <v>0.377156311</v>
      </c>
      <c r="CN30" s="8">
        <f>CN$2*(Underlying*EXP(-DividendYield*TimeToExpiration)*_xlfn.NORM.DIST(CN$2*(LN(Underlying/$H30)+(RiskFreeRate-DividendYield+0.5*CM30^2)*TimeToExpiration)/(CM30*TimeToExpiration^0.5), 0, 1, TRUE) - 
       $H30*EXP(-RiskFreeRate*TimeToExpiration)*_xlfn.NORM.DIST(CN$2*(LN(Underlying/$H30)+(RiskFreeRate-DividendYield-0.5*CM30^2)*TimeToExpiration)/(CM30*TimeToExpiration^0.5), 0, 1, TRUE)
)</f>
        <v>1.649045605</v>
      </c>
      <c r="CO30" s="40">
        <f t="shared" si="45"/>
        <v>0.377156311</v>
      </c>
      <c r="CP30" s="40">
        <f t="shared" si="46"/>
        <v>0.3773393555</v>
      </c>
      <c r="CQ30" s="7">
        <f>CQ$2*(Underlying*EXP(-DividendYield*TimeToExpiration)*_xlfn.NORM.DIST(CQ$2*(LN(Underlying/$H30)+(RiskFreeRate-DividendYield+0.5*CO30^2)*TimeToExpiration)/(CO30*TimeToExpiration^0.5), 0, 1, TRUE) - 
       $H30*EXP(-RiskFreeRate*TimeToExpiration)*_xlfn.NORM.DIST(CQ$2*(LN(Underlying/$H30)+(RiskFreeRate-DividendYield-0.5*CO30^2)*TimeToExpiration)/(CO30*TimeToExpiration^0.5), 0, 1, TRUE)
)</f>
        <v>1.649045605</v>
      </c>
      <c r="CR30" s="7">
        <f>CR$2*(Underlying*EXP(-DividendYield*TimeToExpiration)*_xlfn.NORM.DIST(CR$2*(LN(Underlying/$H30)+(RiskFreeRate-DividendYield+0.5*CP30^2)*TimeToExpiration)/(CP30*TimeToExpiration^0.5), 0, 1, TRUE) - 
       $H30*EXP(-RiskFreeRate*TimeToExpiration)*_xlfn.NORM.DIST(CR$2*(LN(Underlying/$H30)+(RiskFreeRate-DividendYield-0.5*CP30^2)*TimeToExpiration)/(CP30*TimeToExpiration^0.5), 0, 1, TRUE)
)</f>
        <v>1.65129959</v>
      </c>
      <c r="CS30" s="40">
        <f t="shared" si="47"/>
        <v>0.3772478333</v>
      </c>
      <c r="CT30" s="8">
        <f>CT$2*(Underlying*EXP(-DividendYield*TimeToExpiration)*_xlfn.NORM.DIST(CT$2*(LN(Underlying/$H30)+(RiskFreeRate-DividendYield+0.5*CS30^2)*TimeToExpiration)/(CS30*TimeToExpiration^0.5), 0, 1, TRUE) - 
       $H30*EXP(-RiskFreeRate*TimeToExpiration)*_xlfn.NORM.DIST(CT$2*(LN(Underlying/$H30)+(RiskFreeRate-DividendYield-0.5*CS30^2)*TimeToExpiration)/(CS30*TimeToExpiration^0.5), 0, 1, TRUE)
)</f>
        <v>1.65017247</v>
      </c>
      <c r="CU30" s="40">
        <f t="shared" si="48"/>
        <v>0.377156311</v>
      </c>
      <c r="CV30" s="40">
        <f t="shared" si="49"/>
        <v>0.3772478333</v>
      </c>
      <c r="CW30" s="7">
        <f>CW$2*(Underlying*EXP(-DividendYield*TimeToExpiration)*_xlfn.NORM.DIST(CW$2*(LN(Underlying/$H30)+(RiskFreeRate-DividendYield+0.5*CU30^2)*TimeToExpiration)/(CU30*TimeToExpiration^0.5), 0, 1, TRUE) - 
       $H30*EXP(-RiskFreeRate*TimeToExpiration)*_xlfn.NORM.DIST(CW$2*(LN(Underlying/$H30)+(RiskFreeRate-DividendYield-0.5*CU30^2)*TimeToExpiration)/(CU30*TimeToExpiration^0.5), 0, 1, TRUE)
)</f>
        <v>1.649045605</v>
      </c>
      <c r="CX30" s="7">
        <f>CX$2*(Underlying*EXP(-DividendYield*TimeToExpiration)*_xlfn.NORM.DIST(CX$2*(LN(Underlying/$H30)+(RiskFreeRate-DividendYield+0.5*CV30^2)*TimeToExpiration)/(CV30*TimeToExpiration^0.5), 0, 1, TRUE) - 
       $H30*EXP(-RiskFreeRate*TimeToExpiration)*_xlfn.NORM.DIST(CX$2*(LN(Underlying/$H30)+(RiskFreeRate-DividendYield-0.5*CV30^2)*TimeToExpiration)/(CV30*TimeToExpiration^0.5), 0, 1, TRUE)
)</f>
        <v>1.65017247</v>
      </c>
      <c r="CY30" s="40">
        <f t="shared" si="50"/>
        <v>0.3772020721</v>
      </c>
      <c r="CZ30" s="8">
        <f>CZ$2*(Underlying*EXP(-DividendYield*TimeToExpiration)*_xlfn.NORM.DIST(CZ$2*(LN(Underlying/$H30)+(RiskFreeRate-DividendYield+0.5*CY30^2)*TimeToExpiration)/(CY30*TimeToExpiration^0.5), 0, 1, TRUE) - 
       $H30*EXP(-RiskFreeRate*TimeToExpiration)*_xlfn.NORM.DIST(CZ$2*(LN(Underlying/$H30)+(RiskFreeRate-DividendYield-0.5*CY30^2)*TimeToExpiration)/(CY30*TimeToExpiration^0.5), 0, 1, TRUE)
)</f>
        <v>1.649609006</v>
      </c>
      <c r="DA30" s="40">
        <f t="shared" si="51"/>
        <v>0.3772020721</v>
      </c>
      <c r="DB30" s="40">
        <f t="shared" si="52"/>
        <v>0.3772478333</v>
      </c>
      <c r="DC30" s="7">
        <f>DC$2*(Underlying*EXP(-DividendYield*TimeToExpiration)*_xlfn.NORM.DIST(DC$2*(LN(Underlying/$H30)+(RiskFreeRate-DividendYield+0.5*DA30^2)*TimeToExpiration)/(DA30*TimeToExpiration^0.5), 0, 1, TRUE) - 
       $H30*EXP(-RiskFreeRate*TimeToExpiration)*_xlfn.NORM.DIST(DC$2*(LN(Underlying/$H30)+(RiskFreeRate-DividendYield-0.5*DA30^2)*TimeToExpiration)/(DA30*TimeToExpiration^0.5), 0, 1, TRUE)
)</f>
        <v>1.649609006</v>
      </c>
      <c r="DD30" s="7">
        <f>DD$2*(Underlying*EXP(-DividendYield*TimeToExpiration)*_xlfn.NORM.DIST(DD$2*(LN(Underlying/$H30)+(RiskFreeRate-DividendYield+0.5*DB30^2)*TimeToExpiration)/(DB30*TimeToExpiration^0.5), 0, 1, TRUE) - 
       $H30*EXP(-RiskFreeRate*TimeToExpiration)*_xlfn.NORM.DIST(DD$2*(LN(Underlying/$H30)+(RiskFreeRate-DividendYield-0.5*DB30^2)*TimeToExpiration)/(DB30*TimeToExpiration^0.5), 0, 1, TRUE)
)</f>
        <v>1.65017247</v>
      </c>
      <c r="DE30" s="40">
        <f t="shared" si="53"/>
        <v>0.3772249527</v>
      </c>
      <c r="DF30" s="8">
        <f>DF$2*(Underlying*EXP(-DividendYield*TimeToExpiration)*_xlfn.NORM.DIST(DF$2*(LN(Underlying/$H30)+(RiskFreeRate-DividendYield+0.5*DE30^2)*TimeToExpiration)/(DE30*TimeToExpiration^0.5), 0, 1, TRUE) - 
       $H30*EXP(-RiskFreeRate*TimeToExpiration)*_xlfn.NORM.DIST(DF$2*(LN(Underlying/$H30)+(RiskFreeRate-DividendYield-0.5*DE30^2)*TimeToExpiration)/(DE30*TimeToExpiration^0.5), 0, 1, TRUE)
)</f>
        <v>1.64989073</v>
      </c>
    </row>
    <row r="31">
      <c r="A31" s="20">
        <f>'Option Mkt Data'!A31</f>
        <v>360</v>
      </c>
      <c r="B31" s="35">
        <f t="shared" ref="B31:C31" si="78">DE31</f>
        <v>0.3825332413</v>
      </c>
      <c r="C31" s="7">
        <f t="shared" si="78"/>
        <v>1.344990874</v>
      </c>
      <c r="D31" s="7">
        <f t="shared" si="3"/>
        <v>0.000009393395669</v>
      </c>
      <c r="E31" s="9">
        <f t="shared" si="4"/>
        <v>0.000006983935914</v>
      </c>
      <c r="F31" s="36">
        <f>D31/'Option Mkt Data'!L31</f>
        <v>0.0009393181504</v>
      </c>
      <c r="G31" s="5">
        <f>'Option Mkt Data'!J31</f>
        <v>1.345000267</v>
      </c>
      <c r="H31" s="33">
        <f>'Option Mkt Data'!A31</f>
        <v>360</v>
      </c>
      <c r="I31" s="37">
        <f>MinSolverVola</f>
        <v>0.001</v>
      </c>
      <c r="J31" s="38">
        <f>MaxSolverVola</f>
        <v>3</v>
      </c>
      <c r="K31" s="39">
        <f>K$2*(Underlying*EXP(-DividendYield*TimeToExpiration)*_xlfn.NORM.DIST(K$2*(LN(Underlying/$H31)+(RiskFreeRate-DividendYield+0.5*I31^2)*TimeToExpiration)/(I31*TimeToExpiration^0.5), 0, 1, TRUE) - 
       $H31*EXP(-RiskFreeRate*TimeToExpiration)*_xlfn.NORM.DIST(K$2*(LN(Underlying/$H31)+(RiskFreeRate-DividendYield-0.5*I31^2)*TimeToExpiration)/(I31*TimeToExpiration^0.5), 0, 1, TRUE)
)</f>
        <v>0</v>
      </c>
      <c r="L31" s="7">
        <f>L$2*(Underlying*EXP(-DividendYield*TimeToExpiration)*_xlfn.NORM.DIST(L$2*(LN(Underlying/$H31)+(RiskFreeRate-DividendYield+0.5*J31^2)*TimeToExpiration)/(J31*TimeToExpiration^0.5), 0, 1, TRUE) - 
       $H31*EXP(-RiskFreeRate*TimeToExpiration)*_xlfn.NORM.DIST(L$2*(LN(Underlying/$H31)+(RiskFreeRate-DividendYield-0.5*J31^2)*TimeToExpiration)/(J31*TimeToExpiration^0.5), 0, 1, TRUE)
)</f>
        <v>49.03702525</v>
      </c>
      <c r="M31" s="40">
        <f t="shared" si="5"/>
        <v>1.5005</v>
      </c>
      <c r="N31" s="8">
        <f>N$2*(Underlying*EXP(-DividendYield*TimeToExpiration)*_xlfn.NORM.DIST(N$2*(LN(Underlying/$H31)+(RiskFreeRate-DividendYield+0.5*M31^2)*TimeToExpiration)/(M31*TimeToExpiration^0.5), 0, 1, TRUE) - 
       $H31*EXP(-RiskFreeRate*TimeToExpiration)*_xlfn.NORM.DIST(N$2*(LN(Underlying/$H31)+(RiskFreeRate-DividendYield-0.5*M31^2)*TimeToExpiration)/(M31*TimeToExpiration^0.5), 0, 1, TRUE)
)</f>
        <v>20.4202311</v>
      </c>
      <c r="O31" s="41">
        <f t="shared" si="6"/>
        <v>0.001</v>
      </c>
      <c r="P31" s="40">
        <f t="shared" si="7"/>
        <v>1.5005</v>
      </c>
      <c r="Q31" s="7">
        <f>Q$2*(Underlying*EXP(-DividendYield*TimeToExpiration)*_xlfn.NORM.DIST(Q$2*(LN(Underlying/$H31)+(RiskFreeRate-DividendYield+0.5*O31^2)*TimeToExpiration)/(O31*TimeToExpiration^0.5), 0, 1, TRUE) - 
       $H31*EXP(-RiskFreeRate*TimeToExpiration)*_xlfn.NORM.DIST(Q$2*(LN(Underlying/$H31)+(RiskFreeRate-DividendYield-0.5*O31^2)*TimeToExpiration)/(O31*TimeToExpiration^0.5), 0, 1, TRUE))</f>
        <v>0</v>
      </c>
      <c r="R31" s="7">
        <f>R$2*(Underlying*EXP(-DividendYield*TimeToExpiration)*_xlfn.NORM.DIST(R$2*(LN(Underlying/$H31)+(RiskFreeRate-DividendYield+0.5*P31^2)*TimeToExpiration)/(P31*TimeToExpiration^0.5), 0, 1, TRUE) - 
       $H31*EXP(-RiskFreeRate*TimeToExpiration)*_xlfn.NORM.DIST(R$2*(LN(Underlying/$H31)+(RiskFreeRate-DividendYield-0.5*P31^2)*TimeToExpiration)/(P31*TimeToExpiration^0.5), 0, 1, TRUE)
)</f>
        <v>20.4202311</v>
      </c>
      <c r="S31" s="40">
        <f t="shared" si="8"/>
        <v>0.75075</v>
      </c>
      <c r="T31" s="8">
        <f>T$2*(Underlying*EXP(-DividendYield*TimeToExpiration)*_xlfn.NORM.DIST(T$2*(LN(Underlying/$H31)+(RiskFreeRate-DividendYield+0.5*S31^2)*TimeToExpiration)/(S31*TimeToExpiration^0.5), 0, 1, TRUE) - 
       $H31*EXP(-RiskFreeRate*TimeToExpiration)*_xlfn.NORM.DIST(T$2*(LN(Underlying/$H31)+(RiskFreeRate-DividendYield-0.5*S31^2)*TimeToExpiration)/(S31*TimeToExpiration^0.5), 0, 1, TRUE)
)</f>
        <v>6.764131844</v>
      </c>
      <c r="U31" s="41">
        <f t="shared" si="9"/>
        <v>0.001</v>
      </c>
      <c r="V31" s="40">
        <f t="shared" si="10"/>
        <v>0.75075</v>
      </c>
      <c r="W31" s="7">
        <f>W$2*(Underlying*EXP(-DividendYield*TimeToExpiration)*_xlfn.NORM.DIST(W$2*(LN(Underlying/$H31)+(RiskFreeRate-DividendYield+0.5*U31^2)*TimeToExpiration)/(U31*TimeToExpiration^0.5), 0, 1, TRUE) - 
       $H31*EXP(-RiskFreeRate*TimeToExpiration)*_xlfn.NORM.DIST(W$2*(LN(Underlying/$H31)+(RiskFreeRate-DividendYield-0.5*U31^2)*TimeToExpiration)/(U31*TimeToExpiration^0.5), 0, 1, TRUE)
)</f>
        <v>0</v>
      </c>
      <c r="X31" s="7">
        <f>X$2*(Underlying*EXP(-DividendYield*TimeToExpiration)*_xlfn.NORM.DIST(X$2*(LN(Underlying/$H31)+(RiskFreeRate-DividendYield+0.5*V31^2)*TimeToExpiration)/(V31*TimeToExpiration^0.5), 0, 1, TRUE) - 
       $H31*EXP(-RiskFreeRate*TimeToExpiration)*_xlfn.NORM.DIST(X$2*(LN(Underlying/$H31)+(RiskFreeRate-DividendYield-0.5*V31^2)*TimeToExpiration)/(V31*TimeToExpiration^0.5), 0, 1, TRUE)
)</f>
        <v>6.764131844</v>
      </c>
      <c r="Y31" s="40">
        <f t="shared" si="11"/>
        <v>0.375875</v>
      </c>
      <c r="Z31" s="8">
        <f>Z$2*(Underlying*EXP(-DividendYield*TimeToExpiration)*_xlfn.NORM.DIST(Z$2*(LN(Underlying/$H31)+(RiskFreeRate-DividendYield+0.5*Y31^2)*TimeToExpiration)/(Y31*TimeToExpiration^0.5), 0, 1, TRUE) - 
       $H31*EXP(-RiskFreeRate*TimeToExpiration)*_xlfn.NORM.DIST(Z$2*(LN(Underlying/$H31)+(RiskFreeRate-DividendYield-0.5*Y31^2)*TimeToExpiration)/(Y31*TimeToExpiration^0.5), 0, 1, TRUE)
)</f>
        <v>1.272640099</v>
      </c>
      <c r="AA31" s="40">
        <f t="shared" si="12"/>
        <v>0.375875</v>
      </c>
      <c r="AB31" s="40">
        <f t="shared" si="13"/>
        <v>0.75075</v>
      </c>
      <c r="AC31" s="7">
        <f>AC$2*(Underlying*EXP(-DividendYield*TimeToExpiration)*_xlfn.NORM.DIST(AC$2*(LN(Underlying/$H31)+(RiskFreeRate-DividendYield+0.5*AA31^2)*TimeToExpiration)/(AA31*TimeToExpiration^0.5), 0, 1, TRUE) - 
       $H31*EXP(-RiskFreeRate*TimeToExpiration)*_xlfn.NORM.DIST(AC$2*(LN(Underlying/$H31)+(RiskFreeRate-DividendYield-0.5*AA31^2)*TimeToExpiration)/(AA31*TimeToExpiration^0.5), 0, 1, TRUE)
)</f>
        <v>1.272640099</v>
      </c>
      <c r="AD31" s="7">
        <f>AD$2*(Underlying*EXP(-DividendYield*TimeToExpiration)*_xlfn.NORM.DIST(AD$2*(LN(Underlying/$H31)+(RiskFreeRate-DividendYield+0.5*AB31^2)*TimeToExpiration)/(AB31*TimeToExpiration^0.5), 0, 1, TRUE) - 
       $H31*EXP(-RiskFreeRate*TimeToExpiration)*_xlfn.NORM.DIST(AD$2*(LN(Underlying/$H31)+(RiskFreeRate-DividendYield-0.5*AB31^2)*TimeToExpiration)/(AB31*TimeToExpiration^0.5), 0, 1, TRUE)
)</f>
        <v>6.764131844</v>
      </c>
      <c r="AE31" s="40">
        <f t="shared" si="14"/>
        <v>0.5633125</v>
      </c>
      <c r="AF31" s="8">
        <f>AF$2*(Underlying*EXP(-DividendYield*TimeToExpiration)*_xlfn.NORM.DIST(AF$2*(LN(Underlying/$H31)+(RiskFreeRate-DividendYield+0.5*AE31^2)*TimeToExpiration)/(AE31*TimeToExpiration^0.5), 0, 1, TRUE) - 
       $H31*EXP(-RiskFreeRate*TimeToExpiration)*_xlfn.NORM.DIST(AF$2*(LN(Underlying/$H31)+(RiskFreeRate-DividendYield-0.5*AE31^2)*TimeToExpiration)/(AE31*TimeToExpiration^0.5), 0, 1, TRUE)
)</f>
        <v>3.748339446</v>
      </c>
      <c r="AG31" s="40">
        <f t="shared" si="15"/>
        <v>0.375875</v>
      </c>
      <c r="AH31" s="40">
        <f t="shared" si="16"/>
        <v>0.5633125</v>
      </c>
      <c r="AI31" s="7">
        <f>AI$2*(Underlying*EXP(-DividendYield*TimeToExpiration)*_xlfn.NORM.DIST(AI$2*(LN(Underlying/$H31)+(RiskFreeRate-DividendYield+0.5*AG31^2)*TimeToExpiration)/(AG31*TimeToExpiration^0.5), 0, 1, TRUE) - 
       $H31*EXP(-RiskFreeRate*TimeToExpiration)*_xlfn.NORM.DIST(AI$2*(LN(Underlying/$H31)+(RiskFreeRate-DividendYield-0.5*AG31^2)*TimeToExpiration)/(AG31*TimeToExpiration^0.5), 0, 1, TRUE)
)</f>
        <v>1.272640099</v>
      </c>
      <c r="AJ31" s="7">
        <f>AJ$2*(Underlying*EXP(-DividendYield*TimeToExpiration)*_xlfn.NORM.DIST(AJ$2*(LN(Underlying/$H31)+(RiskFreeRate-DividendYield+0.5*AH31^2)*TimeToExpiration)/(AH31*TimeToExpiration^0.5), 0, 1, TRUE) - 
       $H31*EXP(-RiskFreeRate*TimeToExpiration)*_xlfn.NORM.DIST(AJ$2*(LN(Underlying/$H31)+(RiskFreeRate-DividendYield-0.5*AH31^2)*TimeToExpiration)/(AH31*TimeToExpiration^0.5), 0, 1, TRUE)
)</f>
        <v>3.748339446</v>
      </c>
      <c r="AK31" s="40">
        <f t="shared" si="17"/>
        <v>0.46959375</v>
      </c>
      <c r="AL31" s="8">
        <f>AL$2*(Underlying*EXP(-DividendYield*TimeToExpiration)*_xlfn.NORM.DIST(AL$2*(LN(Underlying/$H31)+(RiskFreeRate-DividendYield+0.5*AK31^2)*TimeToExpiration)/(AK31*TimeToExpiration^0.5), 0, 1, TRUE) - 
       $H31*EXP(-RiskFreeRate*TimeToExpiration)*_xlfn.NORM.DIST(AL$2*(LN(Underlying/$H31)+(RiskFreeRate-DividendYield-0.5*AK31^2)*TimeToExpiration)/(AK31*TimeToExpiration^0.5), 0, 1, TRUE)
)</f>
        <v>2.411863175</v>
      </c>
      <c r="AM31" s="40">
        <f t="shared" si="18"/>
        <v>0.375875</v>
      </c>
      <c r="AN31" s="40">
        <f t="shared" si="19"/>
        <v>0.46959375</v>
      </c>
      <c r="AO31" s="7">
        <f>AO$2*(Underlying*EXP(-DividendYield*TimeToExpiration)*_xlfn.NORM.DIST(AO$2*(LN(Underlying/$H31)+(RiskFreeRate-DividendYield+0.5*AM31^2)*TimeToExpiration)/(AM31*TimeToExpiration^0.5), 0, 1, TRUE) - 
       $H31*EXP(-RiskFreeRate*TimeToExpiration)*_xlfn.NORM.DIST(AO$2*(LN(Underlying/$H31)+(RiskFreeRate-DividendYield-0.5*AM31^2)*TimeToExpiration)/(AM31*TimeToExpiration^0.5), 0, 1, TRUE)
)</f>
        <v>1.272640099</v>
      </c>
      <c r="AP31" s="7">
        <f>AP$2*(Underlying*EXP(-DividendYield*TimeToExpiration)*_xlfn.NORM.DIST(AP$2*(LN(Underlying/$H31)+(RiskFreeRate-DividendYield+0.5*AN31^2)*TimeToExpiration)/(AN31*TimeToExpiration^0.5), 0, 1, TRUE) - 
       $H31*EXP(-RiskFreeRate*TimeToExpiration)*_xlfn.NORM.DIST(AP$2*(LN(Underlying/$H31)+(RiskFreeRate-DividendYield-0.5*AN31^2)*TimeToExpiration)/(AN31*TimeToExpiration^0.5), 0, 1, TRUE)
)</f>
        <v>2.411863175</v>
      </c>
      <c r="AQ31" s="40">
        <f t="shared" si="20"/>
        <v>0.422734375</v>
      </c>
      <c r="AR31" s="8">
        <f>AR$2*(Underlying*EXP(-DividendYield*TimeToExpiration)*_xlfn.NORM.DIST(AR$2*(LN(Underlying/$H31)+(RiskFreeRate-DividendYield+0.5*AQ31^2)*TimeToExpiration)/(AQ31*TimeToExpiration^0.5), 0, 1, TRUE) - 
       $H31*EXP(-RiskFreeRate*TimeToExpiration)*_xlfn.NORM.DIST(AR$2*(LN(Underlying/$H31)+(RiskFreeRate-DividendYield-0.5*AQ31^2)*TimeToExpiration)/(AQ31*TimeToExpiration^0.5), 0, 1, TRUE)
)</f>
        <v>1.811799073</v>
      </c>
      <c r="AS31" s="40">
        <f t="shared" si="21"/>
        <v>0.375875</v>
      </c>
      <c r="AT31" s="40">
        <f t="shared" si="22"/>
        <v>0.422734375</v>
      </c>
      <c r="AU31" s="7">
        <f>AU$2*(Underlying*EXP(-DividendYield*TimeToExpiration)*_xlfn.NORM.DIST(AU$2*(LN(Underlying/$H31)+(RiskFreeRate-DividendYield+0.5*AS31^2)*TimeToExpiration)/(AS31*TimeToExpiration^0.5), 0, 1, TRUE) - 
       $H31*EXP(-RiskFreeRate*TimeToExpiration)*_xlfn.NORM.DIST(AU$2*(LN(Underlying/$H31)+(RiskFreeRate-DividendYield-0.5*AS31^2)*TimeToExpiration)/(AS31*TimeToExpiration^0.5), 0, 1, TRUE)
)</f>
        <v>1.272640099</v>
      </c>
      <c r="AV31" s="7">
        <f>AV$2*(Underlying*EXP(-DividendYield*TimeToExpiration)*_xlfn.NORM.DIST(AV$2*(LN(Underlying/$H31)+(RiskFreeRate-DividendYield+0.5*AT31^2)*TimeToExpiration)/(AT31*TimeToExpiration^0.5), 0, 1, TRUE) - 
       $H31*EXP(-RiskFreeRate*TimeToExpiration)*_xlfn.NORM.DIST(AV$2*(LN(Underlying/$H31)+(RiskFreeRate-DividendYield-0.5*AT31^2)*TimeToExpiration)/(AT31*TimeToExpiration^0.5), 0, 1, TRUE)
)</f>
        <v>1.811799073</v>
      </c>
      <c r="AW31" s="40">
        <f t="shared" si="23"/>
        <v>0.3993046875</v>
      </c>
      <c r="AX31" s="8">
        <f>AX$2*(Underlying*EXP(-DividendYield*TimeToExpiration)*_xlfn.NORM.DIST(AX$2*(LN(Underlying/$H31)+(RiskFreeRate-DividendYield+0.5*AW31^2)*TimeToExpiration)/(AW31*TimeToExpiration^0.5), 0, 1, TRUE) - 
       $H31*EXP(-RiskFreeRate*TimeToExpiration)*_xlfn.NORM.DIST(AX$2*(LN(Underlying/$H31)+(RiskFreeRate-DividendYield-0.5*AW31^2)*TimeToExpiration)/(AW31*TimeToExpiration^0.5), 0, 1, TRUE)
)</f>
        <v>1.533720373</v>
      </c>
      <c r="AY31" s="40">
        <f t="shared" si="24"/>
        <v>0.375875</v>
      </c>
      <c r="AZ31" s="40">
        <f t="shared" si="25"/>
        <v>0.3993046875</v>
      </c>
      <c r="BA31" s="7">
        <f>BA$2*(Underlying*EXP(-DividendYield*TimeToExpiration)*_xlfn.NORM.DIST(BA$2*(LN(Underlying/$H31)+(RiskFreeRate-DividendYield+0.5*AY31^2)*TimeToExpiration)/(AY31*TimeToExpiration^0.5), 0, 1, TRUE) - 
       $H31*EXP(-RiskFreeRate*TimeToExpiration)*_xlfn.NORM.DIST(BA$2*(LN(Underlying/$H31)+(RiskFreeRate-DividendYield-0.5*AY31^2)*TimeToExpiration)/(AY31*TimeToExpiration^0.5), 0, 1, TRUE)
)</f>
        <v>1.272640099</v>
      </c>
      <c r="BB31" s="7">
        <f>BB$2*(Underlying*EXP(-DividendYield*TimeToExpiration)*_xlfn.NORM.DIST(BB$2*(LN(Underlying/$H31)+(RiskFreeRate-DividendYield+0.5*AZ31^2)*TimeToExpiration)/(AZ31*TimeToExpiration^0.5), 0, 1, TRUE) - 
       $H31*EXP(-RiskFreeRate*TimeToExpiration)*_xlfn.NORM.DIST(BB$2*(LN(Underlying/$H31)+(RiskFreeRate-DividendYield-0.5*AZ31^2)*TimeToExpiration)/(AZ31*TimeToExpiration^0.5), 0, 1, TRUE)
)</f>
        <v>1.533720373</v>
      </c>
      <c r="BC31" s="40">
        <f t="shared" si="26"/>
        <v>0.3875898438</v>
      </c>
      <c r="BD31" s="8">
        <f>BD$2*(Underlying*EXP(-DividendYield*TimeToExpiration)*_xlfn.NORM.DIST(BD$2*(LN(Underlying/$H31)+(RiskFreeRate-DividendYield+0.5*BC31^2)*TimeToExpiration)/(BC31*TimeToExpiration^0.5), 0, 1, TRUE) - 
       $H31*EXP(-RiskFreeRate*TimeToExpiration)*_xlfn.NORM.DIST(BD$2*(LN(Underlying/$H31)+(RiskFreeRate-DividendYield-0.5*BC31^2)*TimeToExpiration)/(BC31*TimeToExpiration^0.5), 0, 1, TRUE)
)</f>
        <v>1.400933621</v>
      </c>
      <c r="BE31" s="40">
        <f t="shared" si="27"/>
        <v>0.375875</v>
      </c>
      <c r="BF31" s="40">
        <f t="shared" si="28"/>
        <v>0.3875898438</v>
      </c>
      <c r="BG31" s="7">
        <f>BG$2*(Underlying*EXP(-DividendYield*TimeToExpiration)*_xlfn.NORM.DIST(BG$2*(LN(Underlying/$H31)+(RiskFreeRate-DividendYield+0.5*BE31^2)*TimeToExpiration)/(BE31*TimeToExpiration^0.5), 0, 1, TRUE) - 
       $H31*EXP(-RiskFreeRate*TimeToExpiration)*_xlfn.NORM.DIST(BG$2*(LN(Underlying/$H31)+(RiskFreeRate-DividendYield-0.5*BE31^2)*TimeToExpiration)/(BE31*TimeToExpiration^0.5), 0, 1, TRUE)
)</f>
        <v>1.272640099</v>
      </c>
      <c r="BH31" s="7">
        <f>BH$2*(Underlying*EXP(-DividendYield*TimeToExpiration)*_xlfn.NORM.DIST(BH$2*(LN(Underlying/$H31)+(RiskFreeRate-DividendYield+0.5*BF31^2)*TimeToExpiration)/(BF31*TimeToExpiration^0.5), 0, 1, TRUE) - 
       $H31*EXP(-RiskFreeRate*TimeToExpiration)*_xlfn.NORM.DIST(BH$2*(LN(Underlying/$H31)+(RiskFreeRate-DividendYield-0.5*BF31^2)*TimeToExpiration)/(BF31*TimeToExpiration^0.5), 0, 1, TRUE)
)</f>
        <v>1.400933621</v>
      </c>
      <c r="BI31" s="40">
        <f t="shared" si="29"/>
        <v>0.3817324219</v>
      </c>
      <c r="BJ31" s="8">
        <f>BJ$2*(Underlying*EXP(-DividendYield*TimeToExpiration)*_xlfn.NORM.DIST(BJ$2*(LN(Underlying/$H31)+(RiskFreeRate-DividendYield+0.5*BI31^2)*TimeToExpiration)/(BI31*TimeToExpiration^0.5), 0, 1, TRUE) - 
       $H31*EXP(-RiskFreeRate*TimeToExpiration)*_xlfn.NORM.DIST(BJ$2*(LN(Underlying/$H31)+(RiskFreeRate-DividendYield-0.5*BI31^2)*TimeToExpiration)/(BI31*TimeToExpiration^0.5), 0, 1, TRUE)
)</f>
        <v>1.336209288</v>
      </c>
      <c r="BK31" s="40">
        <f t="shared" si="30"/>
        <v>0.3817324219</v>
      </c>
      <c r="BL31" s="40">
        <f t="shared" si="31"/>
        <v>0.3875898438</v>
      </c>
      <c r="BM31" s="7">
        <f>BM$2*(Underlying*EXP(-DividendYield*TimeToExpiration)*_xlfn.NORM.DIST(BM$2*(LN(Underlying/$H31)+(RiskFreeRate-DividendYield+0.5*BK31^2)*TimeToExpiration)/(BK31*TimeToExpiration^0.5), 0, 1, TRUE) - 
       $H31*EXP(-RiskFreeRate*TimeToExpiration)*_xlfn.NORM.DIST(BM$2*(LN(Underlying/$H31)+(RiskFreeRate-DividendYield-0.5*BK31^2)*TimeToExpiration)/(BK31*TimeToExpiration^0.5), 0, 1, TRUE)
)</f>
        <v>1.336209288</v>
      </c>
      <c r="BN31" s="7">
        <f>BN$2*(Underlying*EXP(-DividendYield*TimeToExpiration)*_xlfn.NORM.DIST(BN$2*(LN(Underlying/$H31)+(RiskFreeRate-DividendYield+0.5*BL31^2)*TimeToExpiration)/(BL31*TimeToExpiration^0.5), 0, 1, TRUE) - 
       $H31*EXP(-RiskFreeRate*TimeToExpiration)*_xlfn.NORM.DIST(BN$2*(LN(Underlying/$H31)+(RiskFreeRate-DividendYield-0.5*BL31^2)*TimeToExpiration)/(BL31*TimeToExpiration^0.5), 0, 1, TRUE)
)</f>
        <v>1.400933621</v>
      </c>
      <c r="BO31" s="40">
        <f t="shared" si="32"/>
        <v>0.3846611328</v>
      </c>
      <c r="BP31" s="8">
        <f>BP$2*(Underlying*EXP(-DividendYield*TimeToExpiration)*_xlfn.NORM.DIST(BP$2*(LN(Underlying/$H31)+(RiskFreeRate-DividendYield+0.5*BO31^2)*TimeToExpiration)/(BO31*TimeToExpiration^0.5), 0, 1, TRUE) - 
       $H31*EXP(-RiskFreeRate*TimeToExpiration)*_xlfn.NORM.DIST(BP$2*(LN(Underlying/$H31)+(RiskFreeRate-DividendYield-0.5*BO31^2)*TimeToExpiration)/(BO31*TimeToExpiration^0.5), 0, 1, TRUE)
)</f>
        <v>1.368429082</v>
      </c>
      <c r="BQ31" s="40">
        <f t="shared" si="33"/>
        <v>0.3817324219</v>
      </c>
      <c r="BR31" s="40">
        <f t="shared" si="34"/>
        <v>0.3846611328</v>
      </c>
      <c r="BS31" s="7">
        <f>BS$2*(Underlying*EXP(-DividendYield*TimeToExpiration)*_xlfn.NORM.DIST(BS$2*(LN(Underlying/$H31)+(RiskFreeRate-DividendYield+0.5*BQ31^2)*TimeToExpiration)/(BQ31*TimeToExpiration^0.5), 0, 1, TRUE) - 
       $H31*EXP(-RiskFreeRate*TimeToExpiration)*_xlfn.NORM.DIST(BS$2*(LN(Underlying/$H31)+(RiskFreeRate-DividendYield-0.5*BQ31^2)*TimeToExpiration)/(BQ31*TimeToExpiration^0.5), 0, 1, TRUE)
)</f>
        <v>1.336209288</v>
      </c>
      <c r="BT31" s="7">
        <f>BT$2*(Underlying*EXP(-DividendYield*TimeToExpiration)*_xlfn.NORM.DIST(BT$2*(LN(Underlying/$H31)+(RiskFreeRate-DividendYield+0.5*BR31^2)*TimeToExpiration)/(BR31*TimeToExpiration^0.5), 0, 1, TRUE) - 
       $H31*EXP(-RiskFreeRate*TimeToExpiration)*_xlfn.NORM.DIST(BT$2*(LN(Underlying/$H31)+(RiskFreeRate-DividendYield-0.5*BR31^2)*TimeToExpiration)/(BR31*TimeToExpiration^0.5), 0, 1, TRUE)
)</f>
        <v>1.368429082</v>
      </c>
      <c r="BU31" s="40">
        <f t="shared" si="35"/>
        <v>0.3831967773</v>
      </c>
      <c r="BV31" s="8">
        <f>BV$2*(Underlying*EXP(-DividendYield*TimeToExpiration)*_xlfn.NORM.DIST(BV$2*(LN(Underlying/$H31)+(RiskFreeRate-DividendYield+0.5*BU31^2)*TimeToExpiration)/(BU31*TimeToExpiration^0.5), 0, 1, TRUE) - 
       $H31*EXP(-RiskFreeRate*TimeToExpiration)*_xlfn.NORM.DIST(BV$2*(LN(Underlying/$H31)+(RiskFreeRate-DividendYield-0.5*BU31^2)*TimeToExpiration)/(BU31*TimeToExpiration^0.5), 0, 1, TRUE)
)</f>
        <v>1.352283341</v>
      </c>
      <c r="BW31" s="40">
        <f t="shared" si="36"/>
        <v>0.3817324219</v>
      </c>
      <c r="BX31" s="40">
        <f t="shared" si="37"/>
        <v>0.3831967773</v>
      </c>
      <c r="BY31" s="7">
        <f>BY$2*(Underlying*EXP(-DividendYield*TimeToExpiration)*_xlfn.NORM.DIST(BY$2*(LN(Underlying/$H31)+(RiskFreeRate-DividendYield+0.5*BW31^2)*TimeToExpiration)/(BW31*TimeToExpiration^0.5), 0, 1, TRUE) - 
       $H31*EXP(-RiskFreeRate*TimeToExpiration)*_xlfn.NORM.DIST(BY$2*(LN(Underlying/$H31)+(RiskFreeRate-DividendYield-0.5*BW31^2)*TimeToExpiration)/(BW31*TimeToExpiration^0.5), 0, 1, TRUE)
)</f>
        <v>1.336209288</v>
      </c>
      <c r="BZ31" s="7">
        <f>BZ$2*(Underlying*EXP(-DividendYield*TimeToExpiration)*_xlfn.NORM.DIST(BZ$2*(LN(Underlying/$H31)+(RiskFreeRate-DividendYield+0.5*BX31^2)*TimeToExpiration)/(BX31*TimeToExpiration^0.5), 0, 1, TRUE) - 
       $H31*EXP(-RiskFreeRate*TimeToExpiration)*_xlfn.NORM.DIST(BZ$2*(LN(Underlying/$H31)+(RiskFreeRate-DividendYield-0.5*BX31^2)*TimeToExpiration)/(BX31*TimeToExpiration^0.5), 0, 1, TRUE)
)</f>
        <v>1.352283341</v>
      </c>
      <c r="CA31" s="40">
        <f t="shared" si="38"/>
        <v>0.3824645996</v>
      </c>
      <c r="CB31" s="8">
        <f>CB$2*(Underlying*EXP(-DividendYield*TimeToExpiration)*_xlfn.NORM.DIST(CB$2*(LN(Underlying/$H31)+(RiskFreeRate-DividendYield+0.5*CA31^2)*TimeToExpiration)/(CA31*TimeToExpiration^0.5), 0, 1, TRUE) - 
       $H31*EXP(-RiskFreeRate*TimeToExpiration)*_xlfn.NORM.DIST(CB$2*(LN(Underlying/$H31)+(RiskFreeRate-DividendYield-0.5*CA31^2)*TimeToExpiration)/(CA31*TimeToExpiration^0.5), 0, 1, TRUE)
)</f>
        <v>1.344237322</v>
      </c>
      <c r="CC31" s="40">
        <f t="shared" si="39"/>
        <v>0.3824645996</v>
      </c>
      <c r="CD31" s="40">
        <f t="shared" si="40"/>
        <v>0.3831967773</v>
      </c>
      <c r="CE31" s="7">
        <f>CE$2*(Underlying*EXP(-DividendYield*TimeToExpiration)*_xlfn.NORM.DIST(CE$2*(LN(Underlying/$H31)+(RiskFreeRate-DividendYield+0.5*CC31^2)*TimeToExpiration)/(CC31*TimeToExpiration^0.5), 0, 1, TRUE) - 
       $H31*EXP(-RiskFreeRate*TimeToExpiration)*_xlfn.NORM.DIST(CE$2*(LN(Underlying/$H31)+(RiskFreeRate-DividendYield-0.5*CC31^2)*TimeToExpiration)/(CC31*TimeToExpiration^0.5), 0, 1, TRUE)
)</f>
        <v>1.344237322</v>
      </c>
      <c r="CF31" s="7">
        <f>CF$2*(Underlying*EXP(-DividendYield*TimeToExpiration)*_xlfn.NORM.DIST(CF$2*(LN(Underlying/$H31)+(RiskFreeRate-DividendYield+0.5*CD31^2)*TimeToExpiration)/(CD31*TimeToExpiration^0.5), 0, 1, TRUE) - 
       $H31*EXP(-RiskFreeRate*TimeToExpiration)*_xlfn.NORM.DIST(CF$2*(LN(Underlying/$H31)+(RiskFreeRate-DividendYield-0.5*CD31^2)*TimeToExpiration)/(CD31*TimeToExpiration^0.5), 0, 1, TRUE)
)</f>
        <v>1.352283341</v>
      </c>
      <c r="CG31" s="40">
        <f t="shared" si="41"/>
        <v>0.3828306885</v>
      </c>
      <c r="CH31" s="8">
        <f>CH$2*(Underlying*EXP(-DividendYield*TimeToExpiration)*_xlfn.NORM.DIST(CH$2*(LN(Underlying/$H31)+(RiskFreeRate-DividendYield+0.5*CG31^2)*TimeToExpiration)/(CG31*TimeToExpiration^0.5), 0, 1, TRUE) - 
       $H31*EXP(-RiskFreeRate*TimeToExpiration)*_xlfn.NORM.DIST(CH$2*(LN(Underlying/$H31)+(RiskFreeRate-DividendYield-0.5*CG31^2)*TimeToExpiration)/(CG31*TimeToExpiration^0.5), 0, 1, TRUE)
)</f>
        <v>1.348258088</v>
      </c>
      <c r="CI31" s="40">
        <f t="shared" si="42"/>
        <v>0.3824645996</v>
      </c>
      <c r="CJ31" s="40">
        <f t="shared" si="43"/>
        <v>0.3828306885</v>
      </c>
      <c r="CK31" s="7">
        <f>CK$2*(Underlying*EXP(-DividendYield*TimeToExpiration)*_xlfn.NORM.DIST(CK$2*(LN(Underlying/$H31)+(RiskFreeRate-DividendYield+0.5*CI31^2)*TimeToExpiration)/(CI31*TimeToExpiration^0.5), 0, 1, TRUE) - 
       $H31*EXP(-RiskFreeRate*TimeToExpiration)*_xlfn.NORM.DIST(CK$2*(LN(Underlying/$H31)+(RiskFreeRate-DividendYield-0.5*CI31^2)*TimeToExpiration)/(CI31*TimeToExpiration^0.5), 0, 1, TRUE)
)</f>
        <v>1.344237322</v>
      </c>
      <c r="CL31" s="7">
        <f>CL$2*(Underlying*EXP(-DividendYield*TimeToExpiration)*_xlfn.NORM.DIST(CL$2*(LN(Underlying/$H31)+(RiskFreeRate-DividendYield+0.5*CJ31^2)*TimeToExpiration)/(CJ31*TimeToExpiration^0.5), 0, 1, TRUE) - 
       $H31*EXP(-RiskFreeRate*TimeToExpiration)*_xlfn.NORM.DIST(CL$2*(LN(Underlying/$H31)+(RiskFreeRate-DividendYield-0.5*CJ31^2)*TimeToExpiration)/(CJ31*TimeToExpiration^0.5), 0, 1, TRUE)
)</f>
        <v>1.348258088</v>
      </c>
      <c r="CM31" s="40">
        <f t="shared" si="44"/>
        <v>0.382647644</v>
      </c>
      <c r="CN31" s="8">
        <f>CN$2*(Underlying*EXP(-DividendYield*TimeToExpiration)*_xlfn.NORM.DIST(CN$2*(LN(Underlying/$H31)+(RiskFreeRate-DividendYield+0.5*CM31^2)*TimeToExpiration)/(CM31*TimeToExpiration^0.5), 0, 1, TRUE) - 
       $H31*EXP(-RiskFreeRate*TimeToExpiration)*_xlfn.NORM.DIST(CN$2*(LN(Underlying/$H31)+(RiskFreeRate-DividendYield-0.5*CM31^2)*TimeToExpiration)/(CM31*TimeToExpiration^0.5), 0, 1, TRUE)
)</f>
        <v>1.346247143</v>
      </c>
      <c r="CO31" s="40">
        <f t="shared" si="45"/>
        <v>0.3824645996</v>
      </c>
      <c r="CP31" s="40">
        <f t="shared" si="46"/>
        <v>0.382647644</v>
      </c>
      <c r="CQ31" s="7">
        <f>CQ$2*(Underlying*EXP(-DividendYield*TimeToExpiration)*_xlfn.NORM.DIST(CQ$2*(LN(Underlying/$H31)+(RiskFreeRate-DividendYield+0.5*CO31^2)*TimeToExpiration)/(CO31*TimeToExpiration^0.5), 0, 1, TRUE) - 
       $H31*EXP(-RiskFreeRate*TimeToExpiration)*_xlfn.NORM.DIST(CQ$2*(LN(Underlying/$H31)+(RiskFreeRate-DividendYield-0.5*CO31^2)*TimeToExpiration)/(CO31*TimeToExpiration^0.5), 0, 1, TRUE)
)</f>
        <v>1.344237322</v>
      </c>
      <c r="CR31" s="7">
        <f>CR$2*(Underlying*EXP(-DividendYield*TimeToExpiration)*_xlfn.NORM.DIST(CR$2*(LN(Underlying/$H31)+(RiskFreeRate-DividendYield+0.5*CP31^2)*TimeToExpiration)/(CP31*TimeToExpiration^0.5), 0, 1, TRUE) - 
       $H31*EXP(-RiskFreeRate*TimeToExpiration)*_xlfn.NORM.DIST(CR$2*(LN(Underlying/$H31)+(RiskFreeRate-DividendYield-0.5*CP31^2)*TimeToExpiration)/(CP31*TimeToExpiration^0.5), 0, 1, TRUE)
)</f>
        <v>1.346247143</v>
      </c>
      <c r="CS31" s="40">
        <f t="shared" si="47"/>
        <v>0.3825561218</v>
      </c>
      <c r="CT31" s="8">
        <f>CT$2*(Underlying*EXP(-DividendYield*TimeToExpiration)*_xlfn.NORM.DIST(CT$2*(LN(Underlying/$H31)+(RiskFreeRate-DividendYield+0.5*CS31^2)*TimeToExpiration)/(CS31*TimeToExpiration^0.5), 0, 1, TRUE) - 
       $H31*EXP(-RiskFreeRate*TimeToExpiration)*_xlfn.NORM.DIST(CT$2*(LN(Underlying/$H31)+(RiskFreeRate-DividendYield-0.5*CS31^2)*TimeToExpiration)/(CS31*TimeToExpiration^0.5), 0, 1, TRUE)
)</f>
        <v>1.345242092</v>
      </c>
      <c r="CU31" s="40">
        <f t="shared" si="48"/>
        <v>0.3824645996</v>
      </c>
      <c r="CV31" s="40">
        <f t="shared" si="49"/>
        <v>0.3825561218</v>
      </c>
      <c r="CW31" s="7">
        <f>CW$2*(Underlying*EXP(-DividendYield*TimeToExpiration)*_xlfn.NORM.DIST(CW$2*(LN(Underlying/$H31)+(RiskFreeRate-DividendYield+0.5*CU31^2)*TimeToExpiration)/(CU31*TimeToExpiration^0.5), 0, 1, TRUE) - 
       $H31*EXP(-RiskFreeRate*TimeToExpiration)*_xlfn.NORM.DIST(CW$2*(LN(Underlying/$H31)+(RiskFreeRate-DividendYield-0.5*CU31^2)*TimeToExpiration)/(CU31*TimeToExpiration^0.5), 0, 1, TRUE)
)</f>
        <v>1.344237322</v>
      </c>
      <c r="CX31" s="7">
        <f>CX$2*(Underlying*EXP(-DividendYield*TimeToExpiration)*_xlfn.NORM.DIST(CX$2*(LN(Underlying/$H31)+(RiskFreeRate-DividendYield+0.5*CV31^2)*TimeToExpiration)/(CV31*TimeToExpiration^0.5), 0, 1, TRUE) - 
       $H31*EXP(-RiskFreeRate*TimeToExpiration)*_xlfn.NORM.DIST(CX$2*(LN(Underlying/$H31)+(RiskFreeRate-DividendYield-0.5*CV31^2)*TimeToExpiration)/(CV31*TimeToExpiration^0.5), 0, 1, TRUE)
)</f>
        <v>1.345242092</v>
      </c>
      <c r="CY31" s="40">
        <f t="shared" si="50"/>
        <v>0.3825103607</v>
      </c>
      <c r="CZ31" s="8">
        <f>CZ$2*(Underlying*EXP(-DividendYield*TimeToExpiration)*_xlfn.NORM.DIST(CZ$2*(LN(Underlying/$H31)+(RiskFreeRate-DividendYield+0.5*CY31^2)*TimeToExpiration)/(CY31*TimeToExpiration^0.5), 0, 1, TRUE) - 
       $H31*EXP(-RiskFreeRate*TimeToExpiration)*_xlfn.NORM.DIST(CZ$2*(LN(Underlying/$H31)+(RiskFreeRate-DividendYield-0.5*CY31^2)*TimeToExpiration)/(CY31*TimeToExpiration^0.5), 0, 1, TRUE)
)</f>
        <v>1.344739672</v>
      </c>
      <c r="DA31" s="40">
        <f t="shared" si="51"/>
        <v>0.3825103607</v>
      </c>
      <c r="DB31" s="40">
        <f t="shared" si="52"/>
        <v>0.3825561218</v>
      </c>
      <c r="DC31" s="7">
        <f>DC$2*(Underlying*EXP(-DividendYield*TimeToExpiration)*_xlfn.NORM.DIST(DC$2*(LN(Underlying/$H31)+(RiskFreeRate-DividendYield+0.5*DA31^2)*TimeToExpiration)/(DA31*TimeToExpiration^0.5), 0, 1, TRUE) - 
       $H31*EXP(-RiskFreeRate*TimeToExpiration)*_xlfn.NORM.DIST(DC$2*(LN(Underlying/$H31)+(RiskFreeRate-DividendYield-0.5*DA31^2)*TimeToExpiration)/(DA31*TimeToExpiration^0.5), 0, 1, TRUE)
)</f>
        <v>1.344739672</v>
      </c>
      <c r="DD31" s="7">
        <f>DD$2*(Underlying*EXP(-DividendYield*TimeToExpiration)*_xlfn.NORM.DIST(DD$2*(LN(Underlying/$H31)+(RiskFreeRate-DividendYield+0.5*DB31^2)*TimeToExpiration)/(DB31*TimeToExpiration^0.5), 0, 1, TRUE) - 
       $H31*EXP(-RiskFreeRate*TimeToExpiration)*_xlfn.NORM.DIST(DD$2*(LN(Underlying/$H31)+(RiskFreeRate-DividendYield-0.5*DB31^2)*TimeToExpiration)/(DB31*TimeToExpiration^0.5), 0, 1, TRUE)
)</f>
        <v>1.345242092</v>
      </c>
      <c r="DE31" s="40">
        <f t="shared" si="53"/>
        <v>0.3825332413</v>
      </c>
      <c r="DF31" s="8">
        <f>DF$2*(Underlying*EXP(-DividendYield*TimeToExpiration)*_xlfn.NORM.DIST(DF$2*(LN(Underlying/$H31)+(RiskFreeRate-DividendYield+0.5*DE31^2)*TimeToExpiration)/(DE31*TimeToExpiration^0.5), 0, 1, TRUE) - 
       $H31*EXP(-RiskFreeRate*TimeToExpiration)*_xlfn.NORM.DIST(DF$2*(LN(Underlying/$H31)+(RiskFreeRate-DividendYield-0.5*DE31^2)*TimeToExpiration)/(DE31*TimeToExpiration^0.5), 0, 1, TRUE)
)</f>
        <v>1.344990874</v>
      </c>
    </row>
    <row r="32">
      <c r="A32" s="20">
        <f>'Option Mkt Data'!A32</f>
        <v>362.5</v>
      </c>
      <c r="B32" s="35">
        <f t="shared" ref="B32:C32" si="79">DE32</f>
        <v>0.3883906631</v>
      </c>
      <c r="C32" s="7">
        <f t="shared" si="79"/>
        <v>1.099913324</v>
      </c>
      <c r="D32" s="7">
        <f t="shared" si="3"/>
        <v>0.00008658052375</v>
      </c>
      <c r="E32" s="9">
        <f t="shared" si="4"/>
        <v>0.00007870957385</v>
      </c>
      <c r="F32" s="36">
        <f>D32/'Option Mkt Data'!L32</f>
        <v>0.00432913355</v>
      </c>
      <c r="G32" s="5">
        <f>'Option Mkt Data'!J32</f>
        <v>1.099999905</v>
      </c>
      <c r="H32" s="33">
        <f>'Option Mkt Data'!A32</f>
        <v>362.5</v>
      </c>
      <c r="I32" s="37">
        <f>MinSolverVola</f>
        <v>0.001</v>
      </c>
      <c r="J32" s="38">
        <f>MaxSolverVola</f>
        <v>3</v>
      </c>
      <c r="K32" s="39">
        <f>K$2*(Underlying*EXP(-DividendYield*TimeToExpiration)*_xlfn.NORM.DIST(K$2*(LN(Underlying/$H32)+(RiskFreeRate-DividendYield+0.5*I32^2)*TimeToExpiration)/(I32*TimeToExpiration^0.5), 0, 1, TRUE) - 
       $H32*EXP(-RiskFreeRate*TimeToExpiration)*_xlfn.NORM.DIST(K$2*(LN(Underlying/$H32)+(RiskFreeRate-DividendYield-0.5*I32^2)*TimeToExpiration)/(I32*TimeToExpiration^0.5), 0, 1, TRUE)
)</f>
        <v>0</v>
      </c>
      <c r="L32" s="7">
        <f>L$2*(Underlying*EXP(-DividendYield*TimeToExpiration)*_xlfn.NORM.DIST(L$2*(LN(Underlying/$H32)+(RiskFreeRate-DividendYield+0.5*J32^2)*TimeToExpiration)/(J32*TimeToExpiration^0.5), 0, 1, TRUE) - 
       $H32*EXP(-RiskFreeRate*TimeToExpiration)*_xlfn.NORM.DIST(L$2*(LN(Underlying/$H32)+(RiskFreeRate-DividendYield-0.5*J32^2)*TimeToExpiration)/(J32*TimeToExpiration^0.5), 0, 1, TRUE)
)</f>
        <v>48.13753335</v>
      </c>
      <c r="M32" s="40">
        <f t="shared" si="5"/>
        <v>1.5005</v>
      </c>
      <c r="N32" s="8">
        <f>N$2*(Underlying*EXP(-DividendYield*TimeToExpiration)*_xlfn.NORM.DIST(N$2*(LN(Underlying/$H32)+(RiskFreeRate-DividendYield+0.5*M32^2)*TimeToExpiration)/(M32*TimeToExpiration^0.5), 0, 1, TRUE) - 
       $H32*EXP(-RiskFreeRate*TimeToExpiration)*_xlfn.NORM.DIST(N$2*(LN(Underlying/$H32)+(RiskFreeRate-DividendYield-0.5*M32^2)*TimeToExpiration)/(M32*TimeToExpiration^0.5), 0, 1, TRUE)
)</f>
        <v>19.5577616</v>
      </c>
      <c r="O32" s="41">
        <f t="shared" si="6"/>
        <v>0.001</v>
      </c>
      <c r="P32" s="40">
        <f t="shared" si="7"/>
        <v>1.5005</v>
      </c>
      <c r="Q32" s="7">
        <f>Q$2*(Underlying*EXP(-DividendYield*TimeToExpiration)*_xlfn.NORM.DIST(Q$2*(LN(Underlying/$H32)+(RiskFreeRate-DividendYield+0.5*O32^2)*TimeToExpiration)/(O32*TimeToExpiration^0.5), 0, 1, TRUE) - 
       $H32*EXP(-RiskFreeRate*TimeToExpiration)*_xlfn.NORM.DIST(Q$2*(LN(Underlying/$H32)+(RiskFreeRate-DividendYield-0.5*O32^2)*TimeToExpiration)/(O32*TimeToExpiration^0.5), 0, 1, TRUE))</f>
        <v>0</v>
      </c>
      <c r="R32" s="7">
        <f>R$2*(Underlying*EXP(-DividendYield*TimeToExpiration)*_xlfn.NORM.DIST(R$2*(LN(Underlying/$H32)+(RiskFreeRate-DividendYield+0.5*P32^2)*TimeToExpiration)/(P32*TimeToExpiration^0.5), 0, 1, TRUE) - 
       $H32*EXP(-RiskFreeRate*TimeToExpiration)*_xlfn.NORM.DIST(R$2*(LN(Underlying/$H32)+(RiskFreeRate-DividendYield-0.5*P32^2)*TimeToExpiration)/(P32*TimeToExpiration^0.5), 0, 1, TRUE)
)</f>
        <v>19.5577616</v>
      </c>
      <c r="S32" s="40">
        <f t="shared" si="8"/>
        <v>0.75075</v>
      </c>
      <c r="T32" s="8">
        <f>T$2*(Underlying*EXP(-DividendYield*TimeToExpiration)*_xlfn.NORM.DIST(T$2*(LN(Underlying/$H32)+(RiskFreeRate-DividendYield+0.5*S32^2)*TimeToExpiration)/(S32*TimeToExpiration^0.5), 0, 1, TRUE) - 
       $H32*EXP(-RiskFreeRate*TimeToExpiration)*_xlfn.NORM.DIST(T$2*(LN(Underlying/$H32)+(RiskFreeRate-DividendYield-0.5*S32^2)*TimeToExpiration)/(S32*TimeToExpiration^0.5), 0, 1, TRUE)
)</f>
        <v>6.109194682</v>
      </c>
      <c r="U32" s="41">
        <f t="shared" si="9"/>
        <v>0.001</v>
      </c>
      <c r="V32" s="40">
        <f t="shared" si="10"/>
        <v>0.75075</v>
      </c>
      <c r="W32" s="7">
        <f>W$2*(Underlying*EXP(-DividendYield*TimeToExpiration)*_xlfn.NORM.DIST(W$2*(LN(Underlying/$H32)+(RiskFreeRate-DividendYield+0.5*U32^2)*TimeToExpiration)/(U32*TimeToExpiration^0.5), 0, 1, TRUE) - 
       $H32*EXP(-RiskFreeRate*TimeToExpiration)*_xlfn.NORM.DIST(W$2*(LN(Underlying/$H32)+(RiskFreeRate-DividendYield-0.5*U32^2)*TimeToExpiration)/(U32*TimeToExpiration^0.5), 0, 1, TRUE)
)</f>
        <v>0</v>
      </c>
      <c r="X32" s="7">
        <f>X$2*(Underlying*EXP(-DividendYield*TimeToExpiration)*_xlfn.NORM.DIST(X$2*(LN(Underlying/$H32)+(RiskFreeRate-DividendYield+0.5*V32^2)*TimeToExpiration)/(V32*TimeToExpiration^0.5), 0, 1, TRUE) - 
       $H32*EXP(-RiskFreeRate*TimeToExpiration)*_xlfn.NORM.DIST(X$2*(LN(Underlying/$H32)+(RiskFreeRate-DividendYield-0.5*V32^2)*TimeToExpiration)/(V32*TimeToExpiration^0.5), 0, 1, TRUE)
)</f>
        <v>6.109194682</v>
      </c>
      <c r="Y32" s="40">
        <f t="shared" si="11"/>
        <v>0.375875</v>
      </c>
      <c r="Z32" s="8">
        <f>Z$2*(Underlying*EXP(-DividendYield*TimeToExpiration)*_xlfn.NORM.DIST(Z$2*(LN(Underlying/$H32)+(RiskFreeRate-DividendYield+0.5*Y32^2)*TimeToExpiration)/(Y32*TimeToExpiration^0.5), 0, 1, TRUE) - 
       $H32*EXP(-RiskFreeRate*TimeToExpiration)*_xlfn.NORM.DIST(Z$2*(LN(Underlying/$H32)+(RiskFreeRate-DividendYield-0.5*Y32^2)*TimeToExpiration)/(Y32*TimeToExpiration^0.5), 0, 1, TRUE)
)</f>
        <v>0.9810117861</v>
      </c>
      <c r="AA32" s="40">
        <f t="shared" si="12"/>
        <v>0.375875</v>
      </c>
      <c r="AB32" s="40">
        <f t="shared" si="13"/>
        <v>0.75075</v>
      </c>
      <c r="AC32" s="7">
        <f>AC$2*(Underlying*EXP(-DividendYield*TimeToExpiration)*_xlfn.NORM.DIST(AC$2*(LN(Underlying/$H32)+(RiskFreeRate-DividendYield+0.5*AA32^2)*TimeToExpiration)/(AA32*TimeToExpiration^0.5), 0, 1, TRUE) - 
       $H32*EXP(-RiskFreeRate*TimeToExpiration)*_xlfn.NORM.DIST(AC$2*(LN(Underlying/$H32)+(RiskFreeRate-DividendYield-0.5*AA32^2)*TimeToExpiration)/(AA32*TimeToExpiration^0.5), 0, 1, TRUE)
)</f>
        <v>0.9810117861</v>
      </c>
      <c r="AD32" s="7">
        <f>AD$2*(Underlying*EXP(-DividendYield*TimeToExpiration)*_xlfn.NORM.DIST(AD$2*(LN(Underlying/$H32)+(RiskFreeRate-DividendYield+0.5*AB32^2)*TimeToExpiration)/(AB32*TimeToExpiration^0.5), 0, 1, TRUE) - 
       $H32*EXP(-RiskFreeRate*TimeToExpiration)*_xlfn.NORM.DIST(AD$2*(LN(Underlying/$H32)+(RiskFreeRate-DividendYield-0.5*AB32^2)*TimeToExpiration)/(AB32*TimeToExpiration^0.5), 0, 1, TRUE)
)</f>
        <v>6.109194682</v>
      </c>
      <c r="AE32" s="40">
        <f t="shared" si="14"/>
        <v>0.5633125</v>
      </c>
      <c r="AF32" s="8">
        <f>AF$2*(Underlying*EXP(-DividendYield*TimeToExpiration)*_xlfn.NORM.DIST(AF$2*(LN(Underlying/$H32)+(RiskFreeRate-DividendYield+0.5*AE32^2)*TimeToExpiration)/(AE32*TimeToExpiration^0.5), 0, 1, TRUE) - 
       $H32*EXP(-RiskFreeRate*TimeToExpiration)*_xlfn.NORM.DIST(AF$2*(LN(Underlying/$H32)+(RiskFreeRate-DividendYield-0.5*AE32^2)*TimeToExpiration)/(AE32*TimeToExpiration^0.5), 0, 1, TRUE)
)</f>
        <v>3.231634186</v>
      </c>
      <c r="AG32" s="40">
        <f t="shared" si="15"/>
        <v>0.375875</v>
      </c>
      <c r="AH32" s="40">
        <f t="shared" si="16"/>
        <v>0.5633125</v>
      </c>
      <c r="AI32" s="7">
        <f>AI$2*(Underlying*EXP(-DividendYield*TimeToExpiration)*_xlfn.NORM.DIST(AI$2*(LN(Underlying/$H32)+(RiskFreeRate-DividendYield+0.5*AG32^2)*TimeToExpiration)/(AG32*TimeToExpiration^0.5), 0, 1, TRUE) - 
       $H32*EXP(-RiskFreeRate*TimeToExpiration)*_xlfn.NORM.DIST(AI$2*(LN(Underlying/$H32)+(RiskFreeRate-DividendYield-0.5*AG32^2)*TimeToExpiration)/(AG32*TimeToExpiration^0.5), 0, 1, TRUE)
)</f>
        <v>0.9810117861</v>
      </c>
      <c r="AJ32" s="7">
        <f>AJ$2*(Underlying*EXP(-DividendYield*TimeToExpiration)*_xlfn.NORM.DIST(AJ$2*(LN(Underlying/$H32)+(RiskFreeRate-DividendYield+0.5*AH32^2)*TimeToExpiration)/(AH32*TimeToExpiration^0.5), 0, 1, TRUE) - 
       $H32*EXP(-RiskFreeRate*TimeToExpiration)*_xlfn.NORM.DIST(AJ$2*(LN(Underlying/$H32)+(RiskFreeRate-DividendYield-0.5*AH32^2)*TimeToExpiration)/(AH32*TimeToExpiration^0.5), 0, 1, TRUE)
)</f>
        <v>3.231634186</v>
      </c>
      <c r="AK32" s="40">
        <f t="shared" si="17"/>
        <v>0.46959375</v>
      </c>
      <c r="AL32" s="8">
        <f>AL$2*(Underlying*EXP(-DividendYield*TimeToExpiration)*_xlfn.NORM.DIST(AL$2*(LN(Underlying/$H32)+(RiskFreeRate-DividendYield+0.5*AK32^2)*TimeToExpiration)/(AK32*TimeToExpiration^0.5), 0, 1, TRUE) - 
       $H32*EXP(-RiskFreeRate*TimeToExpiration)*_xlfn.NORM.DIST(AL$2*(LN(Underlying/$H32)+(RiskFreeRate-DividendYield-0.5*AK32^2)*TimeToExpiration)/(AK32*TimeToExpiration^0.5), 0, 1, TRUE)
)</f>
        <v>1.994531308</v>
      </c>
      <c r="AM32" s="40">
        <f t="shared" si="18"/>
        <v>0.375875</v>
      </c>
      <c r="AN32" s="40">
        <f t="shared" si="19"/>
        <v>0.46959375</v>
      </c>
      <c r="AO32" s="7">
        <f>AO$2*(Underlying*EXP(-DividendYield*TimeToExpiration)*_xlfn.NORM.DIST(AO$2*(LN(Underlying/$H32)+(RiskFreeRate-DividendYield+0.5*AM32^2)*TimeToExpiration)/(AM32*TimeToExpiration^0.5), 0, 1, TRUE) - 
       $H32*EXP(-RiskFreeRate*TimeToExpiration)*_xlfn.NORM.DIST(AO$2*(LN(Underlying/$H32)+(RiskFreeRate-DividendYield-0.5*AM32^2)*TimeToExpiration)/(AM32*TimeToExpiration^0.5), 0, 1, TRUE)
)</f>
        <v>0.9810117861</v>
      </c>
      <c r="AP32" s="7">
        <f>AP$2*(Underlying*EXP(-DividendYield*TimeToExpiration)*_xlfn.NORM.DIST(AP$2*(LN(Underlying/$H32)+(RiskFreeRate-DividendYield+0.5*AN32^2)*TimeToExpiration)/(AN32*TimeToExpiration^0.5), 0, 1, TRUE) - 
       $H32*EXP(-RiskFreeRate*TimeToExpiration)*_xlfn.NORM.DIST(AP$2*(LN(Underlying/$H32)+(RiskFreeRate-DividendYield-0.5*AN32^2)*TimeToExpiration)/(AN32*TimeToExpiration^0.5), 0, 1, TRUE)
)</f>
        <v>1.994531308</v>
      </c>
      <c r="AQ32" s="40">
        <f t="shared" si="20"/>
        <v>0.422734375</v>
      </c>
      <c r="AR32" s="8">
        <f>AR$2*(Underlying*EXP(-DividendYield*TimeToExpiration)*_xlfn.NORM.DIST(AR$2*(LN(Underlying/$H32)+(RiskFreeRate-DividendYield+0.5*AQ32^2)*TimeToExpiration)/(AQ32*TimeToExpiration^0.5), 0, 1, TRUE) - 
       $H32*EXP(-RiskFreeRate*TimeToExpiration)*_xlfn.NORM.DIST(AR$2*(LN(Underlying/$H32)+(RiskFreeRate-DividendYield-0.5*AQ32^2)*TimeToExpiration)/(AQ32*TimeToExpiration^0.5), 0, 1, TRUE)
)</f>
        <v>1.4539269</v>
      </c>
      <c r="AS32" s="40">
        <f t="shared" si="21"/>
        <v>0.375875</v>
      </c>
      <c r="AT32" s="40">
        <f t="shared" si="22"/>
        <v>0.422734375</v>
      </c>
      <c r="AU32" s="7">
        <f>AU$2*(Underlying*EXP(-DividendYield*TimeToExpiration)*_xlfn.NORM.DIST(AU$2*(LN(Underlying/$H32)+(RiskFreeRate-DividendYield+0.5*AS32^2)*TimeToExpiration)/(AS32*TimeToExpiration^0.5), 0, 1, TRUE) - 
       $H32*EXP(-RiskFreeRate*TimeToExpiration)*_xlfn.NORM.DIST(AU$2*(LN(Underlying/$H32)+(RiskFreeRate-DividendYield-0.5*AS32^2)*TimeToExpiration)/(AS32*TimeToExpiration^0.5), 0, 1, TRUE)
)</f>
        <v>0.9810117861</v>
      </c>
      <c r="AV32" s="7">
        <f>AV$2*(Underlying*EXP(-DividendYield*TimeToExpiration)*_xlfn.NORM.DIST(AV$2*(LN(Underlying/$H32)+(RiskFreeRate-DividendYield+0.5*AT32^2)*TimeToExpiration)/(AT32*TimeToExpiration^0.5), 0, 1, TRUE) - 
       $H32*EXP(-RiskFreeRate*TimeToExpiration)*_xlfn.NORM.DIST(AV$2*(LN(Underlying/$H32)+(RiskFreeRate-DividendYield-0.5*AT32^2)*TimeToExpiration)/(AT32*TimeToExpiration^0.5), 0, 1, TRUE)
)</f>
        <v>1.4539269</v>
      </c>
      <c r="AW32" s="40">
        <f t="shared" si="23"/>
        <v>0.3993046875</v>
      </c>
      <c r="AX32" s="8">
        <f>AX$2*(Underlying*EXP(-DividendYield*TimeToExpiration)*_xlfn.NORM.DIST(AX$2*(LN(Underlying/$H32)+(RiskFreeRate-DividendYield+0.5*AW32^2)*TimeToExpiration)/(AW32*TimeToExpiration^0.5), 0, 1, TRUE) - 
       $H32*EXP(-RiskFreeRate*TimeToExpiration)*_xlfn.NORM.DIST(AX$2*(LN(Underlying/$H32)+(RiskFreeRate-DividendYield-0.5*AW32^2)*TimeToExpiration)/(AW32*TimeToExpiration^0.5), 0, 1, TRUE)
)</f>
        <v>1.208148588</v>
      </c>
      <c r="AY32" s="40">
        <f t="shared" si="24"/>
        <v>0.375875</v>
      </c>
      <c r="AZ32" s="40">
        <f t="shared" si="25"/>
        <v>0.3993046875</v>
      </c>
      <c r="BA32" s="7">
        <f>BA$2*(Underlying*EXP(-DividendYield*TimeToExpiration)*_xlfn.NORM.DIST(BA$2*(LN(Underlying/$H32)+(RiskFreeRate-DividendYield+0.5*AY32^2)*TimeToExpiration)/(AY32*TimeToExpiration^0.5), 0, 1, TRUE) - 
       $H32*EXP(-RiskFreeRate*TimeToExpiration)*_xlfn.NORM.DIST(BA$2*(LN(Underlying/$H32)+(RiskFreeRate-DividendYield-0.5*AY32^2)*TimeToExpiration)/(AY32*TimeToExpiration^0.5), 0, 1, TRUE)
)</f>
        <v>0.9810117861</v>
      </c>
      <c r="BB32" s="7">
        <f>BB$2*(Underlying*EXP(-DividendYield*TimeToExpiration)*_xlfn.NORM.DIST(BB$2*(LN(Underlying/$H32)+(RiskFreeRate-DividendYield+0.5*AZ32^2)*TimeToExpiration)/(AZ32*TimeToExpiration^0.5), 0, 1, TRUE) - 
       $H32*EXP(-RiskFreeRate*TimeToExpiration)*_xlfn.NORM.DIST(BB$2*(LN(Underlying/$H32)+(RiskFreeRate-DividendYield-0.5*AZ32^2)*TimeToExpiration)/(AZ32*TimeToExpiration^0.5), 0, 1, TRUE)
)</f>
        <v>1.208148588</v>
      </c>
      <c r="BC32" s="40">
        <f t="shared" si="26"/>
        <v>0.3875898438</v>
      </c>
      <c r="BD32" s="8">
        <f>BD$2*(Underlying*EXP(-DividendYield*TimeToExpiration)*_xlfn.NORM.DIST(BD$2*(LN(Underlying/$H32)+(RiskFreeRate-DividendYield+0.5*BC32^2)*TimeToExpiration)/(BC32*TimeToExpiration^0.5), 0, 1, TRUE) - 
       $H32*EXP(-RiskFreeRate*TimeToExpiration)*_xlfn.NORM.DIST(BD$2*(LN(Underlying/$H32)+(RiskFreeRate-DividendYield-0.5*BC32^2)*TimeToExpiration)/(BC32*TimeToExpiration^0.5), 0, 1, TRUE)
)</f>
        <v>1.092135794</v>
      </c>
      <c r="BE32" s="40">
        <f t="shared" si="27"/>
        <v>0.3875898438</v>
      </c>
      <c r="BF32" s="40">
        <f t="shared" si="28"/>
        <v>0.3993046875</v>
      </c>
      <c r="BG32" s="7">
        <f>BG$2*(Underlying*EXP(-DividendYield*TimeToExpiration)*_xlfn.NORM.DIST(BG$2*(LN(Underlying/$H32)+(RiskFreeRate-DividendYield+0.5*BE32^2)*TimeToExpiration)/(BE32*TimeToExpiration^0.5), 0, 1, TRUE) - 
       $H32*EXP(-RiskFreeRate*TimeToExpiration)*_xlfn.NORM.DIST(BG$2*(LN(Underlying/$H32)+(RiskFreeRate-DividendYield-0.5*BE32^2)*TimeToExpiration)/(BE32*TimeToExpiration^0.5), 0, 1, TRUE)
)</f>
        <v>1.092135794</v>
      </c>
      <c r="BH32" s="7">
        <f>BH$2*(Underlying*EXP(-DividendYield*TimeToExpiration)*_xlfn.NORM.DIST(BH$2*(LN(Underlying/$H32)+(RiskFreeRate-DividendYield+0.5*BF32^2)*TimeToExpiration)/(BF32*TimeToExpiration^0.5), 0, 1, TRUE) - 
       $H32*EXP(-RiskFreeRate*TimeToExpiration)*_xlfn.NORM.DIST(BH$2*(LN(Underlying/$H32)+(RiskFreeRate-DividendYield-0.5*BF32^2)*TimeToExpiration)/(BF32*TimeToExpiration^0.5), 0, 1, TRUE)
)</f>
        <v>1.208148588</v>
      </c>
      <c r="BI32" s="40">
        <f t="shared" si="29"/>
        <v>0.3934472656</v>
      </c>
      <c r="BJ32" s="8">
        <f>BJ$2*(Underlying*EXP(-DividendYield*TimeToExpiration)*_xlfn.NORM.DIST(BJ$2*(LN(Underlying/$H32)+(RiskFreeRate-DividendYield+0.5*BI32^2)*TimeToExpiration)/(BI32*TimeToExpiration^0.5), 0, 1, TRUE) - 
       $H32*EXP(-RiskFreeRate*TimeToExpiration)*_xlfn.NORM.DIST(BJ$2*(LN(Underlying/$H32)+(RiskFreeRate-DividendYield-0.5*BI32^2)*TimeToExpiration)/(BI32*TimeToExpiration^0.5), 0, 1, TRUE)
)</f>
        <v>1.14954562</v>
      </c>
      <c r="BK32" s="40">
        <f t="shared" si="30"/>
        <v>0.3875898438</v>
      </c>
      <c r="BL32" s="40">
        <f t="shared" si="31"/>
        <v>0.3934472656</v>
      </c>
      <c r="BM32" s="7">
        <f>BM$2*(Underlying*EXP(-DividendYield*TimeToExpiration)*_xlfn.NORM.DIST(BM$2*(LN(Underlying/$H32)+(RiskFreeRate-DividendYield+0.5*BK32^2)*TimeToExpiration)/(BK32*TimeToExpiration^0.5), 0, 1, TRUE) - 
       $H32*EXP(-RiskFreeRate*TimeToExpiration)*_xlfn.NORM.DIST(BM$2*(LN(Underlying/$H32)+(RiskFreeRate-DividendYield-0.5*BK32^2)*TimeToExpiration)/(BK32*TimeToExpiration^0.5), 0, 1, TRUE)
)</f>
        <v>1.092135794</v>
      </c>
      <c r="BN32" s="7">
        <f>BN$2*(Underlying*EXP(-DividendYield*TimeToExpiration)*_xlfn.NORM.DIST(BN$2*(LN(Underlying/$H32)+(RiskFreeRate-DividendYield+0.5*BL32^2)*TimeToExpiration)/(BL32*TimeToExpiration^0.5), 0, 1, TRUE) - 
       $H32*EXP(-RiskFreeRate*TimeToExpiration)*_xlfn.NORM.DIST(BN$2*(LN(Underlying/$H32)+(RiskFreeRate-DividendYield-0.5*BL32^2)*TimeToExpiration)/(BL32*TimeToExpiration^0.5), 0, 1, TRUE)
)</f>
        <v>1.14954562</v>
      </c>
      <c r="BO32" s="40">
        <f t="shared" si="32"/>
        <v>0.3905185547</v>
      </c>
      <c r="BP32" s="8">
        <f>BP$2*(Underlying*EXP(-DividendYield*TimeToExpiration)*_xlfn.NORM.DIST(BP$2*(LN(Underlying/$H32)+(RiskFreeRate-DividendYield+0.5*BO32^2)*TimeToExpiration)/(BO32*TimeToExpiration^0.5), 0, 1, TRUE) - 
       $H32*EXP(-RiskFreeRate*TimeToExpiration)*_xlfn.NORM.DIST(BP$2*(LN(Underlying/$H32)+(RiskFreeRate-DividendYield-0.5*BO32^2)*TimeToExpiration)/(BO32*TimeToExpiration^0.5), 0, 1, TRUE)
)</f>
        <v>1.120689762</v>
      </c>
      <c r="BQ32" s="40">
        <f t="shared" si="33"/>
        <v>0.3875898438</v>
      </c>
      <c r="BR32" s="40">
        <f t="shared" si="34"/>
        <v>0.3905185547</v>
      </c>
      <c r="BS32" s="7">
        <f>BS$2*(Underlying*EXP(-DividendYield*TimeToExpiration)*_xlfn.NORM.DIST(BS$2*(LN(Underlying/$H32)+(RiskFreeRate-DividendYield+0.5*BQ32^2)*TimeToExpiration)/(BQ32*TimeToExpiration^0.5), 0, 1, TRUE) - 
       $H32*EXP(-RiskFreeRate*TimeToExpiration)*_xlfn.NORM.DIST(BS$2*(LN(Underlying/$H32)+(RiskFreeRate-DividendYield-0.5*BQ32^2)*TimeToExpiration)/(BQ32*TimeToExpiration^0.5), 0, 1, TRUE)
)</f>
        <v>1.092135794</v>
      </c>
      <c r="BT32" s="7">
        <f>BT$2*(Underlying*EXP(-DividendYield*TimeToExpiration)*_xlfn.NORM.DIST(BT$2*(LN(Underlying/$H32)+(RiskFreeRate-DividendYield+0.5*BR32^2)*TimeToExpiration)/(BR32*TimeToExpiration^0.5), 0, 1, TRUE) - 
       $H32*EXP(-RiskFreeRate*TimeToExpiration)*_xlfn.NORM.DIST(BT$2*(LN(Underlying/$H32)+(RiskFreeRate-DividendYield-0.5*BR32^2)*TimeToExpiration)/(BR32*TimeToExpiration^0.5), 0, 1, TRUE)
)</f>
        <v>1.120689762</v>
      </c>
      <c r="BU32" s="40">
        <f t="shared" si="35"/>
        <v>0.3890541992</v>
      </c>
      <c r="BV32" s="8">
        <f>BV$2*(Underlying*EXP(-DividendYield*TimeToExpiration)*_xlfn.NORM.DIST(BV$2*(LN(Underlying/$H32)+(RiskFreeRate-DividendYield+0.5*BU32^2)*TimeToExpiration)/(BU32*TimeToExpiration^0.5), 0, 1, TRUE) - 
       $H32*EXP(-RiskFreeRate*TimeToExpiration)*_xlfn.NORM.DIST(BV$2*(LN(Underlying/$H32)+(RiskFreeRate-DividendYield-0.5*BU32^2)*TimeToExpiration)/(BU32*TimeToExpiration^0.5), 0, 1, TRUE)
)</f>
        <v>1.106374816</v>
      </c>
      <c r="BW32" s="40">
        <f t="shared" si="36"/>
        <v>0.3875898438</v>
      </c>
      <c r="BX32" s="40">
        <f t="shared" si="37"/>
        <v>0.3890541992</v>
      </c>
      <c r="BY32" s="7">
        <f>BY$2*(Underlying*EXP(-DividendYield*TimeToExpiration)*_xlfn.NORM.DIST(BY$2*(LN(Underlying/$H32)+(RiskFreeRate-DividendYield+0.5*BW32^2)*TimeToExpiration)/(BW32*TimeToExpiration^0.5), 0, 1, TRUE) - 
       $H32*EXP(-RiskFreeRate*TimeToExpiration)*_xlfn.NORM.DIST(BY$2*(LN(Underlying/$H32)+(RiskFreeRate-DividendYield-0.5*BW32^2)*TimeToExpiration)/(BW32*TimeToExpiration^0.5), 0, 1, TRUE)
)</f>
        <v>1.092135794</v>
      </c>
      <c r="BZ32" s="7">
        <f>BZ$2*(Underlying*EXP(-DividendYield*TimeToExpiration)*_xlfn.NORM.DIST(BZ$2*(LN(Underlying/$H32)+(RiskFreeRate-DividendYield+0.5*BX32^2)*TimeToExpiration)/(BX32*TimeToExpiration^0.5), 0, 1, TRUE) - 
       $H32*EXP(-RiskFreeRate*TimeToExpiration)*_xlfn.NORM.DIST(BZ$2*(LN(Underlying/$H32)+(RiskFreeRate-DividendYield-0.5*BX32^2)*TimeToExpiration)/(BX32*TimeToExpiration^0.5), 0, 1, TRUE)
)</f>
        <v>1.106374816</v>
      </c>
      <c r="CA32" s="40">
        <f t="shared" si="38"/>
        <v>0.3883220215</v>
      </c>
      <c r="CB32" s="8">
        <f>CB$2*(Underlying*EXP(-DividendYield*TimeToExpiration)*_xlfn.NORM.DIST(CB$2*(LN(Underlying/$H32)+(RiskFreeRate-DividendYield+0.5*CA32^2)*TimeToExpiration)/(CA32*TimeToExpiration^0.5), 0, 1, TRUE) - 
       $H32*EXP(-RiskFreeRate*TimeToExpiration)*_xlfn.NORM.DIST(CB$2*(LN(Underlying/$H32)+(RiskFreeRate-DividendYield-0.5*CA32^2)*TimeToExpiration)/(CA32*TimeToExpiration^0.5), 0, 1, TRUE)
)</f>
        <v>1.099245786</v>
      </c>
      <c r="CC32" s="40">
        <f t="shared" si="39"/>
        <v>0.3883220215</v>
      </c>
      <c r="CD32" s="40">
        <f t="shared" si="40"/>
        <v>0.3890541992</v>
      </c>
      <c r="CE32" s="7">
        <f>CE$2*(Underlying*EXP(-DividendYield*TimeToExpiration)*_xlfn.NORM.DIST(CE$2*(LN(Underlying/$H32)+(RiskFreeRate-DividendYield+0.5*CC32^2)*TimeToExpiration)/(CC32*TimeToExpiration^0.5), 0, 1, TRUE) - 
       $H32*EXP(-RiskFreeRate*TimeToExpiration)*_xlfn.NORM.DIST(CE$2*(LN(Underlying/$H32)+(RiskFreeRate-DividendYield-0.5*CC32^2)*TimeToExpiration)/(CC32*TimeToExpiration^0.5), 0, 1, TRUE)
)</f>
        <v>1.099245786</v>
      </c>
      <c r="CF32" s="7">
        <f>CF$2*(Underlying*EXP(-DividendYield*TimeToExpiration)*_xlfn.NORM.DIST(CF$2*(LN(Underlying/$H32)+(RiskFreeRate-DividendYield+0.5*CD32^2)*TimeToExpiration)/(CD32*TimeToExpiration^0.5), 0, 1, TRUE) - 
       $H32*EXP(-RiskFreeRate*TimeToExpiration)*_xlfn.NORM.DIST(CF$2*(LN(Underlying/$H32)+(RiskFreeRate-DividendYield-0.5*CD32^2)*TimeToExpiration)/(CD32*TimeToExpiration^0.5), 0, 1, TRUE)
)</f>
        <v>1.106374816</v>
      </c>
      <c r="CG32" s="40">
        <f t="shared" si="41"/>
        <v>0.3886881104</v>
      </c>
      <c r="CH32" s="8">
        <f>CH$2*(Underlying*EXP(-DividendYield*TimeToExpiration)*_xlfn.NORM.DIST(CH$2*(LN(Underlying/$H32)+(RiskFreeRate-DividendYield+0.5*CG32^2)*TimeToExpiration)/(CG32*TimeToExpiration^0.5), 0, 1, TRUE) - 
       $H32*EXP(-RiskFreeRate*TimeToExpiration)*_xlfn.NORM.DIST(CH$2*(LN(Underlying/$H32)+(RiskFreeRate-DividendYield-0.5*CG32^2)*TimeToExpiration)/(CG32*TimeToExpiration^0.5), 0, 1, TRUE)
)</f>
        <v>1.102807924</v>
      </c>
      <c r="CI32" s="40">
        <f t="shared" si="42"/>
        <v>0.3883220215</v>
      </c>
      <c r="CJ32" s="40">
        <f t="shared" si="43"/>
        <v>0.3886881104</v>
      </c>
      <c r="CK32" s="7">
        <f>CK$2*(Underlying*EXP(-DividendYield*TimeToExpiration)*_xlfn.NORM.DIST(CK$2*(LN(Underlying/$H32)+(RiskFreeRate-DividendYield+0.5*CI32^2)*TimeToExpiration)/(CI32*TimeToExpiration^0.5), 0, 1, TRUE) - 
       $H32*EXP(-RiskFreeRate*TimeToExpiration)*_xlfn.NORM.DIST(CK$2*(LN(Underlying/$H32)+(RiskFreeRate-DividendYield-0.5*CI32^2)*TimeToExpiration)/(CI32*TimeToExpiration^0.5), 0, 1, TRUE)
)</f>
        <v>1.099245786</v>
      </c>
      <c r="CL32" s="7">
        <f>CL$2*(Underlying*EXP(-DividendYield*TimeToExpiration)*_xlfn.NORM.DIST(CL$2*(LN(Underlying/$H32)+(RiskFreeRate-DividendYield+0.5*CJ32^2)*TimeToExpiration)/(CJ32*TimeToExpiration^0.5), 0, 1, TRUE) - 
       $H32*EXP(-RiskFreeRate*TimeToExpiration)*_xlfn.NORM.DIST(CL$2*(LN(Underlying/$H32)+(RiskFreeRate-DividendYield-0.5*CJ32^2)*TimeToExpiration)/(CJ32*TimeToExpiration^0.5), 0, 1, TRUE)
)</f>
        <v>1.102807924</v>
      </c>
      <c r="CM32" s="40">
        <f t="shared" si="44"/>
        <v>0.3885050659</v>
      </c>
      <c r="CN32" s="8">
        <f>CN$2*(Underlying*EXP(-DividendYield*TimeToExpiration)*_xlfn.NORM.DIST(CN$2*(LN(Underlying/$H32)+(RiskFreeRate-DividendYield+0.5*CM32^2)*TimeToExpiration)/(CM32*TimeToExpiration^0.5), 0, 1, TRUE) - 
       $H32*EXP(-RiskFreeRate*TimeToExpiration)*_xlfn.NORM.DIST(CN$2*(LN(Underlying/$H32)+(RiskFreeRate-DividendYield-0.5*CM32^2)*TimeToExpiration)/(CM32*TimeToExpiration^0.5), 0, 1, TRUE)
)</f>
        <v>1.101026261</v>
      </c>
      <c r="CO32" s="40">
        <f t="shared" si="45"/>
        <v>0.3883220215</v>
      </c>
      <c r="CP32" s="40">
        <f t="shared" si="46"/>
        <v>0.3885050659</v>
      </c>
      <c r="CQ32" s="7">
        <f>CQ$2*(Underlying*EXP(-DividendYield*TimeToExpiration)*_xlfn.NORM.DIST(CQ$2*(LN(Underlying/$H32)+(RiskFreeRate-DividendYield+0.5*CO32^2)*TimeToExpiration)/(CO32*TimeToExpiration^0.5), 0, 1, TRUE) - 
       $H32*EXP(-RiskFreeRate*TimeToExpiration)*_xlfn.NORM.DIST(CQ$2*(LN(Underlying/$H32)+(RiskFreeRate-DividendYield-0.5*CO32^2)*TimeToExpiration)/(CO32*TimeToExpiration^0.5), 0, 1, TRUE)
)</f>
        <v>1.099245786</v>
      </c>
      <c r="CR32" s="7">
        <f>CR$2*(Underlying*EXP(-DividendYield*TimeToExpiration)*_xlfn.NORM.DIST(CR$2*(LN(Underlying/$H32)+(RiskFreeRate-DividendYield+0.5*CP32^2)*TimeToExpiration)/(CP32*TimeToExpiration^0.5), 0, 1, TRUE) - 
       $H32*EXP(-RiskFreeRate*TimeToExpiration)*_xlfn.NORM.DIST(CR$2*(LN(Underlying/$H32)+(RiskFreeRate-DividendYield-0.5*CP32^2)*TimeToExpiration)/(CP32*TimeToExpiration^0.5), 0, 1, TRUE)
)</f>
        <v>1.101026261</v>
      </c>
      <c r="CS32" s="40">
        <f t="shared" si="47"/>
        <v>0.3884135437</v>
      </c>
      <c r="CT32" s="8">
        <f>CT$2*(Underlying*EXP(-DividendYield*TimeToExpiration)*_xlfn.NORM.DIST(CT$2*(LN(Underlying/$H32)+(RiskFreeRate-DividendYield+0.5*CS32^2)*TimeToExpiration)/(CS32*TimeToExpiration^0.5), 0, 1, TRUE) - 
       $H32*EXP(-RiskFreeRate*TimeToExpiration)*_xlfn.NORM.DIST(CT$2*(LN(Underlying/$H32)+(RiskFreeRate-DividendYield-0.5*CS32^2)*TimeToExpiration)/(CS32*TimeToExpiration^0.5), 0, 1, TRUE)
)</f>
        <v>1.100135875</v>
      </c>
      <c r="CU32" s="40">
        <f t="shared" si="48"/>
        <v>0.3883220215</v>
      </c>
      <c r="CV32" s="40">
        <f t="shared" si="49"/>
        <v>0.3884135437</v>
      </c>
      <c r="CW32" s="7">
        <f>CW$2*(Underlying*EXP(-DividendYield*TimeToExpiration)*_xlfn.NORM.DIST(CW$2*(LN(Underlying/$H32)+(RiskFreeRate-DividendYield+0.5*CU32^2)*TimeToExpiration)/(CU32*TimeToExpiration^0.5), 0, 1, TRUE) - 
       $H32*EXP(-RiskFreeRate*TimeToExpiration)*_xlfn.NORM.DIST(CW$2*(LN(Underlying/$H32)+(RiskFreeRate-DividendYield-0.5*CU32^2)*TimeToExpiration)/(CU32*TimeToExpiration^0.5), 0, 1, TRUE)
)</f>
        <v>1.099245786</v>
      </c>
      <c r="CX32" s="7">
        <f>CX$2*(Underlying*EXP(-DividendYield*TimeToExpiration)*_xlfn.NORM.DIST(CX$2*(LN(Underlying/$H32)+(RiskFreeRate-DividendYield+0.5*CV32^2)*TimeToExpiration)/(CV32*TimeToExpiration^0.5), 0, 1, TRUE) - 
       $H32*EXP(-RiskFreeRate*TimeToExpiration)*_xlfn.NORM.DIST(CX$2*(LN(Underlying/$H32)+(RiskFreeRate-DividendYield-0.5*CV32^2)*TimeToExpiration)/(CV32*TimeToExpiration^0.5), 0, 1, TRUE)
)</f>
        <v>1.100135875</v>
      </c>
      <c r="CY32" s="40">
        <f t="shared" si="50"/>
        <v>0.3883677826</v>
      </c>
      <c r="CZ32" s="8">
        <f>CZ$2*(Underlying*EXP(-DividendYield*TimeToExpiration)*_xlfn.NORM.DIST(CZ$2*(LN(Underlying/$H32)+(RiskFreeRate-DividendYield+0.5*CY32^2)*TimeToExpiration)/(CY32*TimeToExpiration^0.5), 0, 1, TRUE) - 
       $H32*EXP(-RiskFreeRate*TimeToExpiration)*_xlfn.NORM.DIST(CZ$2*(LN(Underlying/$H32)+(RiskFreeRate-DividendYield-0.5*CY32^2)*TimeToExpiration)/(CY32*TimeToExpiration^0.5), 0, 1, TRUE)
)</f>
        <v>1.099690793</v>
      </c>
      <c r="DA32" s="40">
        <f t="shared" si="51"/>
        <v>0.3883677826</v>
      </c>
      <c r="DB32" s="40">
        <f t="shared" si="52"/>
        <v>0.3884135437</v>
      </c>
      <c r="DC32" s="7">
        <f>DC$2*(Underlying*EXP(-DividendYield*TimeToExpiration)*_xlfn.NORM.DIST(DC$2*(LN(Underlying/$H32)+(RiskFreeRate-DividendYield+0.5*DA32^2)*TimeToExpiration)/(DA32*TimeToExpiration^0.5), 0, 1, TRUE) - 
       $H32*EXP(-RiskFreeRate*TimeToExpiration)*_xlfn.NORM.DIST(DC$2*(LN(Underlying/$H32)+(RiskFreeRate-DividendYield-0.5*DA32^2)*TimeToExpiration)/(DA32*TimeToExpiration^0.5), 0, 1, TRUE)
)</f>
        <v>1.099690793</v>
      </c>
      <c r="DD32" s="7">
        <f>DD$2*(Underlying*EXP(-DividendYield*TimeToExpiration)*_xlfn.NORM.DIST(DD$2*(LN(Underlying/$H32)+(RiskFreeRate-DividendYield+0.5*DB32^2)*TimeToExpiration)/(DB32*TimeToExpiration^0.5), 0, 1, TRUE) - 
       $H32*EXP(-RiskFreeRate*TimeToExpiration)*_xlfn.NORM.DIST(DD$2*(LN(Underlying/$H32)+(RiskFreeRate-DividendYield-0.5*DB32^2)*TimeToExpiration)/(DB32*TimeToExpiration^0.5), 0, 1, TRUE)
)</f>
        <v>1.100135875</v>
      </c>
      <c r="DE32" s="40">
        <f t="shared" si="53"/>
        <v>0.3883906631</v>
      </c>
      <c r="DF32" s="8">
        <f>DF$2*(Underlying*EXP(-DividendYield*TimeToExpiration)*_xlfn.NORM.DIST(DF$2*(LN(Underlying/$H32)+(RiskFreeRate-DividendYield+0.5*DE32^2)*TimeToExpiration)/(DE32*TimeToExpiration^0.5), 0, 1, TRUE) - 
       $H32*EXP(-RiskFreeRate*TimeToExpiration)*_xlfn.NORM.DIST(DF$2*(LN(Underlying/$H32)+(RiskFreeRate-DividendYield-0.5*DE32^2)*TimeToExpiration)/(DE32*TimeToExpiration^0.5), 0, 1, TRUE)
)</f>
        <v>1.099913324</v>
      </c>
    </row>
    <row r="33">
      <c r="A33" s="20">
        <f>'Option Mkt Data'!A33</f>
        <v>365</v>
      </c>
      <c r="B33" s="35">
        <f t="shared" ref="B33:C33" si="80">DE33</f>
        <v>0.3949345016</v>
      </c>
      <c r="C33" s="7">
        <f t="shared" si="80"/>
        <v>0.9049536588</v>
      </c>
      <c r="D33" s="7">
        <f t="shared" si="3"/>
        <v>0.00004634223117</v>
      </c>
      <c r="E33" s="9">
        <f t="shared" si="4"/>
        <v>0.00005120688521</v>
      </c>
      <c r="F33" s="36">
        <f>D33/'Option Mkt Data'!L33</f>
        <v>0.004634199946</v>
      </c>
      <c r="G33" s="5">
        <f>'Option Mkt Data'!J33</f>
        <v>0.905000001</v>
      </c>
      <c r="H33" s="33">
        <f>'Option Mkt Data'!A33</f>
        <v>365</v>
      </c>
      <c r="I33" s="37">
        <f>MinSolverVola</f>
        <v>0.001</v>
      </c>
      <c r="J33" s="38">
        <f>MaxSolverVola</f>
        <v>3</v>
      </c>
      <c r="K33" s="39">
        <f>K$2*(Underlying*EXP(-DividendYield*TimeToExpiration)*_xlfn.NORM.DIST(K$2*(LN(Underlying/$H33)+(RiskFreeRate-DividendYield+0.5*I33^2)*TimeToExpiration)/(I33*TimeToExpiration^0.5), 0, 1, TRUE) - 
       $H33*EXP(-RiskFreeRate*TimeToExpiration)*_xlfn.NORM.DIST(K$2*(LN(Underlying/$H33)+(RiskFreeRate-DividendYield-0.5*I33^2)*TimeToExpiration)/(I33*TimeToExpiration^0.5), 0, 1, TRUE)
)</f>
        <v>0</v>
      </c>
      <c r="L33" s="7">
        <f>L$2*(Underlying*EXP(-DividendYield*TimeToExpiration)*_xlfn.NORM.DIST(L$2*(LN(Underlying/$H33)+(RiskFreeRate-DividendYield+0.5*J33^2)*TimeToExpiration)/(J33*TimeToExpiration^0.5), 0, 1, TRUE) - 
       $H33*EXP(-RiskFreeRate*TimeToExpiration)*_xlfn.NORM.DIST(L$2*(LN(Underlying/$H33)+(RiskFreeRate-DividendYield-0.5*J33^2)*TimeToExpiration)/(J33*TimeToExpiration^0.5), 0, 1, TRUE)
)</f>
        <v>47.25318924</v>
      </c>
      <c r="M33" s="40">
        <f t="shared" si="5"/>
        <v>1.5005</v>
      </c>
      <c r="N33" s="8">
        <f>N$2*(Underlying*EXP(-DividendYield*TimeToExpiration)*_xlfn.NORM.DIST(N$2*(LN(Underlying/$H33)+(RiskFreeRate-DividendYield+0.5*M33^2)*TimeToExpiration)/(M33*TimeToExpiration^0.5), 0, 1, TRUE) - 
       $H33*EXP(-RiskFreeRate*TimeToExpiration)*_xlfn.NORM.DIST(N$2*(LN(Underlying/$H33)+(RiskFreeRate-DividendYield-0.5*M33^2)*TimeToExpiration)/(M33*TimeToExpiration^0.5), 0, 1, TRUE)
)</f>
        <v>18.72501349</v>
      </c>
      <c r="O33" s="41">
        <f t="shared" si="6"/>
        <v>0.001</v>
      </c>
      <c r="P33" s="40">
        <f t="shared" si="7"/>
        <v>1.5005</v>
      </c>
      <c r="Q33" s="7">
        <f>Q$2*(Underlying*EXP(-DividendYield*TimeToExpiration)*_xlfn.NORM.DIST(Q$2*(LN(Underlying/$H33)+(RiskFreeRate-DividendYield+0.5*O33^2)*TimeToExpiration)/(O33*TimeToExpiration^0.5), 0, 1, TRUE) - 
       $H33*EXP(-RiskFreeRate*TimeToExpiration)*_xlfn.NORM.DIST(Q$2*(LN(Underlying/$H33)+(RiskFreeRate-DividendYield-0.5*O33^2)*TimeToExpiration)/(O33*TimeToExpiration^0.5), 0, 1, TRUE))</f>
        <v>0</v>
      </c>
      <c r="R33" s="7">
        <f>R$2*(Underlying*EXP(-DividendYield*TimeToExpiration)*_xlfn.NORM.DIST(R$2*(LN(Underlying/$H33)+(RiskFreeRate-DividendYield+0.5*P33^2)*TimeToExpiration)/(P33*TimeToExpiration^0.5), 0, 1, TRUE) - 
       $H33*EXP(-RiskFreeRate*TimeToExpiration)*_xlfn.NORM.DIST(R$2*(LN(Underlying/$H33)+(RiskFreeRate-DividendYield-0.5*P33^2)*TimeToExpiration)/(P33*TimeToExpiration^0.5), 0, 1, TRUE)
)</f>
        <v>18.72501349</v>
      </c>
      <c r="S33" s="40">
        <f t="shared" si="8"/>
        <v>0.75075</v>
      </c>
      <c r="T33" s="8">
        <f>T$2*(Underlying*EXP(-DividendYield*TimeToExpiration)*_xlfn.NORM.DIST(T$2*(LN(Underlying/$H33)+(RiskFreeRate-DividendYield+0.5*S33^2)*TimeToExpiration)/(S33*TimeToExpiration^0.5), 0, 1, TRUE) - 
       $H33*EXP(-RiskFreeRate*TimeToExpiration)*_xlfn.NORM.DIST(T$2*(LN(Underlying/$H33)+(RiskFreeRate-DividendYield-0.5*S33^2)*TimeToExpiration)/(S33*TimeToExpiration^0.5), 0, 1, TRUE)
)</f>
        <v>5.505995654</v>
      </c>
      <c r="U33" s="41">
        <f t="shared" si="9"/>
        <v>0.001</v>
      </c>
      <c r="V33" s="40">
        <f t="shared" si="10"/>
        <v>0.75075</v>
      </c>
      <c r="W33" s="7">
        <f>W$2*(Underlying*EXP(-DividendYield*TimeToExpiration)*_xlfn.NORM.DIST(W$2*(LN(Underlying/$H33)+(RiskFreeRate-DividendYield+0.5*U33^2)*TimeToExpiration)/(U33*TimeToExpiration^0.5), 0, 1, TRUE) - 
       $H33*EXP(-RiskFreeRate*TimeToExpiration)*_xlfn.NORM.DIST(W$2*(LN(Underlying/$H33)+(RiskFreeRate-DividendYield-0.5*U33^2)*TimeToExpiration)/(U33*TimeToExpiration^0.5), 0, 1, TRUE)
)</f>
        <v>0</v>
      </c>
      <c r="X33" s="7">
        <f>X$2*(Underlying*EXP(-DividendYield*TimeToExpiration)*_xlfn.NORM.DIST(X$2*(LN(Underlying/$H33)+(RiskFreeRate-DividendYield+0.5*V33^2)*TimeToExpiration)/(V33*TimeToExpiration^0.5), 0, 1, TRUE) - 
       $H33*EXP(-RiskFreeRate*TimeToExpiration)*_xlfn.NORM.DIST(X$2*(LN(Underlying/$H33)+(RiskFreeRate-DividendYield-0.5*V33^2)*TimeToExpiration)/(V33*TimeToExpiration^0.5), 0, 1, TRUE)
)</f>
        <v>5.505995654</v>
      </c>
      <c r="Y33" s="40">
        <f t="shared" si="11"/>
        <v>0.375875</v>
      </c>
      <c r="Z33" s="8">
        <f>Z$2*(Underlying*EXP(-DividendYield*TimeToExpiration)*_xlfn.NORM.DIST(Z$2*(LN(Underlying/$H33)+(RiskFreeRate-DividendYield+0.5*Y33^2)*TimeToExpiration)/(Y33*TimeToExpiration^0.5), 0, 1, TRUE) - 
       $H33*EXP(-RiskFreeRate*TimeToExpiration)*_xlfn.NORM.DIST(Z$2*(LN(Underlying/$H33)+(RiskFreeRate-DividendYield-0.5*Y33^2)*TimeToExpiration)/(Y33*TimeToExpiration^0.5), 0, 1, TRUE)
)</f>
        <v>0.7481065956</v>
      </c>
      <c r="AA33" s="40">
        <f t="shared" si="12"/>
        <v>0.375875</v>
      </c>
      <c r="AB33" s="40">
        <f t="shared" si="13"/>
        <v>0.75075</v>
      </c>
      <c r="AC33" s="7">
        <f>AC$2*(Underlying*EXP(-DividendYield*TimeToExpiration)*_xlfn.NORM.DIST(AC$2*(LN(Underlying/$H33)+(RiskFreeRate-DividendYield+0.5*AA33^2)*TimeToExpiration)/(AA33*TimeToExpiration^0.5), 0, 1, TRUE) - 
       $H33*EXP(-RiskFreeRate*TimeToExpiration)*_xlfn.NORM.DIST(AC$2*(LN(Underlying/$H33)+(RiskFreeRate-DividendYield-0.5*AA33^2)*TimeToExpiration)/(AA33*TimeToExpiration^0.5), 0, 1, TRUE)
)</f>
        <v>0.7481065956</v>
      </c>
      <c r="AD33" s="7">
        <f>AD$2*(Underlying*EXP(-DividendYield*TimeToExpiration)*_xlfn.NORM.DIST(AD$2*(LN(Underlying/$H33)+(RiskFreeRate-DividendYield+0.5*AB33^2)*TimeToExpiration)/(AB33*TimeToExpiration^0.5), 0, 1, TRUE) - 
       $H33*EXP(-RiskFreeRate*TimeToExpiration)*_xlfn.NORM.DIST(AD$2*(LN(Underlying/$H33)+(RiskFreeRate-DividendYield-0.5*AB33^2)*TimeToExpiration)/(AB33*TimeToExpiration^0.5), 0, 1, TRUE)
)</f>
        <v>5.505995654</v>
      </c>
      <c r="AE33" s="40">
        <f t="shared" si="14"/>
        <v>0.5633125</v>
      </c>
      <c r="AF33" s="8">
        <f>AF$2*(Underlying*EXP(-DividendYield*TimeToExpiration)*_xlfn.NORM.DIST(AF$2*(LN(Underlying/$H33)+(RiskFreeRate-DividendYield+0.5*AE33^2)*TimeToExpiration)/(AE33*TimeToExpiration^0.5), 0, 1, TRUE) - 
       $H33*EXP(-RiskFreeRate*TimeToExpiration)*_xlfn.NORM.DIST(AF$2*(LN(Underlying/$H33)+(RiskFreeRate-DividendYield-0.5*AE33^2)*TimeToExpiration)/(AE33*TimeToExpiration^0.5), 0, 1, TRUE)
)</f>
        <v>2.774477706</v>
      </c>
      <c r="AG33" s="40">
        <f t="shared" si="15"/>
        <v>0.375875</v>
      </c>
      <c r="AH33" s="40">
        <f t="shared" si="16"/>
        <v>0.5633125</v>
      </c>
      <c r="AI33" s="7">
        <f>AI$2*(Underlying*EXP(-DividendYield*TimeToExpiration)*_xlfn.NORM.DIST(AI$2*(LN(Underlying/$H33)+(RiskFreeRate-DividendYield+0.5*AG33^2)*TimeToExpiration)/(AG33*TimeToExpiration^0.5), 0, 1, TRUE) - 
       $H33*EXP(-RiskFreeRate*TimeToExpiration)*_xlfn.NORM.DIST(AI$2*(LN(Underlying/$H33)+(RiskFreeRate-DividendYield-0.5*AG33^2)*TimeToExpiration)/(AG33*TimeToExpiration^0.5), 0, 1, TRUE)
)</f>
        <v>0.7481065956</v>
      </c>
      <c r="AJ33" s="7">
        <f>AJ$2*(Underlying*EXP(-DividendYield*TimeToExpiration)*_xlfn.NORM.DIST(AJ$2*(LN(Underlying/$H33)+(RiskFreeRate-DividendYield+0.5*AH33^2)*TimeToExpiration)/(AH33*TimeToExpiration^0.5), 0, 1, TRUE) - 
       $H33*EXP(-RiskFreeRate*TimeToExpiration)*_xlfn.NORM.DIST(AJ$2*(LN(Underlying/$H33)+(RiskFreeRate-DividendYield-0.5*AH33^2)*TimeToExpiration)/(AH33*TimeToExpiration^0.5), 0, 1, TRUE)
)</f>
        <v>2.774477706</v>
      </c>
      <c r="AK33" s="40">
        <f t="shared" si="17"/>
        <v>0.46959375</v>
      </c>
      <c r="AL33" s="8">
        <f>AL$2*(Underlying*EXP(-DividendYield*TimeToExpiration)*_xlfn.NORM.DIST(AL$2*(LN(Underlying/$H33)+(RiskFreeRate-DividendYield+0.5*AK33^2)*TimeToExpiration)/(AK33*TimeToExpiration^0.5), 0, 1, TRUE) - 
       $H33*EXP(-RiskFreeRate*TimeToExpiration)*_xlfn.NORM.DIST(AL$2*(LN(Underlying/$H33)+(RiskFreeRate-DividendYield-0.5*AK33^2)*TimeToExpiration)/(AK33*TimeToExpiration^0.5), 0, 1, TRUE)
)</f>
        <v>1.638835453</v>
      </c>
      <c r="AM33" s="40">
        <f t="shared" si="18"/>
        <v>0.375875</v>
      </c>
      <c r="AN33" s="40">
        <f t="shared" si="19"/>
        <v>0.46959375</v>
      </c>
      <c r="AO33" s="7">
        <f>AO$2*(Underlying*EXP(-DividendYield*TimeToExpiration)*_xlfn.NORM.DIST(AO$2*(LN(Underlying/$H33)+(RiskFreeRate-DividendYield+0.5*AM33^2)*TimeToExpiration)/(AM33*TimeToExpiration^0.5), 0, 1, TRUE) - 
       $H33*EXP(-RiskFreeRate*TimeToExpiration)*_xlfn.NORM.DIST(AO$2*(LN(Underlying/$H33)+(RiskFreeRate-DividendYield-0.5*AM33^2)*TimeToExpiration)/(AM33*TimeToExpiration^0.5), 0, 1, TRUE)
)</f>
        <v>0.7481065956</v>
      </c>
      <c r="AP33" s="7">
        <f>AP$2*(Underlying*EXP(-DividendYield*TimeToExpiration)*_xlfn.NORM.DIST(AP$2*(LN(Underlying/$H33)+(RiskFreeRate-DividendYield+0.5*AN33^2)*TimeToExpiration)/(AN33*TimeToExpiration^0.5), 0, 1, TRUE) - 
       $H33*EXP(-RiskFreeRate*TimeToExpiration)*_xlfn.NORM.DIST(AP$2*(LN(Underlying/$H33)+(RiskFreeRate-DividendYield-0.5*AN33^2)*TimeToExpiration)/(AN33*TimeToExpiration^0.5), 0, 1, TRUE)
)</f>
        <v>1.638835453</v>
      </c>
      <c r="AQ33" s="40">
        <f t="shared" si="20"/>
        <v>0.422734375</v>
      </c>
      <c r="AR33" s="8">
        <f>AR$2*(Underlying*EXP(-DividendYield*TimeToExpiration)*_xlfn.NORM.DIST(AR$2*(LN(Underlying/$H33)+(RiskFreeRate-DividendYield+0.5*AQ33^2)*TimeToExpiration)/(AQ33*TimeToExpiration^0.5), 0, 1, TRUE) - 
       $H33*EXP(-RiskFreeRate*TimeToExpiration)*_xlfn.NORM.DIST(AR$2*(LN(Underlying/$H33)+(RiskFreeRate-DividendYield-0.5*AQ33^2)*TimeToExpiration)/(AQ33*TimeToExpiration^0.5), 0, 1, TRUE)
)</f>
        <v>1.157200051</v>
      </c>
      <c r="AS33" s="40">
        <f t="shared" si="21"/>
        <v>0.375875</v>
      </c>
      <c r="AT33" s="40">
        <f t="shared" si="22"/>
        <v>0.422734375</v>
      </c>
      <c r="AU33" s="7">
        <f>AU$2*(Underlying*EXP(-DividendYield*TimeToExpiration)*_xlfn.NORM.DIST(AU$2*(LN(Underlying/$H33)+(RiskFreeRate-DividendYield+0.5*AS33^2)*TimeToExpiration)/(AS33*TimeToExpiration^0.5), 0, 1, TRUE) - 
       $H33*EXP(-RiskFreeRate*TimeToExpiration)*_xlfn.NORM.DIST(AU$2*(LN(Underlying/$H33)+(RiskFreeRate-DividendYield-0.5*AS33^2)*TimeToExpiration)/(AS33*TimeToExpiration^0.5), 0, 1, TRUE)
)</f>
        <v>0.7481065956</v>
      </c>
      <c r="AV33" s="7">
        <f>AV$2*(Underlying*EXP(-DividendYield*TimeToExpiration)*_xlfn.NORM.DIST(AV$2*(LN(Underlying/$H33)+(RiskFreeRate-DividendYield+0.5*AT33^2)*TimeToExpiration)/(AT33*TimeToExpiration^0.5), 0, 1, TRUE) - 
       $H33*EXP(-RiskFreeRate*TimeToExpiration)*_xlfn.NORM.DIST(AV$2*(LN(Underlying/$H33)+(RiskFreeRate-DividendYield-0.5*AT33^2)*TimeToExpiration)/(AT33*TimeToExpiration^0.5), 0, 1, TRUE)
)</f>
        <v>1.157200051</v>
      </c>
      <c r="AW33" s="40">
        <f t="shared" si="23"/>
        <v>0.3993046875</v>
      </c>
      <c r="AX33" s="8">
        <f>AX$2*(Underlying*EXP(-DividendYield*TimeToExpiration)*_xlfn.NORM.DIST(AX$2*(LN(Underlying/$H33)+(RiskFreeRate-DividendYield+0.5*AW33^2)*TimeToExpiration)/(AW33*TimeToExpiration^0.5), 0, 1, TRUE) - 
       $H33*EXP(-RiskFreeRate*TimeToExpiration)*_xlfn.NORM.DIST(AX$2*(LN(Underlying/$H33)+(RiskFreeRate-DividendYield-0.5*AW33^2)*TimeToExpiration)/(AW33*TimeToExpiration^0.5), 0, 1, TRUE)
)</f>
        <v>0.9428111428</v>
      </c>
      <c r="AY33" s="40">
        <f t="shared" si="24"/>
        <v>0.375875</v>
      </c>
      <c r="AZ33" s="40">
        <f t="shared" si="25"/>
        <v>0.3993046875</v>
      </c>
      <c r="BA33" s="7">
        <f>BA$2*(Underlying*EXP(-DividendYield*TimeToExpiration)*_xlfn.NORM.DIST(BA$2*(LN(Underlying/$H33)+(RiskFreeRate-DividendYield+0.5*AY33^2)*TimeToExpiration)/(AY33*TimeToExpiration^0.5), 0, 1, TRUE) - 
       $H33*EXP(-RiskFreeRate*TimeToExpiration)*_xlfn.NORM.DIST(BA$2*(LN(Underlying/$H33)+(RiskFreeRate-DividendYield-0.5*AY33^2)*TimeToExpiration)/(AY33*TimeToExpiration^0.5), 0, 1, TRUE)
)</f>
        <v>0.7481065956</v>
      </c>
      <c r="BB33" s="7">
        <f>BB$2*(Underlying*EXP(-DividendYield*TimeToExpiration)*_xlfn.NORM.DIST(BB$2*(LN(Underlying/$H33)+(RiskFreeRate-DividendYield+0.5*AZ33^2)*TimeToExpiration)/(AZ33*TimeToExpiration^0.5), 0, 1, TRUE) - 
       $H33*EXP(-RiskFreeRate*TimeToExpiration)*_xlfn.NORM.DIST(BB$2*(LN(Underlying/$H33)+(RiskFreeRate-DividendYield-0.5*AZ33^2)*TimeToExpiration)/(AZ33*TimeToExpiration^0.5), 0, 1, TRUE)
)</f>
        <v>0.9428111428</v>
      </c>
      <c r="BC33" s="40">
        <f t="shared" si="26"/>
        <v>0.3875898438</v>
      </c>
      <c r="BD33" s="8">
        <f>BD$2*(Underlying*EXP(-DividendYield*TimeToExpiration)*_xlfn.NORM.DIST(BD$2*(LN(Underlying/$H33)+(RiskFreeRate-DividendYield+0.5*BC33^2)*TimeToExpiration)/(BC33*TimeToExpiration^0.5), 0, 1, TRUE) - 
       $H33*EXP(-RiskFreeRate*TimeToExpiration)*_xlfn.NORM.DIST(BD$2*(LN(Underlying/$H33)+(RiskFreeRate-DividendYield-0.5*BC33^2)*TimeToExpiration)/(BC33*TimeToExpiration^0.5), 0, 1, TRUE)
)</f>
        <v>0.8429002054</v>
      </c>
      <c r="BE33" s="40">
        <f t="shared" si="27"/>
        <v>0.3875898438</v>
      </c>
      <c r="BF33" s="40">
        <f t="shared" si="28"/>
        <v>0.3993046875</v>
      </c>
      <c r="BG33" s="7">
        <f>BG$2*(Underlying*EXP(-DividendYield*TimeToExpiration)*_xlfn.NORM.DIST(BG$2*(LN(Underlying/$H33)+(RiskFreeRate-DividendYield+0.5*BE33^2)*TimeToExpiration)/(BE33*TimeToExpiration^0.5), 0, 1, TRUE) - 
       $H33*EXP(-RiskFreeRate*TimeToExpiration)*_xlfn.NORM.DIST(BG$2*(LN(Underlying/$H33)+(RiskFreeRate-DividendYield-0.5*BE33^2)*TimeToExpiration)/(BE33*TimeToExpiration^0.5), 0, 1, TRUE)
)</f>
        <v>0.8429002054</v>
      </c>
      <c r="BH33" s="7">
        <f>BH$2*(Underlying*EXP(-DividendYield*TimeToExpiration)*_xlfn.NORM.DIST(BH$2*(LN(Underlying/$H33)+(RiskFreeRate-DividendYield+0.5*BF33^2)*TimeToExpiration)/(BF33*TimeToExpiration^0.5), 0, 1, TRUE) - 
       $H33*EXP(-RiskFreeRate*TimeToExpiration)*_xlfn.NORM.DIST(BH$2*(LN(Underlying/$H33)+(RiskFreeRate-DividendYield-0.5*BF33^2)*TimeToExpiration)/(BF33*TimeToExpiration^0.5), 0, 1, TRUE)
)</f>
        <v>0.9428111428</v>
      </c>
      <c r="BI33" s="40">
        <f t="shared" si="29"/>
        <v>0.3934472656</v>
      </c>
      <c r="BJ33" s="8">
        <f>BJ$2*(Underlying*EXP(-DividendYield*TimeToExpiration)*_xlfn.NORM.DIST(BJ$2*(LN(Underlying/$H33)+(RiskFreeRate-DividendYield+0.5*BI33^2)*TimeToExpiration)/(BI33*TimeToExpiration^0.5), 0, 1, TRUE) - 
       $H33*EXP(-RiskFreeRate*TimeToExpiration)*_xlfn.NORM.DIST(BJ$2*(LN(Underlying/$H33)+(RiskFreeRate-DividendYield-0.5*BI33^2)*TimeToExpiration)/(BI33*TimeToExpiration^0.5), 0, 1, TRUE)
)</f>
        <v>0.8922282304</v>
      </c>
      <c r="BK33" s="40">
        <f t="shared" si="30"/>
        <v>0.3934472656</v>
      </c>
      <c r="BL33" s="40">
        <f t="shared" si="31"/>
        <v>0.3993046875</v>
      </c>
      <c r="BM33" s="7">
        <f>BM$2*(Underlying*EXP(-DividendYield*TimeToExpiration)*_xlfn.NORM.DIST(BM$2*(LN(Underlying/$H33)+(RiskFreeRate-DividendYield+0.5*BK33^2)*TimeToExpiration)/(BK33*TimeToExpiration^0.5), 0, 1, TRUE) - 
       $H33*EXP(-RiskFreeRate*TimeToExpiration)*_xlfn.NORM.DIST(BM$2*(LN(Underlying/$H33)+(RiskFreeRate-DividendYield-0.5*BK33^2)*TimeToExpiration)/(BK33*TimeToExpiration^0.5), 0, 1, TRUE)
)</f>
        <v>0.8922282304</v>
      </c>
      <c r="BN33" s="7">
        <f>BN$2*(Underlying*EXP(-DividendYield*TimeToExpiration)*_xlfn.NORM.DIST(BN$2*(LN(Underlying/$H33)+(RiskFreeRate-DividendYield+0.5*BL33^2)*TimeToExpiration)/(BL33*TimeToExpiration^0.5), 0, 1, TRUE) - 
       $H33*EXP(-RiskFreeRate*TimeToExpiration)*_xlfn.NORM.DIST(BN$2*(LN(Underlying/$H33)+(RiskFreeRate-DividendYield-0.5*BL33^2)*TimeToExpiration)/(BL33*TimeToExpiration^0.5), 0, 1, TRUE)
)</f>
        <v>0.9428111428</v>
      </c>
      <c r="BO33" s="40">
        <f t="shared" si="32"/>
        <v>0.3963759766</v>
      </c>
      <c r="BP33" s="8">
        <f>BP$2*(Underlying*EXP(-DividendYield*TimeToExpiration)*_xlfn.NORM.DIST(BP$2*(LN(Underlying/$H33)+(RiskFreeRate-DividendYield+0.5*BO33^2)*TimeToExpiration)/(BO33*TimeToExpiration^0.5), 0, 1, TRUE) - 
       $H33*EXP(-RiskFreeRate*TimeToExpiration)*_xlfn.NORM.DIST(BP$2*(LN(Underlying/$H33)+(RiskFreeRate-DividendYield-0.5*BO33^2)*TimeToExpiration)/(BO33*TimeToExpiration^0.5), 0, 1, TRUE)
)</f>
        <v>0.9173643611</v>
      </c>
      <c r="BQ33" s="40">
        <f t="shared" si="33"/>
        <v>0.3934472656</v>
      </c>
      <c r="BR33" s="40">
        <f t="shared" si="34"/>
        <v>0.3963759766</v>
      </c>
      <c r="BS33" s="7">
        <f>BS$2*(Underlying*EXP(-DividendYield*TimeToExpiration)*_xlfn.NORM.DIST(BS$2*(LN(Underlying/$H33)+(RiskFreeRate-DividendYield+0.5*BQ33^2)*TimeToExpiration)/(BQ33*TimeToExpiration^0.5), 0, 1, TRUE) - 
       $H33*EXP(-RiskFreeRate*TimeToExpiration)*_xlfn.NORM.DIST(BS$2*(LN(Underlying/$H33)+(RiskFreeRate-DividendYield-0.5*BQ33^2)*TimeToExpiration)/(BQ33*TimeToExpiration^0.5), 0, 1, TRUE)
)</f>
        <v>0.8922282304</v>
      </c>
      <c r="BT33" s="7">
        <f>BT$2*(Underlying*EXP(-DividendYield*TimeToExpiration)*_xlfn.NORM.DIST(BT$2*(LN(Underlying/$H33)+(RiskFreeRate-DividendYield+0.5*BR33^2)*TimeToExpiration)/(BR33*TimeToExpiration^0.5), 0, 1, TRUE) - 
       $H33*EXP(-RiskFreeRate*TimeToExpiration)*_xlfn.NORM.DIST(BT$2*(LN(Underlying/$H33)+(RiskFreeRate-DividendYield-0.5*BR33^2)*TimeToExpiration)/(BR33*TimeToExpiration^0.5), 0, 1, TRUE)
)</f>
        <v>0.9173643611</v>
      </c>
      <c r="BU33" s="40">
        <f t="shared" si="35"/>
        <v>0.3949116211</v>
      </c>
      <c r="BV33" s="8">
        <f>BV$2*(Underlying*EXP(-DividendYield*TimeToExpiration)*_xlfn.NORM.DIST(BV$2*(LN(Underlying/$H33)+(RiskFreeRate-DividendYield+0.5*BU33^2)*TimeToExpiration)/(BU33*TimeToExpiration^0.5), 0, 1, TRUE) - 
       $H33*EXP(-RiskFreeRate*TimeToExpiration)*_xlfn.NORM.DIST(BV$2*(LN(Underlying/$H33)+(RiskFreeRate-DividendYield-0.5*BU33^2)*TimeToExpiration)/(BU33*TimeToExpiration^0.5), 0, 1, TRUE)
)</f>
        <v>0.9047572722</v>
      </c>
      <c r="BW33" s="40">
        <f t="shared" si="36"/>
        <v>0.3949116211</v>
      </c>
      <c r="BX33" s="40">
        <f t="shared" si="37"/>
        <v>0.3963759766</v>
      </c>
      <c r="BY33" s="7">
        <f>BY$2*(Underlying*EXP(-DividendYield*TimeToExpiration)*_xlfn.NORM.DIST(BY$2*(LN(Underlying/$H33)+(RiskFreeRate-DividendYield+0.5*BW33^2)*TimeToExpiration)/(BW33*TimeToExpiration^0.5), 0, 1, TRUE) - 
       $H33*EXP(-RiskFreeRate*TimeToExpiration)*_xlfn.NORM.DIST(BY$2*(LN(Underlying/$H33)+(RiskFreeRate-DividendYield-0.5*BW33^2)*TimeToExpiration)/(BW33*TimeToExpiration^0.5), 0, 1, TRUE)
)</f>
        <v>0.9047572722</v>
      </c>
      <c r="BZ33" s="7">
        <f>BZ$2*(Underlying*EXP(-DividendYield*TimeToExpiration)*_xlfn.NORM.DIST(BZ$2*(LN(Underlying/$H33)+(RiskFreeRate-DividendYield+0.5*BX33^2)*TimeToExpiration)/(BX33*TimeToExpiration^0.5), 0, 1, TRUE) - 
       $H33*EXP(-RiskFreeRate*TimeToExpiration)*_xlfn.NORM.DIST(BZ$2*(LN(Underlying/$H33)+(RiskFreeRate-DividendYield-0.5*BX33^2)*TimeToExpiration)/(BX33*TimeToExpiration^0.5), 0, 1, TRUE)
)</f>
        <v>0.9173643611</v>
      </c>
      <c r="CA33" s="40">
        <f t="shared" si="38"/>
        <v>0.3956437988</v>
      </c>
      <c r="CB33" s="8">
        <f>CB$2*(Underlying*EXP(-DividendYield*TimeToExpiration)*_xlfn.NORM.DIST(CB$2*(LN(Underlying/$H33)+(RiskFreeRate-DividendYield+0.5*CA33^2)*TimeToExpiration)/(CA33*TimeToExpiration^0.5), 0, 1, TRUE) - 
       $H33*EXP(-RiskFreeRate*TimeToExpiration)*_xlfn.NORM.DIST(CB$2*(LN(Underlying/$H33)+(RiskFreeRate-DividendYield-0.5*CA33^2)*TimeToExpiration)/(CA33*TimeToExpiration^0.5), 0, 1, TRUE)
)</f>
        <v>0.9110510848</v>
      </c>
      <c r="CC33" s="40">
        <f t="shared" si="39"/>
        <v>0.3949116211</v>
      </c>
      <c r="CD33" s="40">
        <f t="shared" si="40"/>
        <v>0.3956437988</v>
      </c>
      <c r="CE33" s="7">
        <f>CE$2*(Underlying*EXP(-DividendYield*TimeToExpiration)*_xlfn.NORM.DIST(CE$2*(LN(Underlying/$H33)+(RiskFreeRate-DividendYield+0.5*CC33^2)*TimeToExpiration)/(CC33*TimeToExpiration^0.5), 0, 1, TRUE) - 
       $H33*EXP(-RiskFreeRate*TimeToExpiration)*_xlfn.NORM.DIST(CE$2*(LN(Underlying/$H33)+(RiskFreeRate-DividendYield-0.5*CC33^2)*TimeToExpiration)/(CC33*TimeToExpiration^0.5), 0, 1, TRUE)
)</f>
        <v>0.9047572722</v>
      </c>
      <c r="CF33" s="7">
        <f>CF$2*(Underlying*EXP(-DividendYield*TimeToExpiration)*_xlfn.NORM.DIST(CF$2*(LN(Underlying/$H33)+(RiskFreeRate-DividendYield+0.5*CD33^2)*TimeToExpiration)/(CD33*TimeToExpiration^0.5), 0, 1, TRUE) - 
       $H33*EXP(-RiskFreeRate*TimeToExpiration)*_xlfn.NORM.DIST(CF$2*(LN(Underlying/$H33)+(RiskFreeRate-DividendYield-0.5*CD33^2)*TimeToExpiration)/(CD33*TimeToExpiration^0.5), 0, 1, TRUE)
)</f>
        <v>0.9110510848</v>
      </c>
      <c r="CG33" s="40">
        <f t="shared" si="41"/>
        <v>0.39527771</v>
      </c>
      <c r="CH33" s="8">
        <f>CH$2*(Underlying*EXP(-DividendYield*TimeToExpiration)*_xlfn.NORM.DIST(CH$2*(LN(Underlying/$H33)+(RiskFreeRate-DividendYield+0.5*CG33^2)*TimeToExpiration)/(CG33*TimeToExpiration^0.5), 0, 1, TRUE) - 
       $H33*EXP(-RiskFreeRate*TimeToExpiration)*_xlfn.NORM.DIST(CH$2*(LN(Underlying/$H33)+(RiskFreeRate-DividendYield-0.5*CG33^2)*TimeToExpiration)/(CG33*TimeToExpiration^0.5), 0, 1, TRUE)
)</f>
        <v>0.9079017425</v>
      </c>
      <c r="CI33" s="40">
        <f t="shared" si="42"/>
        <v>0.3949116211</v>
      </c>
      <c r="CJ33" s="40">
        <f t="shared" si="43"/>
        <v>0.39527771</v>
      </c>
      <c r="CK33" s="7">
        <f>CK$2*(Underlying*EXP(-DividendYield*TimeToExpiration)*_xlfn.NORM.DIST(CK$2*(LN(Underlying/$H33)+(RiskFreeRate-DividendYield+0.5*CI33^2)*TimeToExpiration)/(CI33*TimeToExpiration^0.5), 0, 1, TRUE) - 
       $H33*EXP(-RiskFreeRate*TimeToExpiration)*_xlfn.NORM.DIST(CK$2*(LN(Underlying/$H33)+(RiskFreeRate-DividendYield-0.5*CI33^2)*TimeToExpiration)/(CI33*TimeToExpiration^0.5), 0, 1, TRUE)
)</f>
        <v>0.9047572722</v>
      </c>
      <c r="CL33" s="7">
        <f>CL$2*(Underlying*EXP(-DividendYield*TimeToExpiration)*_xlfn.NORM.DIST(CL$2*(LN(Underlying/$H33)+(RiskFreeRate-DividendYield+0.5*CJ33^2)*TimeToExpiration)/(CJ33*TimeToExpiration^0.5), 0, 1, TRUE) - 
       $H33*EXP(-RiskFreeRate*TimeToExpiration)*_xlfn.NORM.DIST(CL$2*(LN(Underlying/$H33)+(RiskFreeRate-DividendYield-0.5*CJ33^2)*TimeToExpiration)/(CJ33*TimeToExpiration^0.5), 0, 1, TRUE)
)</f>
        <v>0.9079017425</v>
      </c>
      <c r="CM33" s="40">
        <f t="shared" si="44"/>
        <v>0.3950946655</v>
      </c>
      <c r="CN33" s="8">
        <f>CN$2*(Underlying*EXP(-DividendYield*TimeToExpiration)*_xlfn.NORM.DIST(CN$2*(LN(Underlying/$H33)+(RiskFreeRate-DividendYield+0.5*CM33^2)*TimeToExpiration)/(CM33*TimeToExpiration^0.5), 0, 1, TRUE) - 
       $H33*EXP(-RiskFreeRate*TimeToExpiration)*_xlfn.NORM.DIST(CN$2*(LN(Underlying/$H33)+(RiskFreeRate-DividendYield-0.5*CM33^2)*TimeToExpiration)/(CM33*TimeToExpiration^0.5), 0, 1, TRUE)
)</f>
        <v>0.906328898</v>
      </c>
      <c r="CO33" s="40">
        <f t="shared" si="45"/>
        <v>0.3949116211</v>
      </c>
      <c r="CP33" s="40">
        <f t="shared" si="46"/>
        <v>0.3950946655</v>
      </c>
      <c r="CQ33" s="7">
        <f>CQ$2*(Underlying*EXP(-DividendYield*TimeToExpiration)*_xlfn.NORM.DIST(CQ$2*(LN(Underlying/$H33)+(RiskFreeRate-DividendYield+0.5*CO33^2)*TimeToExpiration)/(CO33*TimeToExpiration^0.5), 0, 1, TRUE) - 
       $H33*EXP(-RiskFreeRate*TimeToExpiration)*_xlfn.NORM.DIST(CQ$2*(LN(Underlying/$H33)+(RiskFreeRate-DividendYield-0.5*CO33^2)*TimeToExpiration)/(CO33*TimeToExpiration^0.5), 0, 1, TRUE)
)</f>
        <v>0.9047572722</v>
      </c>
      <c r="CR33" s="7">
        <f>CR$2*(Underlying*EXP(-DividendYield*TimeToExpiration)*_xlfn.NORM.DIST(CR$2*(LN(Underlying/$H33)+(RiskFreeRate-DividendYield+0.5*CP33^2)*TimeToExpiration)/(CP33*TimeToExpiration^0.5), 0, 1, TRUE) - 
       $H33*EXP(-RiskFreeRate*TimeToExpiration)*_xlfn.NORM.DIST(CR$2*(LN(Underlying/$H33)+(RiskFreeRate-DividendYield-0.5*CP33^2)*TimeToExpiration)/(CP33*TimeToExpiration^0.5), 0, 1, TRUE)
)</f>
        <v>0.906328898</v>
      </c>
      <c r="CS33" s="40">
        <f t="shared" si="47"/>
        <v>0.3950031433</v>
      </c>
      <c r="CT33" s="8">
        <f>CT$2*(Underlying*EXP(-DividendYield*TimeToExpiration)*_xlfn.NORM.DIST(CT$2*(LN(Underlying/$H33)+(RiskFreeRate-DividendYield+0.5*CS33^2)*TimeToExpiration)/(CS33*TimeToExpiration^0.5), 0, 1, TRUE) - 
       $H33*EXP(-RiskFreeRate*TimeToExpiration)*_xlfn.NORM.DIST(CT$2*(LN(Underlying/$H33)+(RiskFreeRate-DividendYield-0.5*CS33^2)*TimeToExpiration)/(CS33*TimeToExpiration^0.5), 0, 1, TRUE)
)</f>
        <v>0.9055429327</v>
      </c>
      <c r="CU33" s="40">
        <f t="shared" si="48"/>
        <v>0.3949116211</v>
      </c>
      <c r="CV33" s="40">
        <f t="shared" si="49"/>
        <v>0.3950031433</v>
      </c>
      <c r="CW33" s="7">
        <f>CW$2*(Underlying*EXP(-DividendYield*TimeToExpiration)*_xlfn.NORM.DIST(CW$2*(LN(Underlying/$H33)+(RiskFreeRate-DividendYield+0.5*CU33^2)*TimeToExpiration)/(CU33*TimeToExpiration^0.5), 0, 1, TRUE) - 
       $H33*EXP(-RiskFreeRate*TimeToExpiration)*_xlfn.NORM.DIST(CW$2*(LN(Underlying/$H33)+(RiskFreeRate-DividendYield-0.5*CU33^2)*TimeToExpiration)/(CU33*TimeToExpiration^0.5), 0, 1, TRUE)
)</f>
        <v>0.9047572722</v>
      </c>
      <c r="CX33" s="7">
        <f>CX$2*(Underlying*EXP(-DividendYield*TimeToExpiration)*_xlfn.NORM.DIST(CX$2*(LN(Underlying/$H33)+(RiskFreeRate-DividendYield+0.5*CV33^2)*TimeToExpiration)/(CV33*TimeToExpiration^0.5), 0, 1, TRUE) - 
       $H33*EXP(-RiskFreeRate*TimeToExpiration)*_xlfn.NORM.DIST(CX$2*(LN(Underlying/$H33)+(RiskFreeRate-DividendYield-0.5*CV33^2)*TimeToExpiration)/(CV33*TimeToExpiration^0.5), 0, 1, TRUE)
)</f>
        <v>0.9055429327</v>
      </c>
      <c r="CY33" s="40">
        <f t="shared" si="50"/>
        <v>0.3949573822</v>
      </c>
      <c r="CZ33" s="8">
        <f>CZ$2*(Underlying*EXP(-DividendYield*TimeToExpiration)*_xlfn.NORM.DIST(CZ$2*(LN(Underlying/$H33)+(RiskFreeRate-DividendYield+0.5*CY33^2)*TimeToExpiration)/(CY33*TimeToExpiration^0.5), 0, 1, TRUE) - 
       $H33*EXP(-RiskFreeRate*TimeToExpiration)*_xlfn.NORM.DIST(CZ$2*(LN(Underlying/$H33)+(RiskFreeRate-DividendYield-0.5*CY33^2)*TimeToExpiration)/(CY33*TimeToExpiration^0.5), 0, 1, TRUE)
)</f>
        <v>0.9051500644</v>
      </c>
      <c r="DA33" s="40">
        <f t="shared" si="51"/>
        <v>0.3949116211</v>
      </c>
      <c r="DB33" s="40">
        <f t="shared" si="52"/>
        <v>0.3949573822</v>
      </c>
      <c r="DC33" s="7">
        <f>DC$2*(Underlying*EXP(-DividendYield*TimeToExpiration)*_xlfn.NORM.DIST(DC$2*(LN(Underlying/$H33)+(RiskFreeRate-DividendYield+0.5*DA33^2)*TimeToExpiration)/(DA33*TimeToExpiration^0.5), 0, 1, TRUE) - 
       $H33*EXP(-RiskFreeRate*TimeToExpiration)*_xlfn.NORM.DIST(DC$2*(LN(Underlying/$H33)+(RiskFreeRate-DividendYield-0.5*DA33^2)*TimeToExpiration)/(DA33*TimeToExpiration^0.5), 0, 1, TRUE)
)</f>
        <v>0.9047572722</v>
      </c>
      <c r="DD33" s="7">
        <f>DD$2*(Underlying*EXP(-DividendYield*TimeToExpiration)*_xlfn.NORM.DIST(DD$2*(LN(Underlying/$H33)+(RiskFreeRate-DividendYield+0.5*DB33^2)*TimeToExpiration)/(DB33*TimeToExpiration^0.5), 0, 1, TRUE) - 
       $H33*EXP(-RiskFreeRate*TimeToExpiration)*_xlfn.NORM.DIST(DD$2*(LN(Underlying/$H33)+(RiskFreeRate-DividendYield-0.5*DB33^2)*TimeToExpiration)/(DB33*TimeToExpiration^0.5), 0, 1, TRUE)
)</f>
        <v>0.9051500644</v>
      </c>
      <c r="DE33" s="40">
        <f t="shared" si="53"/>
        <v>0.3949345016</v>
      </c>
      <c r="DF33" s="8">
        <f>DF$2*(Underlying*EXP(-DividendYield*TimeToExpiration)*_xlfn.NORM.DIST(DF$2*(LN(Underlying/$H33)+(RiskFreeRate-DividendYield+0.5*DE33^2)*TimeToExpiration)/(DE33*TimeToExpiration^0.5), 0, 1, TRUE) - 
       $H33*EXP(-RiskFreeRate*TimeToExpiration)*_xlfn.NORM.DIST(DF$2*(LN(Underlying/$H33)+(RiskFreeRate-DividendYield-0.5*DE33^2)*TimeToExpiration)/(DE33*TimeToExpiration^0.5), 0, 1, TRUE)
)</f>
        <v>0.9049536588</v>
      </c>
    </row>
    <row r="34">
      <c r="A34" s="20">
        <f>'Option Mkt Data'!A34</f>
        <v>367.5</v>
      </c>
      <c r="B34" s="35">
        <f t="shared" ref="B34:C34" si="81">DE34</f>
        <v>0.4021189957</v>
      </c>
      <c r="C34" s="7">
        <f t="shared" si="81"/>
        <v>0.7500246917</v>
      </c>
      <c r="D34" s="7">
        <f t="shared" si="3"/>
        <v>0.00002469166699</v>
      </c>
      <c r="E34" s="9">
        <f t="shared" si="4"/>
        <v>0.00003292222266</v>
      </c>
      <c r="F34" s="36">
        <f>D34/'Option Mkt Data'!L34</f>
        <v>0.001234584584</v>
      </c>
      <c r="G34" s="5">
        <f>'Option Mkt Data'!J34</f>
        <v>0.75</v>
      </c>
      <c r="H34" s="33">
        <f>'Option Mkt Data'!A34</f>
        <v>367.5</v>
      </c>
      <c r="I34" s="37">
        <f>MinSolverVola</f>
        <v>0.001</v>
      </c>
      <c r="J34" s="38">
        <f>MaxSolverVola</f>
        <v>3</v>
      </c>
      <c r="K34" s="39">
        <f>K$2*(Underlying*EXP(-DividendYield*TimeToExpiration)*_xlfn.NORM.DIST(K$2*(LN(Underlying/$H34)+(RiskFreeRate-DividendYield+0.5*I34^2)*TimeToExpiration)/(I34*TimeToExpiration^0.5), 0, 1, TRUE) - 
       $H34*EXP(-RiskFreeRate*TimeToExpiration)*_xlfn.NORM.DIST(K$2*(LN(Underlying/$H34)+(RiskFreeRate-DividendYield-0.5*I34^2)*TimeToExpiration)/(I34*TimeToExpiration^0.5), 0, 1, TRUE)
)</f>
        <v>0</v>
      </c>
      <c r="L34" s="7">
        <f>L$2*(Underlying*EXP(-DividendYield*TimeToExpiration)*_xlfn.NORM.DIST(L$2*(LN(Underlying/$H34)+(RiskFreeRate-DividendYield+0.5*J34^2)*TimeToExpiration)/(J34*TimeToExpiration^0.5), 0, 1, TRUE) - 
       $H34*EXP(-RiskFreeRate*TimeToExpiration)*_xlfn.NORM.DIST(L$2*(LN(Underlying/$H34)+(RiskFreeRate-DividendYield-0.5*J34^2)*TimeToExpiration)/(J34*TimeToExpiration^0.5), 0, 1, TRUE)
)</f>
        <v>46.38379822</v>
      </c>
      <c r="M34" s="40">
        <f t="shared" si="5"/>
        <v>1.5005</v>
      </c>
      <c r="N34" s="8">
        <f>N$2*(Underlying*EXP(-DividendYield*TimeToExpiration)*_xlfn.NORM.DIST(N$2*(LN(Underlying/$H34)+(RiskFreeRate-DividendYield+0.5*M34^2)*TimeToExpiration)/(M34*TimeToExpiration^0.5), 0, 1, TRUE) - 
       $H34*EXP(-RiskFreeRate*TimeToExpiration)*_xlfn.NORM.DIST(N$2*(LN(Underlying/$H34)+(RiskFreeRate-DividendYield-0.5*M34^2)*TimeToExpiration)/(M34*TimeToExpiration^0.5), 0, 1, TRUE)
)</f>
        <v>17.92137452</v>
      </c>
      <c r="O34" s="41">
        <f t="shared" si="6"/>
        <v>0.001</v>
      </c>
      <c r="P34" s="40">
        <f t="shared" si="7"/>
        <v>1.5005</v>
      </c>
      <c r="Q34" s="7">
        <f>Q$2*(Underlying*EXP(-DividendYield*TimeToExpiration)*_xlfn.NORM.DIST(Q$2*(LN(Underlying/$H34)+(RiskFreeRate-DividendYield+0.5*O34^2)*TimeToExpiration)/(O34*TimeToExpiration^0.5), 0, 1, TRUE) - 
       $H34*EXP(-RiskFreeRate*TimeToExpiration)*_xlfn.NORM.DIST(Q$2*(LN(Underlying/$H34)+(RiskFreeRate-DividendYield-0.5*O34^2)*TimeToExpiration)/(O34*TimeToExpiration^0.5), 0, 1, TRUE))</f>
        <v>0</v>
      </c>
      <c r="R34" s="7">
        <f>R$2*(Underlying*EXP(-DividendYield*TimeToExpiration)*_xlfn.NORM.DIST(R$2*(LN(Underlying/$H34)+(RiskFreeRate-DividendYield+0.5*P34^2)*TimeToExpiration)/(P34*TimeToExpiration^0.5), 0, 1, TRUE) - 
       $H34*EXP(-RiskFreeRate*TimeToExpiration)*_xlfn.NORM.DIST(R$2*(LN(Underlying/$H34)+(RiskFreeRate-DividendYield-0.5*P34^2)*TimeToExpiration)/(P34*TimeToExpiration^0.5), 0, 1, TRUE)
)</f>
        <v>17.92137452</v>
      </c>
      <c r="S34" s="40">
        <f t="shared" si="8"/>
        <v>0.75075</v>
      </c>
      <c r="T34" s="8">
        <f>T$2*(Underlying*EXP(-DividendYield*TimeToExpiration)*_xlfn.NORM.DIST(T$2*(LN(Underlying/$H34)+(RiskFreeRate-DividendYield+0.5*S34^2)*TimeToExpiration)/(S34*TimeToExpiration^0.5), 0, 1, TRUE) - 
       $H34*EXP(-RiskFreeRate*TimeToExpiration)*_xlfn.NORM.DIST(T$2*(LN(Underlying/$H34)+(RiskFreeRate-DividendYield-0.5*S34^2)*TimeToExpiration)/(S34*TimeToExpiration^0.5), 0, 1, TRUE)
)</f>
        <v>4.951900753</v>
      </c>
      <c r="U34" s="41">
        <f t="shared" si="9"/>
        <v>0.001</v>
      </c>
      <c r="V34" s="40">
        <f t="shared" si="10"/>
        <v>0.75075</v>
      </c>
      <c r="W34" s="7">
        <f>W$2*(Underlying*EXP(-DividendYield*TimeToExpiration)*_xlfn.NORM.DIST(W$2*(LN(Underlying/$H34)+(RiskFreeRate-DividendYield+0.5*U34^2)*TimeToExpiration)/(U34*TimeToExpiration^0.5), 0, 1, TRUE) - 
       $H34*EXP(-RiskFreeRate*TimeToExpiration)*_xlfn.NORM.DIST(W$2*(LN(Underlying/$H34)+(RiskFreeRate-DividendYield-0.5*U34^2)*TimeToExpiration)/(U34*TimeToExpiration^0.5), 0, 1, TRUE)
)</f>
        <v>0</v>
      </c>
      <c r="X34" s="7">
        <f>X$2*(Underlying*EXP(-DividendYield*TimeToExpiration)*_xlfn.NORM.DIST(X$2*(LN(Underlying/$H34)+(RiskFreeRate-DividendYield+0.5*V34^2)*TimeToExpiration)/(V34*TimeToExpiration^0.5), 0, 1, TRUE) - 
       $H34*EXP(-RiskFreeRate*TimeToExpiration)*_xlfn.NORM.DIST(X$2*(LN(Underlying/$H34)+(RiskFreeRate-DividendYield-0.5*V34^2)*TimeToExpiration)/(V34*TimeToExpiration^0.5), 0, 1, TRUE)
)</f>
        <v>4.951900753</v>
      </c>
      <c r="Y34" s="40">
        <f t="shared" si="11"/>
        <v>0.375875</v>
      </c>
      <c r="Z34" s="8">
        <f>Z$2*(Underlying*EXP(-DividendYield*TimeToExpiration)*_xlfn.NORM.DIST(Z$2*(LN(Underlying/$H34)+(RiskFreeRate-DividendYield+0.5*Y34^2)*TimeToExpiration)/(Y34*TimeToExpiration^0.5), 0, 1, TRUE) - 
       $H34*EXP(-RiskFreeRate*TimeToExpiration)*_xlfn.NORM.DIST(Z$2*(LN(Underlying/$H34)+(RiskFreeRate-DividendYield-0.5*Y34^2)*TimeToExpiration)/(Y34*TimeToExpiration^0.5), 0, 1, TRUE)
)</f>
        <v>0.5643832555</v>
      </c>
      <c r="AA34" s="40">
        <f t="shared" si="12"/>
        <v>0.375875</v>
      </c>
      <c r="AB34" s="40">
        <f t="shared" si="13"/>
        <v>0.75075</v>
      </c>
      <c r="AC34" s="7">
        <f>AC$2*(Underlying*EXP(-DividendYield*TimeToExpiration)*_xlfn.NORM.DIST(AC$2*(LN(Underlying/$H34)+(RiskFreeRate-DividendYield+0.5*AA34^2)*TimeToExpiration)/(AA34*TimeToExpiration^0.5), 0, 1, TRUE) - 
       $H34*EXP(-RiskFreeRate*TimeToExpiration)*_xlfn.NORM.DIST(AC$2*(LN(Underlying/$H34)+(RiskFreeRate-DividendYield-0.5*AA34^2)*TimeToExpiration)/(AA34*TimeToExpiration^0.5), 0, 1, TRUE)
)</f>
        <v>0.5643832555</v>
      </c>
      <c r="AD34" s="7">
        <f>AD$2*(Underlying*EXP(-DividendYield*TimeToExpiration)*_xlfn.NORM.DIST(AD$2*(LN(Underlying/$H34)+(RiskFreeRate-DividendYield+0.5*AB34^2)*TimeToExpiration)/(AB34*TimeToExpiration^0.5), 0, 1, TRUE) - 
       $H34*EXP(-RiskFreeRate*TimeToExpiration)*_xlfn.NORM.DIST(AD$2*(LN(Underlying/$H34)+(RiskFreeRate-DividendYield-0.5*AB34^2)*TimeToExpiration)/(AB34*TimeToExpiration^0.5), 0, 1, TRUE)
)</f>
        <v>4.951900753</v>
      </c>
      <c r="AE34" s="40">
        <f t="shared" si="14"/>
        <v>0.5633125</v>
      </c>
      <c r="AF34" s="8">
        <f>AF$2*(Underlying*EXP(-DividendYield*TimeToExpiration)*_xlfn.NORM.DIST(AF$2*(LN(Underlying/$H34)+(RiskFreeRate-DividendYield+0.5*AE34^2)*TimeToExpiration)/(AE34*TimeToExpiration^0.5), 0, 1, TRUE) - 
       $H34*EXP(-RiskFreeRate*TimeToExpiration)*_xlfn.NORM.DIST(AF$2*(LN(Underlying/$H34)+(RiskFreeRate-DividendYield-0.5*AE34^2)*TimeToExpiration)/(AE34*TimeToExpiration^0.5), 0, 1, TRUE)
)</f>
        <v>2.37203008</v>
      </c>
      <c r="AG34" s="40">
        <f t="shared" si="15"/>
        <v>0.375875</v>
      </c>
      <c r="AH34" s="40">
        <f t="shared" si="16"/>
        <v>0.5633125</v>
      </c>
      <c r="AI34" s="7">
        <f>AI$2*(Underlying*EXP(-DividendYield*TimeToExpiration)*_xlfn.NORM.DIST(AI$2*(LN(Underlying/$H34)+(RiskFreeRate-DividendYield+0.5*AG34^2)*TimeToExpiration)/(AG34*TimeToExpiration^0.5), 0, 1, TRUE) - 
       $H34*EXP(-RiskFreeRate*TimeToExpiration)*_xlfn.NORM.DIST(AI$2*(LN(Underlying/$H34)+(RiskFreeRate-DividendYield-0.5*AG34^2)*TimeToExpiration)/(AG34*TimeToExpiration^0.5), 0, 1, TRUE)
)</f>
        <v>0.5643832555</v>
      </c>
      <c r="AJ34" s="7">
        <f>AJ$2*(Underlying*EXP(-DividendYield*TimeToExpiration)*_xlfn.NORM.DIST(AJ$2*(LN(Underlying/$H34)+(RiskFreeRate-DividendYield+0.5*AH34^2)*TimeToExpiration)/(AH34*TimeToExpiration^0.5), 0, 1, TRUE) - 
       $H34*EXP(-RiskFreeRate*TimeToExpiration)*_xlfn.NORM.DIST(AJ$2*(LN(Underlying/$H34)+(RiskFreeRate-DividendYield-0.5*AH34^2)*TimeToExpiration)/(AH34*TimeToExpiration^0.5), 0, 1, TRUE)
)</f>
        <v>2.37203008</v>
      </c>
      <c r="AK34" s="40">
        <f t="shared" si="17"/>
        <v>0.46959375</v>
      </c>
      <c r="AL34" s="8">
        <f>AL$2*(Underlying*EXP(-DividendYield*TimeToExpiration)*_xlfn.NORM.DIST(AL$2*(LN(Underlying/$H34)+(RiskFreeRate-DividendYield+0.5*AK34^2)*TimeToExpiration)/(AK34*TimeToExpiration^0.5), 0, 1, TRUE) - 
       $H34*EXP(-RiskFreeRate*TimeToExpiration)*_xlfn.NORM.DIST(AL$2*(LN(Underlying/$H34)+(RiskFreeRate-DividendYield-0.5*AK34^2)*TimeToExpiration)/(AK34*TimeToExpiration^0.5), 0, 1, TRUE)
)</f>
        <v>1.337948013</v>
      </c>
      <c r="AM34" s="40">
        <f t="shared" si="18"/>
        <v>0.375875</v>
      </c>
      <c r="AN34" s="40">
        <f t="shared" si="19"/>
        <v>0.46959375</v>
      </c>
      <c r="AO34" s="7">
        <f>AO$2*(Underlying*EXP(-DividendYield*TimeToExpiration)*_xlfn.NORM.DIST(AO$2*(LN(Underlying/$H34)+(RiskFreeRate-DividendYield+0.5*AM34^2)*TimeToExpiration)/(AM34*TimeToExpiration^0.5), 0, 1, TRUE) - 
       $H34*EXP(-RiskFreeRate*TimeToExpiration)*_xlfn.NORM.DIST(AO$2*(LN(Underlying/$H34)+(RiskFreeRate-DividendYield-0.5*AM34^2)*TimeToExpiration)/(AM34*TimeToExpiration^0.5), 0, 1, TRUE)
)</f>
        <v>0.5643832555</v>
      </c>
      <c r="AP34" s="7">
        <f>AP$2*(Underlying*EXP(-DividendYield*TimeToExpiration)*_xlfn.NORM.DIST(AP$2*(LN(Underlying/$H34)+(RiskFreeRate-DividendYield+0.5*AN34^2)*TimeToExpiration)/(AN34*TimeToExpiration^0.5), 0, 1, TRUE) - 
       $H34*EXP(-RiskFreeRate*TimeToExpiration)*_xlfn.NORM.DIST(AP$2*(LN(Underlying/$H34)+(RiskFreeRate-DividendYield-0.5*AN34^2)*TimeToExpiration)/(AN34*TimeToExpiration^0.5), 0, 1, TRUE)
)</f>
        <v>1.337948013</v>
      </c>
      <c r="AQ34" s="40">
        <f t="shared" si="20"/>
        <v>0.422734375</v>
      </c>
      <c r="AR34" s="8">
        <f>AR$2*(Underlying*EXP(-DividendYield*TimeToExpiration)*_xlfn.NORM.DIST(AR$2*(LN(Underlying/$H34)+(RiskFreeRate-DividendYield+0.5*AQ34^2)*TimeToExpiration)/(AQ34*TimeToExpiration^0.5), 0, 1, TRUE) - 
       $H34*EXP(-RiskFreeRate*TimeToExpiration)*_xlfn.NORM.DIST(AR$2*(LN(Underlying/$H34)+(RiskFreeRate-DividendYield-0.5*AQ34^2)*TimeToExpiration)/(AQ34*TimeToExpiration^0.5), 0, 1, TRUE)
)</f>
        <v>0.9135024741</v>
      </c>
      <c r="AS34" s="40">
        <f t="shared" si="21"/>
        <v>0.375875</v>
      </c>
      <c r="AT34" s="40">
        <f t="shared" si="22"/>
        <v>0.422734375</v>
      </c>
      <c r="AU34" s="7">
        <f>AU$2*(Underlying*EXP(-DividendYield*TimeToExpiration)*_xlfn.NORM.DIST(AU$2*(LN(Underlying/$H34)+(RiskFreeRate-DividendYield+0.5*AS34^2)*TimeToExpiration)/(AS34*TimeToExpiration^0.5), 0, 1, TRUE) - 
       $H34*EXP(-RiskFreeRate*TimeToExpiration)*_xlfn.NORM.DIST(AU$2*(LN(Underlying/$H34)+(RiskFreeRate-DividendYield-0.5*AS34^2)*TimeToExpiration)/(AS34*TimeToExpiration^0.5), 0, 1, TRUE)
)</f>
        <v>0.5643832555</v>
      </c>
      <c r="AV34" s="7">
        <f>AV$2*(Underlying*EXP(-DividendYield*TimeToExpiration)*_xlfn.NORM.DIST(AV$2*(LN(Underlying/$H34)+(RiskFreeRate-DividendYield+0.5*AT34^2)*TimeToExpiration)/(AT34*TimeToExpiration^0.5), 0, 1, TRUE) - 
       $H34*EXP(-RiskFreeRate*TimeToExpiration)*_xlfn.NORM.DIST(AV$2*(LN(Underlying/$H34)+(RiskFreeRate-DividendYield-0.5*AT34^2)*TimeToExpiration)/(AT34*TimeToExpiration^0.5), 0, 1, TRUE)
)</f>
        <v>0.9135024741</v>
      </c>
      <c r="AW34" s="40">
        <f t="shared" si="23"/>
        <v>0.3993046875</v>
      </c>
      <c r="AX34" s="8">
        <f>AX$2*(Underlying*EXP(-DividendYield*TimeToExpiration)*_xlfn.NORM.DIST(AX$2*(LN(Underlying/$H34)+(RiskFreeRate-DividendYield+0.5*AW34^2)*TimeToExpiration)/(AW34*TimeToExpiration^0.5), 0, 1, TRUE) - 
       $H34*EXP(-RiskFreeRate*TimeToExpiration)*_xlfn.NORM.DIST(AX$2*(LN(Underlying/$H34)+(RiskFreeRate-DividendYield-0.5*AW34^2)*TimeToExpiration)/(AW34*TimeToExpiration^0.5), 0, 1, TRUE)
)</f>
        <v>0.7288878214</v>
      </c>
      <c r="AY34" s="40">
        <f t="shared" si="24"/>
        <v>0.3993046875</v>
      </c>
      <c r="AZ34" s="40">
        <f t="shared" si="25"/>
        <v>0.422734375</v>
      </c>
      <c r="BA34" s="7">
        <f>BA$2*(Underlying*EXP(-DividendYield*TimeToExpiration)*_xlfn.NORM.DIST(BA$2*(LN(Underlying/$H34)+(RiskFreeRate-DividendYield+0.5*AY34^2)*TimeToExpiration)/(AY34*TimeToExpiration^0.5), 0, 1, TRUE) - 
       $H34*EXP(-RiskFreeRate*TimeToExpiration)*_xlfn.NORM.DIST(BA$2*(LN(Underlying/$H34)+(RiskFreeRate-DividendYield-0.5*AY34^2)*TimeToExpiration)/(AY34*TimeToExpiration^0.5), 0, 1, TRUE)
)</f>
        <v>0.7288878214</v>
      </c>
      <c r="BB34" s="7">
        <f>BB$2*(Underlying*EXP(-DividendYield*TimeToExpiration)*_xlfn.NORM.DIST(BB$2*(LN(Underlying/$H34)+(RiskFreeRate-DividendYield+0.5*AZ34^2)*TimeToExpiration)/(AZ34*TimeToExpiration^0.5), 0, 1, TRUE) - 
       $H34*EXP(-RiskFreeRate*TimeToExpiration)*_xlfn.NORM.DIST(BB$2*(LN(Underlying/$H34)+(RiskFreeRate-DividendYield-0.5*AZ34^2)*TimeToExpiration)/(AZ34*TimeToExpiration^0.5), 0, 1, TRUE)
)</f>
        <v>0.9135024741</v>
      </c>
      <c r="BC34" s="40">
        <f t="shared" si="26"/>
        <v>0.4110195313</v>
      </c>
      <c r="BD34" s="8">
        <f>BD$2*(Underlying*EXP(-DividendYield*TimeToExpiration)*_xlfn.NORM.DIST(BD$2*(LN(Underlying/$H34)+(RiskFreeRate-DividendYield+0.5*BC34^2)*TimeToExpiration)/(BC34*TimeToExpiration^0.5), 0, 1, TRUE) - 
       $H34*EXP(-RiskFreeRate*TimeToExpiration)*_xlfn.NORM.DIST(BD$2*(LN(Underlying/$H34)+(RiskFreeRate-DividendYield-0.5*BC34^2)*TimeToExpiration)/(BC34*TimeToExpiration^0.5), 0, 1, TRUE)
)</f>
        <v>0.8187586776</v>
      </c>
      <c r="BE34" s="40">
        <f t="shared" si="27"/>
        <v>0.3993046875</v>
      </c>
      <c r="BF34" s="40">
        <f t="shared" si="28"/>
        <v>0.4110195313</v>
      </c>
      <c r="BG34" s="7">
        <f>BG$2*(Underlying*EXP(-DividendYield*TimeToExpiration)*_xlfn.NORM.DIST(BG$2*(LN(Underlying/$H34)+(RiskFreeRate-DividendYield+0.5*BE34^2)*TimeToExpiration)/(BE34*TimeToExpiration^0.5), 0, 1, TRUE) - 
       $H34*EXP(-RiskFreeRate*TimeToExpiration)*_xlfn.NORM.DIST(BG$2*(LN(Underlying/$H34)+(RiskFreeRate-DividendYield-0.5*BE34^2)*TimeToExpiration)/(BE34*TimeToExpiration^0.5), 0, 1, TRUE)
)</f>
        <v>0.7288878214</v>
      </c>
      <c r="BH34" s="7">
        <f>BH$2*(Underlying*EXP(-DividendYield*TimeToExpiration)*_xlfn.NORM.DIST(BH$2*(LN(Underlying/$H34)+(RiskFreeRate-DividendYield+0.5*BF34^2)*TimeToExpiration)/(BF34*TimeToExpiration^0.5), 0, 1, TRUE) - 
       $H34*EXP(-RiskFreeRate*TimeToExpiration)*_xlfn.NORM.DIST(BH$2*(LN(Underlying/$H34)+(RiskFreeRate-DividendYield-0.5*BF34^2)*TimeToExpiration)/(BF34*TimeToExpiration^0.5), 0, 1, TRUE)
)</f>
        <v>0.8187586776</v>
      </c>
      <c r="BI34" s="40">
        <f t="shared" si="29"/>
        <v>0.4051621094</v>
      </c>
      <c r="BJ34" s="8">
        <f>BJ$2*(Underlying*EXP(-DividendYield*TimeToExpiration)*_xlfn.NORM.DIST(BJ$2*(LN(Underlying/$H34)+(RiskFreeRate-DividendYield+0.5*BI34^2)*TimeToExpiration)/(BI34*TimeToExpiration^0.5), 0, 1, TRUE) - 
       $H34*EXP(-RiskFreeRate*TimeToExpiration)*_xlfn.NORM.DIST(BJ$2*(LN(Underlying/$H34)+(RiskFreeRate-DividendYield-0.5*BI34^2)*TimeToExpiration)/(BI34*TimeToExpiration^0.5), 0, 1, TRUE)
)</f>
        <v>0.7732041973</v>
      </c>
      <c r="BK34" s="40">
        <f t="shared" si="30"/>
        <v>0.3993046875</v>
      </c>
      <c r="BL34" s="40">
        <f t="shared" si="31"/>
        <v>0.4051621094</v>
      </c>
      <c r="BM34" s="7">
        <f>BM$2*(Underlying*EXP(-DividendYield*TimeToExpiration)*_xlfn.NORM.DIST(BM$2*(LN(Underlying/$H34)+(RiskFreeRate-DividendYield+0.5*BK34^2)*TimeToExpiration)/(BK34*TimeToExpiration^0.5), 0, 1, TRUE) - 
       $H34*EXP(-RiskFreeRate*TimeToExpiration)*_xlfn.NORM.DIST(BM$2*(LN(Underlying/$H34)+(RiskFreeRate-DividendYield-0.5*BK34^2)*TimeToExpiration)/(BK34*TimeToExpiration^0.5), 0, 1, TRUE)
)</f>
        <v>0.7288878214</v>
      </c>
      <c r="BN34" s="7">
        <f>BN$2*(Underlying*EXP(-DividendYield*TimeToExpiration)*_xlfn.NORM.DIST(BN$2*(LN(Underlying/$H34)+(RiskFreeRate-DividendYield+0.5*BL34^2)*TimeToExpiration)/(BL34*TimeToExpiration^0.5), 0, 1, TRUE) - 
       $H34*EXP(-RiskFreeRate*TimeToExpiration)*_xlfn.NORM.DIST(BN$2*(LN(Underlying/$H34)+(RiskFreeRate-DividendYield-0.5*BL34^2)*TimeToExpiration)/(BL34*TimeToExpiration^0.5), 0, 1, TRUE)
)</f>
        <v>0.7732041973</v>
      </c>
      <c r="BO34" s="40">
        <f t="shared" si="32"/>
        <v>0.4022333984</v>
      </c>
      <c r="BP34" s="8">
        <f>BP$2*(Underlying*EXP(-DividendYield*TimeToExpiration)*_xlfn.NORM.DIST(BP$2*(LN(Underlying/$H34)+(RiskFreeRate-DividendYield+0.5*BO34^2)*TimeToExpiration)/(BO34*TimeToExpiration^0.5), 0, 1, TRUE) - 
       $H34*EXP(-RiskFreeRate*TimeToExpiration)*_xlfn.NORM.DIST(BP$2*(LN(Underlying/$H34)+(RiskFreeRate-DividendYield-0.5*BO34^2)*TimeToExpiration)/(BO34*TimeToExpiration^0.5), 0, 1, TRUE)
)</f>
        <v>0.7508900236</v>
      </c>
      <c r="BQ34" s="40">
        <f t="shared" si="33"/>
        <v>0.3993046875</v>
      </c>
      <c r="BR34" s="40">
        <f t="shared" si="34"/>
        <v>0.4022333984</v>
      </c>
      <c r="BS34" s="7">
        <f>BS$2*(Underlying*EXP(-DividendYield*TimeToExpiration)*_xlfn.NORM.DIST(BS$2*(LN(Underlying/$H34)+(RiskFreeRate-DividendYield+0.5*BQ34^2)*TimeToExpiration)/(BQ34*TimeToExpiration^0.5), 0, 1, TRUE) - 
       $H34*EXP(-RiskFreeRate*TimeToExpiration)*_xlfn.NORM.DIST(BS$2*(LN(Underlying/$H34)+(RiskFreeRate-DividendYield-0.5*BQ34^2)*TimeToExpiration)/(BQ34*TimeToExpiration^0.5), 0, 1, TRUE)
)</f>
        <v>0.7288878214</v>
      </c>
      <c r="BT34" s="7">
        <f>BT$2*(Underlying*EXP(-DividendYield*TimeToExpiration)*_xlfn.NORM.DIST(BT$2*(LN(Underlying/$H34)+(RiskFreeRate-DividendYield+0.5*BR34^2)*TimeToExpiration)/(BR34*TimeToExpiration^0.5), 0, 1, TRUE) - 
       $H34*EXP(-RiskFreeRate*TimeToExpiration)*_xlfn.NORM.DIST(BT$2*(LN(Underlying/$H34)+(RiskFreeRate-DividendYield-0.5*BR34^2)*TimeToExpiration)/(BR34*TimeToExpiration^0.5), 0, 1, TRUE)
)</f>
        <v>0.7508900236</v>
      </c>
      <c r="BU34" s="40">
        <f t="shared" si="35"/>
        <v>0.400769043</v>
      </c>
      <c r="BV34" s="8">
        <f>BV$2*(Underlying*EXP(-DividendYield*TimeToExpiration)*_xlfn.NORM.DIST(BV$2*(LN(Underlying/$H34)+(RiskFreeRate-DividendYield+0.5*BU34^2)*TimeToExpiration)/(BU34*TimeToExpiration^0.5), 0, 1, TRUE) - 
       $H34*EXP(-RiskFreeRate*TimeToExpiration)*_xlfn.NORM.DIST(BV$2*(LN(Underlying/$H34)+(RiskFreeRate-DividendYield-0.5*BU34^2)*TimeToExpiration)/(BU34*TimeToExpiration^0.5), 0, 1, TRUE)
)</f>
        <v>0.7398497747</v>
      </c>
      <c r="BW34" s="40">
        <f t="shared" si="36"/>
        <v>0.400769043</v>
      </c>
      <c r="BX34" s="40">
        <f t="shared" si="37"/>
        <v>0.4022333984</v>
      </c>
      <c r="BY34" s="7">
        <f>BY$2*(Underlying*EXP(-DividendYield*TimeToExpiration)*_xlfn.NORM.DIST(BY$2*(LN(Underlying/$H34)+(RiskFreeRate-DividendYield+0.5*BW34^2)*TimeToExpiration)/(BW34*TimeToExpiration^0.5), 0, 1, TRUE) - 
       $H34*EXP(-RiskFreeRate*TimeToExpiration)*_xlfn.NORM.DIST(BY$2*(LN(Underlying/$H34)+(RiskFreeRate-DividendYield-0.5*BW34^2)*TimeToExpiration)/(BW34*TimeToExpiration^0.5), 0, 1, TRUE)
)</f>
        <v>0.7398497747</v>
      </c>
      <c r="BZ34" s="7">
        <f>BZ$2*(Underlying*EXP(-DividendYield*TimeToExpiration)*_xlfn.NORM.DIST(BZ$2*(LN(Underlying/$H34)+(RiskFreeRate-DividendYield+0.5*BX34^2)*TimeToExpiration)/(BX34*TimeToExpiration^0.5), 0, 1, TRUE) - 
       $H34*EXP(-RiskFreeRate*TimeToExpiration)*_xlfn.NORM.DIST(BZ$2*(LN(Underlying/$H34)+(RiskFreeRate-DividendYield-0.5*BX34^2)*TimeToExpiration)/(BX34*TimeToExpiration^0.5), 0, 1, TRUE)
)</f>
        <v>0.7508900236</v>
      </c>
      <c r="CA34" s="40">
        <f t="shared" si="38"/>
        <v>0.4015012207</v>
      </c>
      <c r="CB34" s="8">
        <f>CB$2*(Underlying*EXP(-DividendYield*TimeToExpiration)*_xlfn.NORM.DIST(CB$2*(LN(Underlying/$H34)+(RiskFreeRate-DividendYield+0.5*CA34^2)*TimeToExpiration)/(CA34*TimeToExpiration^0.5), 0, 1, TRUE) - 
       $H34*EXP(-RiskFreeRate*TimeToExpiration)*_xlfn.NORM.DIST(CB$2*(LN(Underlying/$H34)+(RiskFreeRate-DividendYield-0.5*CA34^2)*TimeToExpiration)/(CA34*TimeToExpiration^0.5), 0, 1, TRUE)
)</f>
        <v>0.7453601311</v>
      </c>
      <c r="CC34" s="40">
        <f t="shared" si="39"/>
        <v>0.4015012207</v>
      </c>
      <c r="CD34" s="40">
        <f t="shared" si="40"/>
        <v>0.4022333984</v>
      </c>
      <c r="CE34" s="7">
        <f>CE$2*(Underlying*EXP(-DividendYield*TimeToExpiration)*_xlfn.NORM.DIST(CE$2*(LN(Underlying/$H34)+(RiskFreeRate-DividendYield+0.5*CC34^2)*TimeToExpiration)/(CC34*TimeToExpiration^0.5), 0, 1, TRUE) - 
       $H34*EXP(-RiskFreeRate*TimeToExpiration)*_xlfn.NORM.DIST(CE$2*(LN(Underlying/$H34)+(RiskFreeRate-DividendYield-0.5*CC34^2)*TimeToExpiration)/(CC34*TimeToExpiration^0.5), 0, 1, TRUE)
)</f>
        <v>0.7453601311</v>
      </c>
      <c r="CF34" s="7">
        <f>CF$2*(Underlying*EXP(-DividendYield*TimeToExpiration)*_xlfn.NORM.DIST(CF$2*(LN(Underlying/$H34)+(RiskFreeRate-DividendYield+0.5*CD34^2)*TimeToExpiration)/(CD34*TimeToExpiration^0.5), 0, 1, TRUE) - 
       $H34*EXP(-RiskFreeRate*TimeToExpiration)*_xlfn.NORM.DIST(CF$2*(LN(Underlying/$H34)+(RiskFreeRate-DividendYield-0.5*CD34^2)*TimeToExpiration)/(CD34*TimeToExpiration^0.5), 0, 1, TRUE)
)</f>
        <v>0.7508900236</v>
      </c>
      <c r="CG34" s="40">
        <f t="shared" si="41"/>
        <v>0.4018673096</v>
      </c>
      <c r="CH34" s="8">
        <f>CH$2*(Underlying*EXP(-DividendYield*TimeToExpiration)*_xlfn.NORM.DIST(CH$2*(LN(Underlying/$H34)+(RiskFreeRate-DividendYield+0.5*CG34^2)*TimeToExpiration)/(CG34*TimeToExpiration^0.5), 0, 1, TRUE) - 
       $H34*EXP(-RiskFreeRate*TimeToExpiration)*_xlfn.NORM.DIST(CH$2*(LN(Underlying/$H34)+(RiskFreeRate-DividendYield-0.5*CG34^2)*TimeToExpiration)/(CG34*TimeToExpiration^0.5), 0, 1, TRUE)
)</f>
        <v>0.7481226377</v>
      </c>
      <c r="CI34" s="40">
        <f t="shared" si="42"/>
        <v>0.4018673096</v>
      </c>
      <c r="CJ34" s="40">
        <f t="shared" si="43"/>
        <v>0.4022333984</v>
      </c>
      <c r="CK34" s="7">
        <f>CK$2*(Underlying*EXP(-DividendYield*TimeToExpiration)*_xlfn.NORM.DIST(CK$2*(LN(Underlying/$H34)+(RiskFreeRate-DividendYield+0.5*CI34^2)*TimeToExpiration)/(CI34*TimeToExpiration^0.5), 0, 1, TRUE) - 
       $H34*EXP(-RiskFreeRate*TimeToExpiration)*_xlfn.NORM.DIST(CK$2*(LN(Underlying/$H34)+(RiskFreeRate-DividendYield-0.5*CI34^2)*TimeToExpiration)/(CI34*TimeToExpiration^0.5), 0, 1, TRUE)
)</f>
        <v>0.7481226377</v>
      </c>
      <c r="CL34" s="7">
        <f>CL$2*(Underlying*EXP(-DividendYield*TimeToExpiration)*_xlfn.NORM.DIST(CL$2*(LN(Underlying/$H34)+(RiskFreeRate-DividendYield+0.5*CJ34^2)*TimeToExpiration)/(CJ34*TimeToExpiration^0.5), 0, 1, TRUE) - 
       $H34*EXP(-RiskFreeRate*TimeToExpiration)*_xlfn.NORM.DIST(CL$2*(LN(Underlying/$H34)+(RiskFreeRate-DividendYield-0.5*CJ34^2)*TimeToExpiration)/(CJ34*TimeToExpiration^0.5), 0, 1, TRUE)
)</f>
        <v>0.7508900236</v>
      </c>
      <c r="CM34" s="40">
        <f t="shared" si="44"/>
        <v>0.402050354</v>
      </c>
      <c r="CN34" s="8">
        <f>CN$2*(Underlying*EXP(-DividendYield*TimeToExpiration)*_xlfn.NORM.DIST(CN$2*(LN(Underlying/$H34)+(RiskFreeRate-DividendYield+0.5*CM34^2)*TimeToExpiration)/(CM34*TimeToExpiration^0.5), 0, 1, TRUE) - 
       $H34*EXP(-RiskFreeRate*TimeToExpiration)*_xlfn.NORM.DIST(CN$2*(LN(Underlying/$H34)+(RiskFreeRate-DividendYield-0.5*CM34^2)*TimeToExpiration)/(CM34*TimeToExpiration^0.5), 0, 1, TRUE)
)</f>
        <v>0.749505721</v>
      </c>
      <c r="CO34" s="40">
        <f t="shared" si="45"/>
        <v>0.402050354</v>
      </c>
      <c r="CP34" s="40">
        <f t="shared" si="46"/>
        <v>0.4022333984</v>
      </c>
      <c r="CQ34" s="7">
        <f>CQ$2*(Underlying*EXP(-DividendYield*TimeToExpiration)*_xlfn.NORM.DIST(CQ$2*(LN(Underlying/$H34)+(RiskFreeRate-DividendYield+0.5*CO34^2)*TimeToExpiration)/(CO34*TimeToExpiration^0.5), 0, 1, TRUE) - 
       $H34*EXP(-RiskFreeRate*TimeToExpiration)*_xlfn.NORM.DIST(CQ$2*(LN(Underlying/$H34)+(RiskFreeRate-DividendYield-0.5*CO34^2)*TimeToExpiration)/(CO34*TimeToExpiration^0.5), 0, 1, TRUE)
)</f>
        <v>0.749505721</v>
      </c>
      <c r="CR34" s="7">
        <f>CR$2*(Underlying*EXP(-DividendYield*TimeToExpiration)*_xlfn.NORM.DIST(CR$2*(LN(Underlying/$H34)+(RiskFreeRate-DividendYield+0.5*CP34^2)*TimeToExpiration)/(CP34*TimeToExpiration^0.5), 0, 1, TRUE) - 
       $H34*EXP(-RiskFreeRate*TimeToExpiration)*_xlfn.NORM.DIST(CR$2*(LN(Underlying/$H34)+(RiskFreeRate-DividendYield-0.5*CP34^2)*TimeToExpiration)/(CP34*TimeToExpiration^0.5), 0, 1, TRUE)
)</f>
        <v>0.7508900236</v>
      </c>
      <c r="CS34" s="40">
        <f t="shared" si="47"/>
        <v>0.4021418762</v>
      </c>
      <c r="CT34" s="8">
        <f>CT$2*(Underlying*EXP(-DividendYield*TimeToExpiration)*_xlfn.NORM.DIST(CT$2*(LN(Underlying/$H34)+(RiskFreeRate-DividendYield+0.5*CS34^2)*TimeToExpiration)/(CS34*TimeToExpiration^0.5), 0, 1, TRUE) - 
       $H34*EXP(-RiskFreeRate*TimeToExpiration)*_xlfn.NORM.DIST(CT$2*(LN(Underlying/$H34)+(RiskFreeRate-DividendYield-0.5*CS34^2)*TimeToExpiration)/(CS34*TimeToExpiration^0.5), 0, 1, TRUE)
)</f>
        <v>0.75019772</v>
      </c>
      <c r="CU34" s="40">
        <f t="shared" si="48"/>
        <v>0.402050354</v>
      </c>
      <c r="CV34" s="40">
        <f t="shared" si="49"/>
        <v>0.4021418762</v>
      </c>
      <c r="CW34" s="7">
        <f>CW$2*(Underlying*EXP(-DividendYield*TimeToExpiration)*_xlfn.NORM.DIST(CW$2*(LN(Underlying/$H34)+(RiskFreeRate-DividendYield+0.5*CU34^2)*TimeToExpiration)/(CU34*TimeToExpiration^0.5), 0, 1, TRUE) - 
       $H34*EXP(-RiskFreeRate*TimeToExpiration)*_xlfn.NORM.DIST(CW$2*(LN(Underlying/$H34)+(RiskFreeRate-DividendYield-0.5*CU34^2)*TimeToExpiration)/(CU34*TimeToExpiration^0.5), 0, 1, TRUE)
)</f>
        <v>0.749505721</v>
      </c>
      <c r="CX34" s="7">
        <f>CX$2*(Underlying*EXP(-DividendYield*TimeToExpiration)*_xlfn.NORM.DIST(CX$2*(LN(Underlying/$H34)+(RiskFreeRate-DividendYield+0.5*CV34^2)*TimeToExpiration)/(CV34*TimeToExpiration^0.5), 0, 1, TRUE) - 
       $H34*EXP(-RiskFreeRate*TimeToExpiration)*_xlfn.NORM.DIST(CX$2*(LN(Underlying/$H34)+(RiskFreeRate-DividendYield-0.5*CV34^2)*TimeToExpiration)/(CV34*TimeToExpiration^0.5), 0, 1, TRUE)
)</f>
        <v>0.75019772</v>
      </c>
      <c r="CY34" s="40">
        <f t="shared" si="50"/>
        <v>0.4020961151</v>
      </c>
      <c r="CZ34" s="8">
        <f>CZ$2*(Underlying*EXP(-DividendYield*TimeToExpiration)*_xlfn.NORM.DIST(CZ$2*(LN(Underlying/$H34)+(RiskFreeRate-DividendYield+0.5*CY34^2)*TimeToExpiration)/(CY34*TimeToExpiration^0.5), 0, 1, TRUE) - 
       $H34*EXP(-RiskFreeRate*TimeToExpiration)*_xlfn.NORM.DIST(CZ$2*(LN(Underlying/$H34)+(RiskFreeRate-DividendYield-0.5*CY34^2)*TimeToExpiration)/(CY34*TimeToExpiration^0.5), 0, 1, TRUE)
)</f>
        <v>0.7498516824</v>
      </c>
      <c r="DA34" s="40">
        <f t="shared" si="51"/>
        <v>0.4020961151</v>
      </c>
      <c r="DB34" s="40">
        <f t="shared" si="52"/>
        <v>0.4021418762</v>
      </c>
      <c r="DC34" s="7">
        <f>DC$2*(Underlying*EXP(-DividendYield*TimeToExpiration)*_xlfn.NORM.DIST(DC$2*(LN(Underlying/$H34)+(RiskFreeRate-DividendYield+0.5*DA34^2)*TimeToExpiration)/(DA34*TimeToExpiration^0.5), 0, 1, TRUE) - 
       $H34*EXP(-RiskFreeRate*TimeToExpiration)*_xlfn.NORM.DIST(DC$2*(LN(Underlying/$H34)+(RiskFreeRate-DividendYield-0.5*DA34^2)*TimeToExpiration)/(DA34*TimeToExpiration^0.5), 0, 1, TRUE)
)</f>
        <v>0.7498516824</v>
      </c>
      <c r="DD34" s="7">
        <f>DD$2*(Underlying*EXP(-DividendYield*TimeToExpiration)*_xlfn.NORM.DIST(DD$2*(LN(Underlying/$H34)+(RiskFreeRate-DividendYield+0.5*DB34^2)*TimeToExpiration)/(DB34*TimeToExpiration^0.5), 0, 1, TRUE) - 
       $H34*EXP(-RiskFreeRate*TimeToExpiration)*_xlfn.NORM.DIST(DD$2*(LN(Underlying/$H34)+(RiskFreeRate-DividendYield-0.5*DB34^2)*TimeToExpiration)/(DB34*TimeToExpiration^0.5), 0, 1, TRUE)
)</f>
        <v>0.75019772</v>
      </c>
      <c r="DE34" s="40">
        <f t="shared" si="53"/>
        <v>0.4021189957</v>
      </c>
      <c r="DF34" s="8">
        <f>DF$2*(Underlying*EXP(-DividendYield*TimeToExpiration)*_xlfn.NORM.DIST(DF$2*(LN(Underlying/$H34)+(RiskFreeRate-DividendYield+0.5*DE34^2)*TimeToExpiration)/(DE34*TimeToExpiration^0.5), 0, 1, TRUE) - 
       $H34*EXP(-RiskFreeRate*TimeToExpiration)*_xlfn.NORM.DIST(DF$2*(LN(Underlying/$H34)+(RiskFreeRate-DividendYield-0.5*DE34^2)*TimeToExpiration)/(DE34*TimeToExpiration^0.5), 0, 1, TRUE)
)</f>
        <v>0.7500246917</v>
      </c>
    </row>
    <row r="35">
      <c r="A35" s="20">
        <f>'Option Mkt Data'!A35</f>
        <v>370</v>
      </c>
      <c r="B35" s="35">
        <f t="shared" ref="B35:C35" si="82">DE35</f>
        <v>0.411133934</v>
      </c>
      <c r="C35" s="7">
        <f t="shared" si="82"/>
        <v>0.6350758882</v>
      </c>
      <c r="D35" s="7">
        <f t="shared" si="3"/>
        <v>0.00007589768618</v>
      </c>
      <c r="E35" s="9">
        <f t="shared" si="4"/>
        <v>0.000119523917</v>
      </c>
      <c r="F35" s="36">
        <f>D35/'Option Mkt Data'!L35</f>
        <v>0.007589775448</v>
      </c>
      <c r="G35" s="5">
        <f>'Option Mkt Data'!J35</f>
        <v>0.6349999905</v>
      </c>
      <c r="H35" s="33">
        <f>'Option Mkt Data'!A35</f>
        <v>370</v>
      </c>
      <c r="I35" s="37">
        <f>MinSolverVola</f>
        <v>0.001</v>
      </c>
      <c r="J35" s="38">
        <f>MaxSolverVola</f>
        <v>3</v>
      </c>
      <c r="K35" s="39">
        <f>K$2*(Underlying*EXP(-DividendYield*TimeToExpiration)*_xlfn.NORM.DIST(K$2*(LN(Underlying/$H35)+(RiskFreeRate-DividendYield+0.5*I35^2)*TimeToExpiration)/(I35*TimeToExpiration^0.5), 0, 1, TRUE) - 
       $H35*EXP(-RiskFreeRate*TimeToExpiration)*_xlfn.NORM.DIST(K$2*(LN(Underlying/$H35)+(RiskFreeRate-DividendYield-0.5*I35^2)*TimeToExpiration)/(I35*TimeToExpiration^0.5), 0, 1, TRUE)
)</f>
        <v>0</v>
      </c>
      <c r="L35" s="7">
        <f>L$2*(Underlying*EXP(-DividendYield*TimeToExpiration)*_xlfn.NORM.DIST(L$2*(LN(Underlying/$H35)+(RiskFreeRate-DividendYield+0.5*J35^2)*TimeToExpiration)/(J35*TimeToExpiration^0.5), 0, 1, TRUE) - 
       $H35*EXP(-RiskFreeRate*TimeToExpiration)*_xlfn.NORM.DIST(L$2*(LN(Underlying/$H35)+(RiskFreeRate-DividendYield-0.5*J35^2)*TimeToExpiration)/(J35*TimeToExpiration^0.5), 0, 1, TRUE)
)</f>
        <v>45.52916553</v>
      </c>
      <c r="M35" s="40">
        <f t="shared" si="5"/>
        <v>1.5005</v>
      </c>
      <c r="N35" s="8">
        <f>N$2*(Underlying*EXP(-DividendYield*TimeToExpiration)*_xlfn.NORM.DIST(N$2*(LN(Underlying/$H35)+(RiskFreeRate-DividendYield+0.5*M35^2)*TimeToExpiration)/(M35*TimeToExpiration^0.5), 0, 1, TRUE) - 
       $H35*EXP(-RiskFreeRate*TimeToExpiration)*_xlfn.NORM.DIST(N$2*(LN(Underlying/$H35)+(RiskFreeRate-DividendYield-0.5*M35^2)*TimeToExpiration)/(M35*TimeToExpiration^0.5), 0, 1, TRUE)
)</f>
        <v>17.14621955</v>
      </c>
      <c r="O35" s="41">
        <f t="shared" si="6"/>
        <v>0.001</v>
      </c>
      <c r="P35" s="40">
        <f t="shared" si="7"/>
        <v>1.5005</v>
      </c>
      <c r="Q35" s="7">
        <f>Q$2*(Underlying*EXP(-DividendYield*TimeToExpiration)*_xlfn.NORM.DIST(Q$2*(LN(Underlying/$H35)+(RiskFreeRate-DividendYield+0.5*O35^2)*TimeToExpiration)/(O35*TimeToExpiration^0.5), 0, 1, TRUE) - 
       $H35*EXP(-RiskFreeRate*TimeToExpiration)*_xlfn.NORM.DIST(Q$2*(LN(Underlying/$H35)+(RiskFreeRate-DividendYield-0.5*O35^2)*TimeToExpiration)/(O35*TimeToExpiration^0.5), 0, 1, TRUE))</f>
        <v>0</v>
      </c>
      <c r="R35" s="7">
        <f>R$2*(Underlying*EXP(-DividendYield*TimeToExpiration)*_xlfn.NORM.DIST(R$2*(LN(Underlying/$H35)+(RiskFreeRate-DividendYield+0.5*P35^2)*TimeToExpiration)/(P35*TimeToExpiration^0.5), 0, 1, TRUE) - 
       $H35*EXP(-RiskFreeRate*TimeToExpiration)*_xlfn.NORM.DIST(R$2*(LN(Underlying/$H35)+(RiskFreeRate-DividendYield-0.5*P35^2)*TimeToExpiration)/(P35*TimeToExpiration^0.5), 0, 1, TRUE)
)</f>
        <v>17.14621955</v>
      </c>
      <c r="S35" s="40">
        <f t="shared" si="8"/>
        <v>0.75075</v>
      </c>
      <c r="T35" s="8">
        <f>T$2*(Underlying*EXP(-DividendYield*TimeToExpiration)*_xlfn.NORM.DIST(T$2*(LN(Underlying/$H35)+(RiskFreeRate-DividendYield+0.5*S35^2)*TimeToExpiration)/(S35*TimeToExpiration^0.5), 0, 1, TRUE) - 
       $H35*EXP(-RiskFreeRate*TimeToExpiration)*_xlfn.NORM.DIST(T$2*(LN(Underlying/$H35)+(RiskFreeRate-DividendYield-0.5*S35^2)*TimeToExpiration)/(S35*TimeToExpiration^0.5), 0, 1, TRUE)
)</f>
        <v>4.444233794</v>
      </c>
      <c r="U35" s="41">
        <f t="shared" si="9"/>
        <v>0.001</v>
      </c>
      <c r="V35" s="40">
        <f t="shared" si="10"/>
        <v>0.75075</v>
      </c>
      <c r="W35" s="7">
        <f>W$2*(Underlying*EXP(-DividendYield*TimeToExpiration)*_xlfn.NORM.DIST(W$2*(LN(Underlying/$H35)+(RiskFreeRate-DividendYield+0.5*U35^2)*TimeToExpiration)/(U35*TimeToExpiration^0.5), 0, 1, TRUE) - 
       $H35*EXP(-RiskFreeRate*TimeToExpiration)*_xlfn.NORM.DIST(W$2*(LN(Underlying/$H35)+(RiskFreeRate-DividendYield-0.5*U35^2)*TimeToExpiration)/(U35*TimeToExpiration^0.5), 0, 1, TRUE)
)</f>
        <v>0</v>
      </c>
      <c r="X35" s="7">
        <f>X$2*(Underlying*EXP(-DividendYield*TimeToExpiration)*_xlfn.NORM.DIST(X$2*(LN(Underlying/$H35)+(RiskFreeRate-DividendYield+0.5*V35^2)*TimeToExpiration)/(V35*TimeToExpiration^0.5), 0, 1, TRUE) - 
       $H35*EXP(-RiskFreeRate*TimeToExpiration)*_xlfn.NORM.DIST(X$2*(LN(Underlying/$H35)+(RiskFreeRate-DividendYield-0.5*V35^2)*TimeToExpiration)/(V35*TimeToExpiration^0.5), 0, 1, TRUE)
)</f>
        <v>4.444233794</v>
      </c>
      <c r="Y35" s="40">
        <f t="shared" si="11"/>
        <v>0.375875</v>
      </c>
      <c r="Z35" s="8">
        <f>Z$2*(Underlying*EXP(-DividendYield*TimeToExpiration)*_xlfn.NORM.DIST(Z$2*(LN(Underlying/$H35)+(RiskFreeRate-DividendYield+0.5*Y35^2)*TimeToExpiration)/(Y35*TimeToExpiration^0.5), 0, 1, TRUE) - 
       $H35*EXP(-RiskFreeRate*TimeToExpiration)*_xlfn.NORM.DIST(Z$2*(LN(Underlying/$H35)+(RiskFreeRate-DividendYield-0.5*Y35^2)*TimeToExpiration)/(Y35*TimeToExpiration^0.5), 0, 1, TRUE)
)</f>
        <v>0.4212250896</v>
      </c>
      <c r="AA35" s="40">
        <f t="shared" si="12"/>
        <v>0.375875</v>
      </c>
      <c r="AB35" s="40">
        <f t="shared" si="13"/>
        <v>0.75075</v>
      </c>
      <c r="AC35" s="7">
        <f>AC$2*(Underlying*EXP(-DividendYield*TimeToExpiration)*_xlfn.NORM.DIST(AC$2*(LN(Underlying/$H35)+(RiskFreeRate-DividendYield+0.5*AA35^2)*TimeToExpiration)/(AA35*TimeToExpiration^0.5), 0, 1, TRUE) - 
       $H35*EXP(-RiskFreeRate*TimeToExpiration)*_xlfn.NORM.DIST(AC$2*(LN(Underlying/$H35)+(RiskFreeRate-DividendYield-0.5*AA35^2)*TimeToExpiration)/(AA35*TimeToExpiration^0.5), 0, 1, TRUE)
)</f>
        <v>0.4212250896</v>
      </c>
      <c r="AD35" s="7">
        <f>AD$2*(Underlying*EXP(-DividendYield*TimeToExpiration)*_xlfn.NORM.DIST(AD$2*(LN(Underlying/$H35)+(RiskFreeRate-DividendYield+0.5*AB35^2)*TimeToExpiration)/(AB35*TimeToExpiration^0.5), 0, 1, TRUE) - 
       $H35*EXP(-RiskFreeRate*TimeToExpiration)*_xlfn.NORM.DIST(AD$2*(LN(Underlying/$H35)+(RiskFreeRate-DividendYield-0.5*AB35^2)*TimeToExpiration)/(AB35*TimeToExpiration^0.5), 0, 1, TRUE)
)</f>
        <v>4.444233794</v>
      </c>
      <c r="AE35" s="40">
        <f t="shared" si="14"/>
        <v>0.5633125</v>
      </c>
      <c r="AF35" s="8">
        <f>AF$2*(Underlying*EXP(-DividendYield*TimeToExpiration)*_xlfn.NORM.DIST(AF$2*(LN(Underlying/$H35)+(RiskFreeRate-DividendYield+0.5*AE35^2)*TimeToExpiration)/(AE35*TimeToExpiration^0.5), 0, 1, TRUE) - 
       $H35*EXP(-RiskFreeRate*TimeToExpiration)*_xlfn.NORM.DIST(AF$2*(LN(Underlying/$H35)+(RiskFreeRate-DividendYield-0.5*AE35^2)*TimeToExpiration)/(AE35*TimeToExpiration^0.5), 0, 1, TRUE)
)</f>
        <v>2.019504979</v>
      </c>
      <c r="AG35" s="40">
        <f t="shared" si="15"/>
        <v>0.375875</v>
      </c>
      <c r="AH35" s="40">
        <f t="shared" si="16"/>
        <v>0.5633125</v>
      </c>
      <c r="AI35" s="7">
        <f>AI$2*(Underlying*EXP(-DividendYield*TimeToExpiration)*_xlfn.NORM.DIST(AI$2*(LN(Underlying/$H35)+(RiskFreeRate-DividendYield+0.5*AG35^2)*TimeToExpiration)/(AG35*TimeToExpiration^0.5), 0, 1, TRUE) - 
       $H35*EXP(-RiskFreeRate*TimeToExpiration)*_xlfn.NORM.DIST(AI$2*(LN(Underlying/$H35)+(RiskFreeRate-DividendYield-0.5*AG35^2)*TimeToExpiration)/(AG35*TimeToExpiration^0.5), 0, 1, TRUE)
)</f>
        <v>0.4212250896</v>
      </c>
      <c r="AJ35" s="7">
        <f>AJ$2*(Underlying*EXP(-DividendYield*TimeToExpiration)*_xlfn.NORM.DIST(AJ$2*(LN(Underlying/$H35)+(RiskFreeRate-DividendYield+0.5*AH35^2)*TimeToExpiration)/(AH35*TimeToExpiration^0.5), 0, 1, TRUE) - 
       $H35*EXP(-RiskFreeRate*TimeToExpiration)*_xlfn.NORM.DIST(AJ$2*(LN(Underlying/$H35)+(RiskFreeRate-DividendYield-0.5*AH35^2)*TimeToExpiration)/(AH35*TimeToExpiration^0.5), 0, 1, TRUE)
)</f>
        <v>2.019504979</v>
      </c>
      <c r="AK35" s="40">
        <f t="shared" si="17"/>
        <v>0.46959375</v>
      </c>
      <c r="AL35" s="8">
        <f>AL$2*(Underlying*EXP(-DividendYield*TimeToExpiration)*_xlfn.NORM.DIST(AL$2*(LN(Underlying/$H35)+(RiskFreeRate-DividendYield+0.5*AK35^2)*TimeToExpiration)/(AK35*TimeToExpiration^0.5), 0, 1, TRUE) - 
       $H35*EXP(-RiskFreeRate*TimeToExpiration)*_xlfn.NORM.DIST(AL$2*(LN(Underlying/$H35)+(RiskFreeRate-DividendYield-0.5*AK35^2)*TimeToExpiration)/(AK35*TimeToExpiration^0.5), 0, 1, TRUE)
)</f>
        <v>1.085323001</v>
      </c>
      <c r="AM35" s="40">
        <f t="shared" si="18"/>
        <v>0.375875</v>
      </c>
      <c r="AN35" s="40">
        <f t="shared" si="19"/>
        <v>0.46959375</v>
      </c>
      <c r="AO35" s="7">
        <f>AO$2*(Underlying*EXP(-DividendYield*TimeToExpiration)*_xlfn.NORM.DIST(AO$2*(LN(Underlying/$H35)+(RiskFreeRate-DividendYield+0.5*AM35^2)*TimeToExpiration)/(AM35*TimeToExpiration^0.5), 0, 1, TRUE) - 
       $H35*EXP(-RiskFreeRate*TimeToExpiration)*_xlfn.NORM.DIST(AO$2*(LN(Underlying/$H35)+(RiskFreeRate-DividendYield-0.5*AM35^2)*TimeToExpiration)/(AM35*TimeToExpiration^0.5), 0, 1, TRUE)
)</f>
        <v>0.4212250896</v>
      </c>
      <c r="AP35" s="7">
        <f>AP$2*(Underlying*EXP(-DividendYield*TimeToExpiration)*_xlfn.NORM.DIST(AP$2*(LN(Underlying/$H35)+(RiskFreeRate-DividendYield+0.5*AN35^2)*TimeToExpiration)/(AN35*TimeToExpiration^0.5), 0, 1, TRUE) - 
       $H35*EXP(-RiskFreeRate*TimeToExpiration)*_xlfn.NORM.DIST(AP$2*(LN(Underlying/$H35)+(RiskFreeRate-DividendYield-0.5*AN35^2)*TimeToExpiration)/(AN35*TimeToExpiration^0.5), 0, 1, TRUE)
)</f>
        <v>1.085323001</v>
      </c>
      <c r="AQ35" s="40">
        <f t="shared" si="20"/>
        <v>0.422734375</v>
      </c>
      <c r="AR35" s="8">
        <f>AR$2*(Underlying*EXP(-DividendYield*TimeToExpiration)*_xlfn.NORM.DIST(AR$2*(LN(Underlying/$H35)+(RiskFreeRate-DividendYield+0.5*AQ35^2)*TimeToExpiration)/(AQ35*TimeToExpiration^0.5), 0, 1, TRUE) - 
       $H35*EXP(-RiskFreeRate*TimeToExpiration)*_xlfn.NORM.DIST(AR$2*(LN(Underlying/$H35)+(RiskFreeRate-DividendYield-0.5*AQ35^2)*TimeToExpiration)/(AQ35*TimeToExpiration^0.5), 0, 1, TRUE)
)</f>
        <v>0.7152426766</v>
      </c>
      <c r="AS35" s="40">
        <f t="shared" si="21"/>
        <v>0.375875</v>
      </c>
      <c r="AT35" s="40">
        <f t="shared" si="22"/>
        <v>0.422734375</v>
      </c>
      <c r="AU35" s="7">
        <f>AU$2*(Underlying*EXP(-DividendYield*TimeToExpiration)*_xlfn.NORM.DIST(AU$2*(LN(Underlying/$H35)+(RiskFreeRate-DividendYield+0.5*AS35^2)*TimeToExpiration)/(AS35*TimeToExpiration^0.5), 0, 1, TRUE) - 
       $H35*EXP(-RiskFreeRate*TimeToExpiration)*_xlfn.NORM.DIST(AU$2*(LN(Underlying/$H35)+(RiskFreeRate-DividendYield-0.5*AS35^2)*TimeToExpiration)/(AS35*TimeToExpiration^0.5), 0, 1, TRUE)
)</f>
        <v>0.4212250896</v>
      </c>
      <c r="AV35" s="7">
        <f>AV$2*(Underlying*EXP(-DividendYield*TimeToExpiration)*_xlfn.NORM.DIST(AV$2*(LN(Underlying/$H35)+(RiskFreeRate-DividendYield+0.5*AT35^2)*TimeToExpiration)/(AT35*TimeToExpiration^0.5), 0, 1, TRUE) - 
       $H35*EXP(-RiskFreeRate*TimeToExpiration)*_xlfn.NORM.DIST(AV$2*(LN(Underlying/$H35)+(RiskFreeRate-DividendYield-0.5*AT35^2)*TimeToExpiration)/(AT35*TimeToExpiration^0.5), 0, 1, TRUE)
)</f>
        <v>0.7152426766</v>
      </c>
      <c r="AW35" s="40">
        <f t="shared" si="23"/>
        <v>0.3993046875</v>
      </c>
      <c r="AX35" s="8">
        <f>AX$2*(Underlying*EXP(-DividendYield*TimeToExpiration)*_xlfn.NORM.DIST(AX$2*(LN(Underlying/$H35)+(RiskFreeRate-DividendYield+0.5*AW35^2)*TimeToExpiration)/(AW35*TimeToExpiration^0.5), 0, 1, TRUE) - 
       $H35*EXP(-RiskFreeRate*TimeToExpiration)*_xlfn.NORM.DIST(AX$2*(LN(Underlying/$H35)+(RiskFreeRate-DividendYield-0.5*AW35^2)*TimeToExpiration)/(AW35*TimeToExpiration^0.5), 0, 1, TRUE)
)</f>
        <v>0.5582590092</v>
      </c>
      <c r="AY35" s="40">
        <f t="shared" si="24"/>
        <v>0.3993046875</v>
      </c>
      <c r="AZ35" s="40">
        <f t="shared" si="25"/>
        <v>0.422734375</v>
      </c>
      <c r="BA35" s="7">
        <f>BA$2*(Underlying*EXP(-DividendYield*TimeToExpiration)*_xlfn.NORM.DIST(BA$2*(LN(Underlying/$H35)+(RiskFreeRate-DividendYield+0.5*AY35^2)*TimeToExpiration)/(AY35*TimeToExpiration^0.5), 0, 1, TRUE) - 
       $H35*EXP(-RiskFreeRate*TimeToExpiration)*_xlfn.NORM.DIST(BA$2*(LN(Underlying/$H35)+(RiskFreeRate-DividendYield-0.5*AY35^2)*TimeToExpiration)/(AY35*TimeToExpiration^0.5), 0, 1, TRUE)
)</f>
        <v>0.5582590092</v>
      </c>
      <c r="BB35" s="7">
        <f>BB$2*(Underlying*EXP(-DividendYield*TimeToExpiration)*_xlfn.NORM.DIST(BB$2*(LN(Underlying/$H35)+(RiskFreeRate-DividendYield+0.5*AZ35^2)*TimeToExpiration)/(AZ35*TimeToExpiration^0.5), 0, 1, TRUE) - 
       $H35*EXP(-RiskFreeRate*TimeToExpiration)*_xlfn.NORM.DIST(BB$2*(LN(Underlying/$H35)+(RiskFreeRate-DividendYield-0.5*AZ35^2)*TimeToExpiration)/(AZ35*TimeToExpiration^0.5), 0, 1, TRUE)
)</f>
        <v>0.7152426766</v>
      </c>
      <c r="BC35" s="40">
        <f t="shared" si="26"/>
        <v>0.4110195313</v>
      </c>
      <c r="BD35" s="8">
        <f>BD$2*(Underlying*EXP(-DividendYield*TimeToExpiration)*_xlfn.NORM.DIST(BD$2*(LN(Underlying/$H35)+(RiskFreeRate-DividendYield+0.5*BC35^2)*TimeToExpiration)/(BC35*TimeToExpiration^0.5), 0, 1, TRUE) - 
       $H35*EXP(-RiskFreeRate*TimeToExpiration)*_xlfn.NORM.DIST(BD$2*(LN(Underlying/$H35)+(RiskFreeRate-DividendYield-0.5*BC35^2)*TimeToExpiration)/(BC35*TimeToExpiration^0.5), 0, 1, TRUE)
)</f>
        <v>0.6343089482</v>
      </c>
      <c r="BE35" s="40">
        <f t="shared" si="27"/>
        <v>0.4110195313</v>
      </c>
      <c r="BF35" s="40">
        <f t="shared" si="28"/>
        <v>0.422734375</v>
      </c>
      <c r="BG35" s="7">
        <f>BG$2*(Underlying*EXP(-DividendYield*TimeToExpiration)*_xlfn.NORM.DIST(BG$2*(LN(Underlying/$H35)+(RiskFreeRate-DividendYield+0.5*BE35^2)*TimeToExpiration)/(BE35*TimeToExpiration^0.5), 0, 1, TRUE) - 
       $H35*EXP(-RiskFreeRate*TimeToExpiration)*_xlfn.NORM.DIST(BG$2*(LN(Underlying/$H35)+(RiskFreeRate-DividendYield-0.5*BE35^2)*TimeToExpiration)/(BE35*TimeToExpiration^0.5), 0, 1, TRUE)
)</f>
        <v>0.6343089482</v>
      </c>
      <c r="BH35" s="7">
        <f>BH$2*(Underlying*EXP(-DividendYield*TimeToExpiration)*_xlfn.NORM.DIST(BH$2*(LN(Underlying/$H35)+(RiskFreeRate-DividendYield+0.5*BF35^2)*TimeToExpiration)/(BF35*TimeToExpiration^0.5), 0, 1, TRUE) - 
       $H35*EXP(-RiskFreeRate*TimeToExpiration)*_xlfn.NORM.DIST(BH$2*(LN(Underlying/$H35)+(RiskFreeRate-DividendYield-0.5*BF35^2)*TimeToExpiration)/(BF35*TimeToExpiration^0.5), 0, 1, TRUE)
)</f>
        <v>0.7152426766</v>
      </c>
      <c r="BI35" s="40">
        <f t="shared" si="29"/>
        <v>0.4168769531</v>
      </c>
      <c r="BJ35" s="8">
        <f>BJ$2*(Underlying*EXP(-DividendYield*TimeToExpiration)*_xlfn.NORM.DIST(BJ$2*(LN(Underlying/$H35)+(RiskFreeRate-DividendYield+0.5*BI35^2)*TimeToExpiration)/(BI35*TimeToExpiration^0.5), 0, 1, TRUE) - 
       $H35*EXP(-RiskFreeRate*TimeToExpiration)*_xlfn.NORM.DIST(BJ$2*(LN(Underlying/$H35)+(RiskFreeRate-DividendYield-0.5*BI35^2)*TimeToExpiration)/(BI35*TimeToExpiration^0.5), 0, 1, TRUE)
)</f>
        <v>0.6741725391</v>
      </c>
      <c r="BK35" s="40">
        <f t="shared" si="30"/>
        <v>0.4110195313</v>
      </c>
      <c r="BL35" s="40">
        <f t="shared" si="31"/>
        <v>0.4168769531</v>
      </c>
      <c r="BM35" s="7">
        <f>BM$2*(Underlying*EXP(-DividendYield*TimeToExpiration)*_xlfn.NORM.DIST(BM$2*(LN(Underlying/$H35)+(RiskFreeRate-DividendYield+0.5*BK35^2)*TimeToExpiration)/(BK35*TimeToExpiration^0.5), 0, 1, TRUE) - 
       $H35*EXP(-RiskFreeRate*TimeToExpiration)*_xlfn.NORM.DIST(BM$2*(LN(Underlying/$H35)+(RiskFreeRate-DividendYield-0.5*BK35^2)*TimeToExpiration)/(BK35*TimeToExpiration^0.5), 0, 1, TRUE)
)</f>
        <v>0.6343089482</v>
      </c>
      <c r="BN35" s="7">
        <f>BN$2*(Underlying*EXP(-DividendYield*TimeToExpiration)*_xlfn.NORM.DIST(BN$2*(LN(Underlying/$H35)+(RiskFreeRate-DividendYield+0.5*BL35^2)*TimeToExpiration)/(BL35*TimeToExpiration^0.5), 0, 1, TRUE) - 
       $H35*EXP(-RiskFreeRate*TimeToExpiration)*_xlfn.NORM.DIST(BN$2*(LN(Underlying/$H35)+(RiskFreeRate-DividendYield-0.5*BL35^2)*TimeToExpiration)/(BL35*TimeToExpiration^0.5), 0, 1, TRUE)
)</f>
        <v>0.6741725391</v>
      </c>
      <c r="BO35" s="40">
        <f t="shared" si="32"/>
        <v>0.4139482422</v>
      </c>
      <c r="BP35" s="8">
        <f>BP$2*(Underlying*EXP(-DividendYield*TimeToExpiration)*_xlfn.NORM.DIST(BP$2*(LN(Underlying/$H35)+(RiskFreeRate-DividendYield+0.5*BO35^2)*TimeToExpiration)/(BO35*TimeToExpiration^0.5), 0, 1, TRUE) - 
       $H35*EXP(-RiskFreeRate*TimeToExpiration)*_xlfn.NORM.DIST(BP$2*(LN(Underlying/$H35)+(RiskFreeRate-DividendYield-0.5*BO35^2)*TimeToExpiration)/(BO35*TimeToExpiration^0.5), 0, 1, TRUE)
)</f>
        <v>0.6540889985</v>
      </c>
      <c r="BQ35" s="40">
        <f t="shared" si="33"/>
        <v>0.4110195313</v>
      </c>
      <c r="BR35" s="40">
        <f t="shared" si="34"/>
        <v>0.4139482422</v>
      </c>
      <c r="BS35" s="7">
        <f>BS$2*(Underlying*EXP(-DividendYield*TimeToExpiration)*_xlfn.NORM.DIST(BS$2*(LN(Underlying/$H35)+(RiskFreeRate-DividendYield+0.5*BQ35^2)*TimeToExpiration)/(BQ35*TimeToExpiration^0.5), 0, 1, TRUE) - 
       $H35*EXP(-RiskFreeRate*TimeToExpiration)*_xlfn.NORM.DIST(BS$2*(LN(Underlying/$H35)+(RiskFreeRate-DividendYield-0.5*BQ35^2)*TimeToExpiration)/(BQ35*TimeToExpiration^0.5), 0, 1, TRUE)
)</f>
        <v>0.6343089482</v>
      </c>
      <c r="BT35" s="7">
        <f>BT$2*(Underlying*EXP(-DividendYield*TimeToExpiration)*_xlfn.NORM.DIST(BT$2*(LN(Underlying/$H35)+(RiskFreeRate-DividendYield+0.5*BR35^2)*TimeToExpiration)/(BR35*TimeToExpiration^0.5), 0, 1, TRUE) - 
       $H35*EXP(-RiskFreeRate*TimeToExpiration)*_xlfn.NORM.DIST(BT$2*(LN(Underlying/$H35)+(RiskFreeRate-DividendYield-0.5*BR35^2)*TimeToExpiration)/(BR35*TimeToExpiration^0.5), 0, 1, TRUE)
)</f>
        <v>0.6540889985</v>
      </c>
      <c r="BU35" s="40">
        <f t="shared" si="35"/>
        <v>0.4124838867</v>
      </c>
      <c r="BV35" s="8">
        <f>BV$2*(Underlying*EXP(-DividendYield*TimeToExpiration)*_xlfn.NORM.DIST(BV$2*(LN(Underlying/$H35)+(RiskFreeRate-DividendYield+0.5*BU35^2)*TimeToExpiration)/(BU35*TimeToExpiration^0.5), 0, 1, TRUE) - 
       $H35*EXP(-RiskFreeRate*TimeToExpiration)*_xlfn.NORM.DIST(BV$2*(LN(Underlying/$H35)+(RiskFreeRate-DividendYield-0.5*BU35^2)*TimeToExpiration)/(BU35*TimeToExpiration^0.5), 0, 1, TRUE)
)</f>
        <v>0.6441609234</v>
      </c>
      <c r="BW35" s="40">
        <f t="shared" si="36"/>
        <v>0.4110195313</v>
      </c>
      <c r="BX35" s="40">
        <f t="shared" si="37"/>
        <v>0.4124838867</v>
      </c>
      <c r="BY35" s="7">
        <f>BY$2*(Underlying*EXP(-DividendYield*TimeToExpiration)*_xlfn.NORM.DIST(BY$2*(LN(Underlying/$H35)+(RiskFreeRate-DividendYield+0.5*BW35^2)*TimeToExpiration)/(BW35*TimeToExpiration^0.5), 0, 1, TRUE) - 
       $H35*EXP(-RiskFreeRate*TimeToExpiration)*_xlfn.NORM.DIST(BY$2*(LN(Underlying/$H35)+(RiskFreeRate-DividendYield-0.5*BW35^2)*TimeToExpiration)/(BW35*TimeToExpiration^0.5), 0, 1, TRUE)
)</f>
        <v>0.6343089482</v>
      </c>
      <c r="BZ35" s="7">
        <f>BZ$2*(Underlying*EXP(-DividendYield*TimeToExpiration)*_xlfn.NORM.DIST(BZ$2*(LN(Underlying/$H35)+(RiskFreeRate-DividendYield+0.5*BX35^2)*TimeToExpiration)/(BX35*TimeToExpiration^0.5), 0, 1, TRUE) - 
       $H35*EXP(-RiskFreeRate*TimeToExpiration)*_xlfn.NORM.DIST(BZ$2*(LN(Underlying/$H35)+(RiskFreeRate-DividendYield-0.5*BX35^2)*TimeToExpiration)/(BX35*TimeToExpiration^0.5), 0, 1, TRUE)
)</f>
        <v>0.6441609234</v>
      </c>
      <c r="CA35" s="40">
        <f t="shared" si="38"/>
        <v>0.411751709</v>
      </c>
      <c r="CB35" s="8">
        <f>CB$2*(Underlying*EXP(-DividendYield*TimeToExpiration)*_xlfn.NORM.DIST(CB$2*(LN(Underlying/$H35)+(RiskFreeRate-DividendYield+0.5*CA35^2)*TimeToExpiration)/(CA35*TimeToExpiration^0.5), 0, 1, TRUE) - 
       $H35*EXP(-RiskFreeRate*TimeToExpiration)*_xlfn.NORM.DIST(CB$2*(LN(Underlying/$H35)+(RiskFreeRate-DividendYield-0.5*CA35^2)*TimeToExpiration)/(CA35*TimeToExpiration^0.5), 0, 1, TRUE)
)</f>
        <v>0.6392254092</v>
      </c>
      <c r="CC35" s="40">
        <f t="shared" si="39"/>
        <v>0.4110195313</v>
      </c>
      <c r="CD35" s="40">
        <f t="shared" si="40"/>
        <v>0.411751709</v>
      </c>
      <c r="CE35" s="7">
        <f>CE$2*(Underlying*EXP(-DividendYield*TimeToExpiration)*_xlfn.NORM.DIST(CE$2*(LN(Underlying/$H35)+(RiskFreeRate-DividendYield+0.5*CC35^2)*TimeToExpiration)/(CC35*TimeToExpiration^0.5), 0, 1, TRUE) - 
       $H35*EXP(-RiskFreeRate*TimeToExpiration)*_xlfn.NORM.DIST(CE$2*(LN(Underlying/$H35)+(RiskFreeRate-DividendYield-0.5*CC35^2)*TimeToExpiration)/(CC35*TimeToExpiration^0.5), 0, 1, TRUE)
)</f>
        <v>0.6343089482</v>
      </c>
      <c r="CF35" s="7">
        <f>CF$2*(Underlying*EXP(-DividendYield*TimeToExpiration)*_xlfn.NORM.DIST(CF$2*(LN(Underlying/$H35)+(RiskFreeRate-DividendYield+0.5*CD35^2)*TimeToExpiration)/(CD35*TimeToExpiration^0.5), 0, 1, TRUE) - 
       $H35*EXP(-RiskFreeRate*TimeToExpiration)*_xlfn.NORM.DIST(CF$2*(LN(Underlying/$H35)+(RiskFreeRate-DividendYield-0.5*CD35^2)*TimeToExpiration)/(CD35*TimeToExpiration^0.5), 0, 1, TRUE)
)</f>
        <v>0.6392254092</v>
      </c>
      <c r="CG35" s="40">
        <f t="shared" si="41"/>
        <v>0.4113856201</v>
      </c>
      <c r="CH35" s="8">
        <f>CH$2*(Underlying*EXP(-DividendYield*TimeToExpiration)*_xlfn.NORM.DIST(CH$2*(LN(Underlying/$H35)+(RiskFreeRate-DividendYield+0.5*CG35^2)*TimeToExpiration)/(CG35*TimeToExpiration^0.5), 0, 1, TRUE) - 
       $H35*EXP(-RiskFreeRate*TimeToExpiration)*_xlfn.NORM.DIST(CH$2*(LN(Underlying/$H35)+(RiskFreeRate-DividendYield-0.5*CG35^2)*TimeToExpiration)/(CG35*TimeToExpiration^0.5), 0, 1, TRUE)
)</f>
        <v>0.6367647953</v>
      </c>
      <c r="CI35" s="40">
        <f t="shared" si="42"/>
        <v>0.4110195313</v>
      </c>
      <c r="CJ35" s="40">
        <f t="shared" si="43"/>
        <v>0.4113856201</v>
      </c>
      <c r="CK35" s="7">
        <f>CK$2*(Underlying*EXP(-DividendYield*TimeToExpiration)*_xlfn.NORM.DIST(CK$2*(LN(Underlying/$H35)+(RiskFreeRate-DividendYield+0.5*CI35^2)*TimeToExpiration)/(CI35*TimeToExpiration^0.5), 0, 1, TRUE) - 
       $H35*EXP(-RiskFreeRate*TimeToExpiration)*_xlfn.NORM.DIST(CK$2*(LN(Underlying/$H35)+(RiskFreeRate-DividendYield-0.5*CI35^2)*TimeToExpiration)/(CI35*TimeToExpiration^0.5), 0, 1, TRUE)
)</f>
        <v>0.6343089482</v>
      </c>
      <c r="CL35" s="7">
        <f>CL$2*(Underlying*EXP(-DividendYield*TimeToExpiration)*_xlfn.NORM.DIST(CL$2*(LN(Underlying/$H35)+(RiskFreeRate-DividendYield+0.5*CJ35^2)*TimeToExpiration)/(CJ35*TimeToExpiration^0.5), 0, 1, TRUE) - 
       $H35*EXP(-RiskFreeRate*TimeToExpiration)*_xlfn.NORM.DIST(CL$2*(LN(Underlying/$H35)+(RiskFreeRate-DividendYield-0.5*CJ35^2)*TimeToExpiration)/(CJ35*TimeToExpiration^0.5), 0, 1, TRUE)
)</f>
        <v>0.6367647953</v>
      </c>
      <c r="CM35" s="40">
        <f t="shared" si="44"/>
        <v>0.4112025757</v>
      </c>
      <c r="CN35" s="8">
        <f>CN$2*(Underlying*EXP(-DividendYield*TimeToExpiration)*_xlfn.NORM.DIST(CN$2*(LN(Underlying/$H35)+(RiskFreeRate-DividendYield+0.5*CM35^2)*TimeToExpiration)/(CM35*TimeToExpiration^0.5), 0, 1, TRUE) - 
       $H35*EXP(-RiskFreeRate*TimeToExpiration)*_xlfn.NORM.DIST(CN$2*(LN(Underlying/$H35)+(RiskFreeRate-DividendYield-0.5*CM35^2)*TimeToExpiration)/(CM35*TimeToExpiration^0.5), 0, 1, TRUE)
)</f>
        <v>0.6355362757</v>
      </c>
      <c r="CO35" s="40">
        <f t="shared" si="45"/>
        <v>0.4110195313</v>
      </c>
      <c r="CP35" s="40">
        <f t="shared" si="46"/>
        <v>0.4112025757</v>
      </c>
      <c r="CQ35" s="7">
        <f>CQ$2*(Underlying*EXP(-DividendYield*TimeToExpiration)*_xlfn.NORM.DIST(CQ$2*(LN(Underlying/$H35)+(RiskFreeRate-DividendYield+0.5*CO35^2)*TimeToExpiration)/(CO35*TimeToExpiration^0.5), 0, 1, TRUE) - 
       $H35*EXP(-RiskFreeRate*TimeToExpiration)*_xlfn.NORM.DIST(CQ$2*(LN(Underlying/$H35)+(RiskFreeRate-DividendYield-0.5*CO35^2)*TimeToExpiration)/(CO35*TimeToExpiration^0.5), 0, 1, TRUE)
)</f>
        <v>0.6343089482</v>
      </c>
      <c r="CR35" s="7">
        <f>CR$2*(Underlying*EXP(-DividendYield*TimeToExpiration)*_xlfn.NORM.DIST(CR$2*(LN(Underlying/$H35)+(RiskFreeRate-DividendYield+0.5*CP35^2)*TimeToExpiration)/(CP35*TimeToExpiration^0.5), 0, 1, TRUE) - 
       $H35*EXP(-RiskFreeRate*TimeToExpiration)*_xlfn.NORM.DIST(CR$2*(LN(Underlying/$H35)+(RiskFreeRate-DividendYield-0.5*CP35^2)*TimeToExpiration)/(CP35*TimeToExpiration^0.5), 0, 1, TRUE)
)</f>
        <v>0.6355362757</v>
      </c>
      <c r="CS35" s="40">
        <f t="shared" si="47"/>
        <v>0.4111110535</v>
      </c>
      <c r="CT35" s="8">
        <f>CT$2*(Underlying*EXP(-DividendYield*TimeToExpiration)*_xlfn.NORM.DIST(CT$2*(LN(Underlying/$H35)+(RiskFreeRate-DividendYield+0.5*CS35^2)*TimeToExpiration)/(CS35*TimeToExpiration^0.5), 0, 1, TRUE) - 
       $H35*EXP(-RiskFreeRate*TimeToExpiration)*_xlfn.NORM.DIST(CT$2*(LN(Underlying/$H35)+(RiskFreeRate-DividendYield-0.5*CS35^2)*TimeToExpiration)/(CS35*TimeToExpiration^0.5), 0, 1, TRUE)
)</f>
        <v>0.6349224629</v>
      </c>
      <c r="CU35" s="40">
        <f t="shared" si="48"/>
        <v>0.4111110535</v>
      </c>
      <c r="CV35" s="40">
        <f t="shared" si="49"/>
        <v>0.4112025757</v>
      </c>
      <c r="CW35" s="7">
        <f>CW$2*(Underlying*EXP(-DividendYield*TimeToExpiration)*_xlfn.NORM.DIST(CW$2*(LN(Underlying/$H35)+(RiskFreeRate-DividendYield+0.5*CU35^2)*TimeToExpiration)/(CU35*TimeToExpiration^0.5), 0, 1, TRUE) - 
       $H35*EXP(-RiskFreeRate*TimeToExpiration)*_xlfn.NORM.DIST(CW$2*(LN(Underlying/$H35)+(RiskFreeRate-DividendYield-0.5*CU35^2)*TimeToExpiration)/(CU35*TimeToExpiration^0.5), 0, 1, TRUE)
)</f>
        <v>0.6349224629</v>
      </c>
      <c r="CX35" s="7">
        <f>CX$2*(Underlying*EXP(-DividendYield*TimeToExpiration)*_xlfn.NORM.DIST(CX$2*(LN(Underlying/$H35)+(RiskFreeRate-DividendYield+0.5*CV35^2)*TimeToExpiration)/(CV35*TimeToExpiration^0.5), 0, 1, TRUE) - 
       $H35*EXP(-RiskFreeRate*TimeToExpiration)*_xlfn.NORM.DIST(CX$2*(LN(Underlying/$H35)+(RiskFreeRate-DividendYield-0.5*CV35^2)*TimeToExpiration)/(CV35*TimeToExpiration^0.5), 0, 1, TRUE)
)</f>
        <v>0.6355362757</v>
      </c>
      <c r="CY35" s="40">
        <f t="shared" si="50"/>
        <v>0.4111568146</v>
      </c>
      <c r="CZ35" s="8">
        <f>CZ$2*(Underlying*EXP(-DividendYield*TimeToExpiration)*_xlfn.NORM.DIST(CZ$2*(LN(Underlying/$H35)+(RiskFreeRate-DividendYield+0.5*CY35^2)*TimeToExpiration)/(CY35*TimeToExpiration^0.5), 0, 1, TRUE) - 
       $H35*EXP(-RiskFreeRate*TimeToExpiration)*_xlfn.NORM.DIST(CZ$2*(LN(Underlying/$H35)+(RiskFreeRate-DividendYield-0.5*CY35^2)*TimeToExpiration)/(CY35*TimeToExpiration^0.5), 0, 1, TRUE)
)</f>
        <v>0.6352293321</v>
      </c>
      <c r="DA35" s="40">
        <f t="shared" si="51"/>
        <v>0.4111110535</v>
      </c>
      <c r="DB35" s="40">
        <f t="shared" si="52"/>
        <v>0.4111568146</v>
      </c>
      <c r="DC35" s="7">
        <f>DC$2*(Underlying*EXP(-DividendYield*TimeToExpiration)*_xlfn.NORM.DIST(DC$2*(LN(Underlying/$H35)+(RiskFreeRate-DividendYield+0.5*DA35^2)*TimeToExpiration)/(DA35*TimeToExpiration^0.5), 0, 1, TRUE) - 
       $H35*EXP(-RiskFreeRate*TimeToExpiration)*_xlfn.NORM.DIST(DC$2*(LN(Underlying/$H35)+(RiskFreeRate-DividendYield-0.5*DA35^2)*TimeToExpiration)/(DA35*TimeToExpiration^0.5), 0, 1, TRUE)
)</f>
        <v>0.6349224629</v>
      </c>
      <c r="DD35" s="7">
        <f>DD$2*(Underlying*EXP(-DividendYield*TimeToExpiration)*_xlfn.NORM.DIST(DD$2*(LN(Underlying/$H35)+(RiskFreeRate-DividendYield+0.5*DB35^2)*TimeToExpiration)/(DB35*TimeToExpiration^0.5), 0, 1, TRUE) - 
       $H35*EXP(-RiskFreeRate*TimeToExpiration)*_xlfn.NORM.DIST(DD$2*(LN(Underlying/$H35)+(RiskFreeRate-DividendYield-0.5*DB35^2)*TimeToExpiration)/(DB35*TimeToExpiration^0.5), 0, 1, TRUE)
)</f>
        <v>0.6352293321</v>
      </c>
      <c r="DE35" s="40">
        <f t="shared" si="53"/>
        <v>0.411133934</v>
      </c>
      <c r="DF35" s="8">
        <f>DF$2*(Underlying*EXP(-DividendYield*TimeToExpiration)*_xlfn.NORM.DIST(DF$2*(LN(Underlying/$H35)+(RiskFreeRate-DividendYield+0.5*DE35^2)*TimeToExpiration)/(DE35*TimeToExpiration^0.5), 0, 1, TRUE) - 
       $H35*EXP(-RiskFreeRate*TimeToExpiration)*_xlfn.NORM.DIST(DF$2*(LN(Underlying/$H35)+(RiskFreeRate-DividendYield-0.5*DE35^2)*TimeToExpiration)/(DE35*TimeToExpiration^0.5), 0, 1, TRUE)
)</f>
        <v>0.6350758882</v>
      </c>
    </row>
    <row r="36">
      <c r="A36" s="20">
        <f>'Option Mkt Data'!A36</f>
        <v>372.5</v>
      </c>
      <c r="B36" s="35">
        <f t="shared" ref="B36:C36" si="83">DE36</f>
        <v>0.4184557114</v>
      </c>
      <c r="C36" s="7">
        <f t="shared" si="83"/>
        <v>0.5299596315</v>
      </c>
      <c r="D36" s="7">
        <f t="shared" si="3"/>
        <v>0.00004036948788</v>
      </c>
      <c r="E36" s="9">
        <f t="shared" si="4"/>
        <v>0.00007616884491</v>
      </c>
      <c r="F36" s="36">
        <f>D36/'Option Mkt Data'!L36</f>
        <v>0.002018470357</v>
      </c>
      <c r="G36" s="5">
        <f>'Option Mkt Data'!J36</f>
        <v>0.530000001</v>
      </c>
      <c r="H36" s="33">
        <f>'Option Mkt Data'!A36</f>
        <v>372.5</v>
      </c>
      <c r="I36" s="37">
        <f>MinSolverVola</f>
        <v>0.001</v>
      </c>
      <c r="J36" s="38">
        <f>MaxSolverVola</f>
        <v>3</v>
      </c>
      <c r="K36" s="39">
        <f>K$2*(Underlying*EXP(-DividendYield*TimeToExpiration)*_xlfn.NORM.DIST(K$2*(LN(Underlying/$H36)+(RiskFreeRate-DividendYield+0.5*I36^2)*TimeToExpiration)/(I36*TimeToExpiration^0.5), 0, 1, TRUE) - 
       $H36*EXP(-RiskFreeRate*TimeToExpiration)*_xlfn.NORM.DIST(K$2*(LN(Underlying/$H36)+(RiskFreeRate-DividendYield-0.5*I36^2)*TimeToExpiration)/(I36*TimeToExpiration^0.5), 0, 1, TRUE)
)</f>
        <v>0</v>
      </c>
      <c r="L36" s="7">
        <f>L$2*(Underlying*EXP(-DividendYield*TimeToExpiration)*_xlfn.NORM.DIST(L$2*(LN(Underlying/$H36)+(RiskFreeRate-DividendYield+0.5*J36^2)*TimeToExpiration)/(J36*TimeToExpiration^0.5), 0, 1, TRUE) - 
       $H36*EXP(-RiskFreeRate*TimeToExpiration)*_xlfn.NORM.DIST(L$2*(LN(Underlying/$H36)+(RiskFreeRate-DividendYield-0.5*J36^2)*TimeToExpiration)/(J36*TimeToExpiration^0.5), 0, 1, TRUE)
)</f>
        <v>44.68909654</v>
      </c>
      <c r="M36" s="40">
        <f t="shared" si="5"/>
        <v>1.5005</v>
      </c>
      <c r="N36" s="8">
        <f>N$2*(Underlying*EXP(-DividendYield*TimeToExpiration)*_xlfn.NORM.DIST(N$2*(LN(Underlying/$H36)+(RiskFreeRate-DividendYield+0.5*M36^2)*TimeToExpiration)/(M36*TimeToExpiration^0.5), 0, 1, TRUE) - 
       $H36*EXP(-RiskFreeRate*TimeToExpiration)*_xlfn.NORM.DIST(N$2*(LN(Underlying/$H36)+(RiskFreeRate-DividendYield-0.5*M36^2)*TimeToExpiration)/(M36*TimeToExpiration^0.5), 0, 1, TRUE)
)</f>
        <v>16.39891239</v>
      </c>
      <c r="O36" s="41">
        <f t="shared" si="6"/>
        <v>0.001</v>
      </c>
      <c r="P36" s="40">
        <f t="shared" si="7"/>
        <v>1.5005</v>
      </c>
      <c r="Q36" s="7">
        <f>Q$2*(Underlying*EXP(-DividendYield*TimeToExpiration)*_xlfn.NORM.DIST(Q$2*(LN(Underlying/$H36)+(RiskFreeRate-DividendYield+0.5*O36^2)*TimeToExpiration)/(O36*TimeToExpiration^0.5), 0, 1, TRUE) - 
       $H36*EXP(-RiskFreeRate*TimeToExpiration)*_xlfn.NORM.DIST(Q$2*(LN(Underlying/$H36)+(RiskFreeRate-DividendYield-0.5*O36^2)*TimeToExpiration)/(O36*TimeToExpiration^0.5), 0, 1, TRUE))</f>
        <v>0</v>
      </c>
      <c r="R36" s="7">
        <f>R$2*(Underlying*EXP(-DividendYield*TimeToExpiration)*_xlfn.NORM.DIST(R$2*(LN(Underlying/$H36)+(RiskFreeRate-DividendYield+0.5*P36^2)*TimeToExpiration)/(P36*TimeToExpiration^0.5), 0, 1, TRUE) - 
       $H36*EXP(-RiskFreeRate*TimeToExpiration)*_xlfn.NORM.DIST(R$2*(LN(Underlying/$H36)+(RiskFreeRate-DividendYield-0.5*P36^2)*TimeToExpiration)/(P36*TimeToExpiration^0.5), 0, 1, TRUE)
)</f>
        <v>16.39891239</v>
      </c>
      <c r="S36" s="40">
        <f t="shared" si="8"/>
        <v>0.75075</v>
      </c>
      <c r="T36" s="8">
        <f>T$2*(Underlying*EXP(-DividendYield*TimeToExpiration)*_xlfn.NORM.DIST(T$2*(LN(Underlying/$H36)+(RiskFreeRate-DividendYield+0.5*S36^2)*TimeToExpiration)/(S36*TimeToExpiration^0.5), 0, 1, TRUE) - 
       $H36*EXP(-RiskFreeRate*TimeToExpiration)*_xlfn.NORM.DIST(T$2*(LN(Underlying/$H36)+(RiskFreeRate-DividendYield-0.5*S36^2)*TimeToExpiration)/(S36*TimeToExpiration^0.5), 0, 1, TRUE)
)</f>
        <v>3.980301878</v>
      </c>
      <c r="U36" s="41">
        <f t="shared" si="9"/>
        <v>0.001</v>
      </c>
      <c r="V36" s="40">
        <f t="shared" si="10"/>
        <v>0.75075</v>
      </c>
      <c r="W36" s="7">
        <f>W$2*(Underlying*EXP(-DividendYield*TimeToExpiration)*_xlfn.NORM.DIST(W$2*(LN(Underlying/$H36)+(RiskFreeRate-DividendYield+0.5*U36^2)*TimeToExpiration)/(U36*TimeToExpiration^0.5), 0, 1, TRUE) - 
       $H36*EXP(-RiskFreeRate*TimeToExpiration)*_xlfn.NORM.DIST(W$2*(LN(Underlying/$H36)+(RiskFreeRate-DividendYield-0.5*U36^2)*TimeToExpiration)/(U36*TimeToExpiration^0.5), 0, 1, TRUE)
)</f>
        <v>0</v>
      </c>
      <c r="X36" s="7">
        <f>X$2*(Underlying*EXP(-DividendYield*TimeToExpiration)*_xlfn.NORM.DIST(X$2*(LN(Underlying/$H36)+(RiskFreeRate-DividendYield+0.5*V36^2)*TimeToExpiration)/(V36*TimeToExpiration^0.5), 0, 1, TRUE) - 
       $H36*EXP(-RiskFreeRate*TimeToExpiration)*_xlfn.NORM.DIST(X$2*(LN(Underlying/$H36)+(RiskFreeRate-DividendYield-0.5*V36^2)*TimeToExpiration)/(V36*TimeToExpiration^0.5), 0, 1, TRUE)
)</f>
        <v>3.980301878</v>
      </c>
      <c r="Y36" s="40">
        <f t="shared" si="11"/>
        <v>0.375875</v>
      </c>
      <c r="Z36" s="8">
        <f>Z$2*(Underlying*EXP(-DividendYield*TimeToExpiration)*_xlfn.NORM.DIST(Z$2*(LN(Underlying/$H36)+(RiskFreeRate-DividendYield+0.5*Y36^2)*TimeToExpiration)/(Y36*TimeToExpiration^0.5), 0, 1, TRUE) - 
       $H36*EXP(-RiskFreeRate*TimeToExpiration)*_xlfn.NORM.DIST(Z$2*(LN(Underlying/$H36)+(RiskFreeRate-DividendYield-0.5*Y36^2)*TimeToExpiration)/(Y36*TimeToExpiration^0.5), 0, 1, TRUE)
)</f>
        <v>0.3110273257</v>
      </c>
      <c r="AA36" s="40">
        <f t="shared" si="12"/>
        <v>0.375875</v>
      </c>
      <c r="AB36" s="40">
        <f t="shared" si="13"/>
        <v>0.75075</v>
      </c>
      <c r="AC36" s="7">
        <f>AC$2*(Underlying*EXP(-DividendYield*TimeToExpiration)*_xlfn.NORM.DIST(AC$2*(LN(Underlying/$H36)+(RiskFreeRate-DividendYield+0.5*AA36^2)*TimeToExpiration)/(AA36*TimeToExpiration^0.5), 0, 1, TRUE) - 
       $H36*EXP(-RiskFreeRate*TimeToExpiration)*_xlfn.NORM.DIST(AC$2*(LN(Underlying/$H36)+(RiskFreeRate-DividendYield-0.5*AA36^2)*TimeToExpiration)/(AA36*TimeToExpiration^0.5), 0, 1, TRUE)
)</f>
        <v>0.3110273257</v>
      </c>
      <c r="AD36" s="7">
        <f>AD$2*(Underlying*EXP(-DividendYield*TimeToExpiration)*_xlfn.NORM.DIST(AD$2*(LN(Underlying/$H36)+(RiskFreeRate-DividendYield+0.5*AB36^2)*TimeToExpiration)/(AB36*TimeToExpiration^0.5), 0, 1, TRUE) - 
       $H36*EXP(-RiskFreeRate*TimeToExpiration)*_xlfn.NORM.DIST(AD$2*(LN(Underlying/$H36)+(RiskFreeRate-DividendYield-0.5*AB36^2)*TimeToExpiration)/(AB36*TimeToExpiration^0.5), 0, 1, TRUE)
)</f>
        <v>3.980301878</v>
      </c>
      <c r="AE36" s="40">
        <f t="shared" si="14"/>
        <v>0.5633125</v>
      </c>
      <c r="AF36" s="8">
        <f>AF$2*(Underlying*EXP(-DividendYield*TimeToExpiration)*_xlfn.NORM.DIST(AF$2*(LN(Underlying/$H36)+(RiskFreeRate-DividendYield+0.5*AE36^2)*TimeToExpiration)/(AE36*TimeToExpiration^0.5), 0, 1, TRUE) - 
       $H36*EXP(-RiskFreeRate*TimeToExpiration)*_xlfn.NORM.DIST(AF$2*(LN(Underlying/$H36)+(RiskFreeRate-DividendYield-0.5*AE36^2)*TimeToExpiration)/(AE36*TimeToExpiration^0.5), 0, 1, TRUE)
)</f>
        <v>1.712233261</v>
      </c>
      <c r="AG36" s="40">
        <f t="shared" si="15"/>
        <v>0.375875</v>
      </c>
      <c r="AH36" s="40">
        <f t="shared" si="16"/>
        <v>0.5633125</v>
      </c>
      <c r="AI36" s="7">
        <f>AI$2*(Underlying*EXP(-DividendYield*TimeToExpiration)*_xlfn.NORM.DIST(AI$2*(LN(Underlying/$H36)+(RiskFreeRate-DividendYield+0.5*AG36^2)*TimeToExpiration)/(AG36*TimeToExpiration^0.5), 0, 1, TRUE) - 
       $H36*EXP(-RiskFreeRate*TimeToExpiration)*_xlfn.NORM.DIST(AI$2*(LN(Underlying/$H36)+(RiskFreeRate-DividendYield-0.5*AG36^2)*TimeToExpiration)/(AG36*TimeToExpiration^0.5), 0, 1, TRUE)
)</f>
        <v>0.3110273257</v>
      </c>
      <c r="AJ36" s="7">
        <f>AJ$2*(Underlying*EXP(-DividendYield*TimeToExpiration)*_xlfn.NORM.DIST(AJ$2*(LN(Underlying/$H36)+(RiskFreeRate-DividendYield+0.5*AH36^2)*TimeToExpiration)/(AH36*TimeToExpiration^0.5), 0, 1, TRUE) - 
       $H36*EXP(-RiskFreeRate*TimeToExpiration)*_xlfn.NORM.DIST(AJ$2*(LN(Underlying/$H36)+(RiskFreeRate-DividendYield-0.5*AH36^2)*TimeToExpiration)/(AH36*TimeToExpiration^0.5), 0, 1, TRUE)
)</f>
        <v>1.712233261</v>
      </c>
      <c r="AK36" s="40">
        <f t="shared" si="17"/>
        <v>0.46959375</v>
      </c>
      <c r="AL36" s="8">
        <f>AL$2*(Underlying*EXP(-DividendYield*TimeToExpiration)*_xlfn.NORM.DIST(AL$2*(LN(Underlying/$H36)+(RiskFreeRate-DividendYield+0.5*AK36^2)*TimeToExpiration)/(AK36*TimeToExpiration^0.5), 0, 1, TRUE) - 
       $H36*EXP(-RiskFreeRate*TimeToExpiration)*_xlfn.NORM.DIST(AL$2*(LN(Underlying/$H36)+(RiskFreeRate-DividendYield-0.5*AK36^2)*TimeToExpiration)/(AK36*TimeToExpiration^0.5), 0, 1, TRUE)
)</f>
        <v>0.8747908811</v>
      </c>
      <c r="AM36" s="40">
        <f t="shared" si="18"/>
        <v>0.375875</v>
      </c>
      <c r="AN36" s="40">
        <f t="shared" si="19"/>
        <v>0.46959375</v>
      </c>
      <c r="AO36" s="7">
        <f>AO$2*(Underlying*EXP(-DividendYield*TimeToExpiration)*_xlfn.NORM.DIST(AO$2*(LN(Underlying/$H36)+(RiskFreeRate-DividendYield+0.5*AM36^2)*TimeToExpiration)/(AM36*TimeToExpiration^0.5), 0, 1, TRUE) - 
       $H36*EXP(-RiskFreeRate*TimeToExpiration)*_xlfn.NORM.DIST(AO$2*(LN(Underlying/$H36)+(RiskFreeRate-DividendYield-0.5*AM36^2)*TimeToExpiration)/(AM36*TimeToExpiration^0.5), 0, 1, TRUE)
)</f>
        <v>0.3110273257</v>
      </c>
      <c r="AP36" s="7">
        <f>AP$2*(Underlying*EXP(-DividendYield*TimeToExpiration)*_xlfn.NORM.DIST(AP$2*(LN(Underlying/$H36)+(RiskFreeRate-DividendYield+0.5*AN36^2)*TimeToExpiration)/(AN36*TimeToExpiration^0.5), 0, 1, TRUE) - 
       $H36*EXP(-RiskFreeRate*TimeToExpiration)*_xlfn.NORM.DIST(AP$2*(LN(Underlying/$H36)+(RiskFreeRate-DividendYield-0.5*AN36^2)*TimeToExpiration)/(AN36*TimeToExpiration^0.5), 0, 1, TRUE)
)</f>
        <v>0.8747908811</v>
      </c>
      <c r="AQ36" s="40">
        <f t="shared" si="20"/>
        <v>0.422734375</v>
      </c>
      <c r="AR36" s="8">
        <f>AR$2*(Underlying*EXP(-DividendYield*TimeToExpiration)*_xlfn.NORM.DIST(AR$2*(LN(Underlying/$H36)+(RiskFreeRate-DividendYield+0.5*AQ36^2)*TimeToExpiration)/(AQ36*TimeToExpiration^0.5), 0, 1, TRUE) - 
       $H36*EXP(-RiskFreeRate*TimeToExpiration)*_xlfn.NORM.DIST(AR$2*(LN(Underlying/$H36)+(RiskFreeRate-DividendYield-0.5*AQ36^2)*TimeToExpiration)/(AQ36*TimeToExpiration^0.5), 0, 1, TRUE)
)</f>
        <v>0.5554577022</v>
      </c>
      <c r="AS36" s="40">
        <f t="shared" si="21"/>
        <v>0.375875</v>
      </c>
      <c r="AT36" s="40">
        <f t="shared" si="22"/>
        <v>0.422734375</v>
      </c>
      <c r="AU36" s="7">
        <f>AU$2*(Underlying*EXP(-DividendYield*TimeToExpiration)*_xlfn.NORM.DIST(AU$2*(LN(Underlying/$H36)+(RiskFreeRate-DividendYield+0.5*AS36^2)*TimeToExpiration)/(AS36*TimeToExpiration^0.5), 0, 1, TRUE) - 
       $H36*EXP(-RiskFreeRate*TimeToExpiration)*_xlfn.NORM.DIST(AU$2*(LN(Underlying/$H36)+(RiskFreeRate-DividendYield-0.5*AS36^2)*TimeToExpiration)/(AS36*TimeToExpiration^0.5), 0, 1, TRUE)
)</f>
        <v>0.3110273257</v>
      </c>
      <c r="AV36" s="7">
        <f>AV$2*(Underlying*EXP(-DividendYield*TimeToExpiration)*_xlfn.NORM.DIST(AV$2*(LN(Underlying/$H36)+(RiskFreeRate-DividendYield+0.5*AT36^2)*TimeToExpiration)/(AT36*TimeToExpiration^0.5), 0, 1, TRUE) - 
       $H36*EXP(-RiskFreeRate*TimeToExpiration)*_xlfn.NORM.DIST(AV$2*(LN(Underlying/$H36)+(RiskFreeRate-DividendYield-0.5*AT36^2)*TimeToExpiration)/(AT36*TimeToExpiration^0.5), 0, 1, TRUE)
)</f>
        <v>0.5554577022</v>
      </c>
      <c r="AW36" s="40">
        <f t="shared" si="23"/>
        <v>0.3993046875</v>
      </c>
      <c r="AX36" s="8">
        <f>AX$2*(Underlying*EXP(-DividendYield*TimeToExpiration)*_xlfn.NORM.DIST(AX$2*(LN(Underlying/$H36)+(RiskFreeRate-DividendYield+0.5*AW36^2)*TimeToExpiration)/(AW36*TimeToExpiration^0.5), 0, 1, TRUE) - 
       $H36*EXP(-RiskFreeRate*TimeToExpiration)*_xlfn.NORM.DIST(AX$2*(LN(Underlying/$H36)+(RiskFreeRate-DividendYield-0.5*AW36^2)*TimeToExpiration)/(AW36*TimeToExpiration^0.5), 0, 1, TRUE)
)</f>
        <v>0.4236065868</v>
      </c>
      <c r="AY36" s="40">
        <f t="shared" si="24"/>
        <v>0.3993046875</v>
      </c>
      <c r="AZ36" s="40">
        <f t="shared" si="25"/>
        <v>0.422734375</v>
      </c>
      <c r="BA36" s="7">
        <f>BA$2*(Underlying*EXP(-DividendYield*TimeToExpiration)*_xlfn.NORM.DIST(BA$2*(LN(Underlying/$H36)+(RiskFreeRate-DividendYield+0.5*AY36^2)*TimeToExpiration)/(AY36*TimeToExpiration^0.5), 0, 1, TRUE) - 
       $H36*EXP(-RiskFreeRate*TimeToExpiration)*_xlfn.NORM.DIST(BA$2*(LN(Underlying/$H36)+(RiskFreeRate-DividendYield-0.5*AY36^2)*TimeToExpiration)/(AY36*TimeToExpiration^0.5), 0, 1, TRUE)
)</f>
        <v>0.4236065868</v>
      </c>
      <c r="BB36" s="7">
        <f>BB$2*(Underlying*EXP(-DividendYield*TimeToExpiration)*_xlfn.NORM.DIST(BB$2*(LN(Underlying/$H36)+(RiskFreeRate-DividendYield+0.5*AZ36^2)*TimeToExpiration)/(AZ36*TimeToExpiration^0.5), 0, 1, TRUE) - 
       $H36*EXP(-RiskFreeRate*TimeToExpiration)*_xlfn.NORM.DIST(BB$2*(LN(Underlying/$H36)+(RiskFreeRate-DividendYield-0.5*AZ36^2)*TimeToExpiration)/(AZ36*TimeToExpiration^0.5), 0, 1, TRUE)
)</f>
        <v>0.5554577022</v>
      </c>
      <c r="BC36" s="40">
        <f t="shared" si="26"/>
        <v>0.4110195313</v>
      </c>
      <c r="BD36" s="8">
        <f>BD$2*(Underlying*EXP(-DividendYield*TimeToExpiration)*_xlfn.NORM.DIST(BD$2*(LN(Underlying/$H36)+(RiskFreeRate-DividendYield+0.5*BC36^2)*TimeToExpiration)/(BC36*TimeToExpiration^0.5), 0, 1, TRUE) - 
       $H36*EXP(-RiskFreeRate*TimeToExpiration)*_xlfn.NORM.DIST(BD$2*(LN(Underlying/$H36)+(RiskFreeRate-DividendYield-0.5*BC36^2)*TimeToExpiration)/(BC36*TimeToExpiration^0.5), 0, 1, TRUE)
)</f>
        <v>0.4871473078</v>
      </c>
      <c r="BE36" s="40">
        <f t="shared" si="27"/>
        <v>0.4110195313</v>
      </c>
      <c r="BF36" s="40">
        <f t="shared" si="28"/>
        <v>0.422734375</v>
      </c>
      <c r="BG36" s="7">
        <f>BG$2*(Underlying*EXP(-DividendYield*TimeToExpiration)*_xlfn.NORM.DIST(BG$2*(LN(Underlying/$H36)+(RiskFreeRate-DividendYield+0.5*BE36^2)*TimeToExpiration)/(BE36*TimeToExpiration^0.5), 0, 1, TRUE) - 
       $H36*EXP(-RiskFreeRate*TimeToExpiration)*_xlfn.NORM.DIST(BG$2*(LN(Underlying/$H36)+(RiskFreeRate-DividendYield-0.5*BE36^2)*TimeToExpiration)/(BE36*TimeToExpiration^0.5), 0, 1, TRUE)
)</f>
        <v>0.4871473078</v>
      </c>
      <c r="BH36" s="7">
        <f>BH$2*(Underlying*EXP(-DividendYield*TimeToExpiration)*_xlfn.NORM.DIST(BH$2*(LN(Underlying/$H36)+(RiskFreeRate-DividendYield+0.5*BF36^2)*TimeToExpiration)/(BF36*TimeToExpiration^0.5), 0, 1, TRUE) - 
       $H36*EXP(-RiskFreeRate*TimeToExpiration)*_xlfn.NORM.DIST(BH$2*(LN(Underlying/$H36)+(RiskFreeRate-DividendYield-0.5*BF36^2)*TimeToExpiration)/(BF36*TimeToExpiration^0.5), 0, 1, TRUE)
)</f>
        <v>0.5554577022</v>
      </c>
      <c r="BI36" s="40">
        <f t="shared" si="29"/>
        <v>0.4168769531</v>
      </c>
      <c r="BJ36" s="8">
        <f>BJ$2*(Underlying*EXP(-DividendYield*TimeToExpiration)*_xlfn.NORM.DIST(BJ$2*(LN(Underlying/$H36)+(RiskFreeRate-DividendYield+0.5*BI36^2)*TimeToExpiration)/(BI36*TimeToExpiration^0.5), 0, 1, TRUE) - 
       $H36*EXP(-RiskFreeRate*TimeToExpiration)*_xlfn.NORM.DIST(BJ$2*(LN(Underlying/$H36)+(RiskFreeRate-DividendYield-0.5*BI36^2)*TimeToExpiration)/(BI36*TimeToExpiration^0.5), 0, 1, TRUE)
)</f>
        <v>0.5207103476</v>
      </c>
      <c r="BK36" s="40">
        <f t="shared" si="30"/>
        <v>0.4168769531</v>
      </c>
      <c r="BL36" s="40">
        <f t="shared" si="31"/>
        <v>0.422734375</v>
      </c>
      <c r="BM36" s="7">
        <f>BM$2*(Underlying*EXP(-DividendYield*TimeToExpiration)*_xlfn.NORM.DIST(BM$2*(LN(Underlying/$H36)+(RiskFreeRate-DividendYield+0.5*BK36^2)*TimeToExpiration)/(BK36*TimeToExpiration^0.5), 0, 1, TRUE) - 
       $H36*EXP(-RiskFreeRate*TimeToExpiration)*_xlfn.NORM.DIST(BM$2*(LN(Underlying/$H36)+(RiskFreeRate-DividendYield-0.5*BK36^2)*TimeToExpiration)/(BK36*TimeToExpiration^0.5), 0, 1, TRUE)
)</f>
        <v>0.5207103476</v>
      </c>
      <c r="BN36" s="7">
        <f>BN$2*(Underlying*EXP(-DividendYield*TimeToExpiration)*_xlfn.NORM.DIST(BN$2*(LN(Underlying/$H36)+(RiskFreeRate-DividendYield+0.5*BL36^2)*TimeToExpiration)/(BL36*TimeToExpiration^0.5), 0, 1, TRUE) - 
       $H36*EXP(-RiskFreeRate*TimeToExpiration)*_xlfn.NORM.DIST(BN$2*(LN(Underlying/$H36)+(RiskFreeRate-DividendYield-0.5*BL36^2)*TimeToExpiration)/(BL36*TimeToExpiration^0.5), 0, 1, TRUE)
)</f>
        <v>0.5554577022</v>
      </c>
      <c r="BO36" s="40">
        <f t="shared" si="32"/>
        <v>0.4198056641</v>
      </c>
      <c r="BP36" s="8">
        <f>BP$2*(Underlying*EXP(-DividendYield*TimeToExpiration)*_xlfn.NORM.DIST(BP$2*(LN(Underlying/$H36)+(RiskFreeRate-DividendYield+0.5*BO36^2)*TimeToExpiration)/(BO36*TimeToExpiration^0.5), 0, 1, TRUE) - 
       $H36*EXP(-RiskFreeRate*TimeToExpiration)*_xlfn.NORM.DIST(BP$2*(LN(Underlying/$H36)+(RiskFreeRate-DividendYield-0.5*BO36^2)*TimeToExpiration)/(BO36*TimeToExpiration^0.5), 0, 1, TRUE)
)</f>
        <v>0.5379365477</v>
      </c>
      <c r="BQ36" s="40">
        <f t="shared" si="33"/>
        <v>0.4168769531</v>
      </c>
      <c r="BR36" s="40">
        <f t="shared" si="34"/>
        <v>0.4198056641</v>
      </c>
      <c r="BS36" s="7">
        <f>BS$2*(Underlying*EXP(-DividendYield*TimeToExpiration)*_xlfn.NORM.DIST(BS$2*(LN(Underlying/$H36)+(RiskFreeRate-DividendYield+0.5*BQ36^2)*TimeToExpiration)/(BQ36*TimeToExpiration^0.5), 0, 1, TRUE) - 
       $H36*EXP(-RiskFreeRate*TimeToExpiration)*_xlfn.NORM.DIST(BS$2*(LN(Underlying/$H36)+(RiskFreeRate-DividendYield-0.5*BQ36^2)*TimeToExpiration)/(BQ36*TimeToExpiration^0.5), 0, 1, TRUE)
)</f>
        <v>0.5207103476</v>
      </c>
      <c r="BT36" s="7">
        <f>BT$2*(Underlying*EXP(-DividendYield*TimeToExpiration)*_xlfn.NORM.DIST(BT$2*(LN(Underlying/$H36)+(RiskFreeRate-DividendYield+0.5*BR36^2)*TimeToExpiration)/(BR36*TimeToExpiration^0.5), 0, 1, TRUE) - 
       $H36*EXP(-RiskFreeRate*TimeToExpiration)*_xlfn.NORM.DIST(BT$2*(LN(Underlying/$H36)+(RiskFreeRate-DividendYield-0.5*BR36^2)*TimeToExpiration)/(BR36*TimeToExpiration^0.5), 0, 1, TRUE)
)</f>
        <v>0.5379365477</v>
      </c>
      <c r="BU36" s="40">
        <f t="shared" si="35"/>
        <v>0.4183413086</v>
      </c>
      <c r="BV36" s="8">
        <f>BV$2*(Underlying*EXP(-DividendYield*TimeToExpiration)*_xlfn.NORM.DIST(BV$2*(LN(Underlying/$H36)+(RiskFreeRate-DividendYield+0.5*BU36^2)*TimeToExpiration)/(BU36*TimeToExpiration^0.5), 0, 1, TRUE) - 
       $H36*EXP(-RiskFreeRate*TimeToExpiration)*_xlfn.NORM.DIST(BV$2*(LN(Underlying/$H36)+(RiskFreeRate-DividendYield-0.5*BU36^2)*TimeToExpiration)/(BU36*TimeToExpiration^0.5), 0, 1, TRUE)
)</f>
        <v>0.5292865058</v>
      </c>
      <c r="BW36" s="40">
        <f t="shared" si="36"/>
        <v>0.4183413086</v>
      </c>
      <c r="BX36" s="40">
        <f t="shared" si="37"/>
        <v>0.4198056641</v>
      </c>
      <c r="BY36" s="7">
        <f>BY$2*(Underlying*EXP(-DividendYield*TimeToExpiration)*_xlfn.NORM.DIST(BY$2*(LN(Underlying/$H36)+(RiskFreeRate-DividendYield+0.5*BW36^2)*TimeToExpiration)/(BW36*TimeToExpiration^0.5), 0, 1, TRUE) - 
       $H36*EXP(-RiskFreeRate*TimeToExpiration)*_xlfn.NORM.DIST(BY$2*(LN(Underlying/$H36)+(RiskFreeRate-DividendYield-0.5*BW36^2)*TimeToExpiration)/(BW36*TimeToExpiration^0.5), 0, 1, TRUE)
)</f>
        <v>0.5292865058</v>
      </c>
      <c r="BZ36" s="7">
        <f>BZ$2*(Underlying*EXP(-DividendYield*TimeToExpiration)*_xlfn.NORM.DIST(BZ$2*(LN(Underlying/$H36)+(RiskFreeRate-DividendYield+0.5*BX36^2)*TimeToExpiration)/(BX36*TimeToExpiration^0.5), 0, 1, TRUE) - 
       $H36*EXP(-RiskFreeRate*TimeToExpiration)*_xlfn.NORM.DIST(BZ$2*(LN(Underlying/$H36)+(RiskFreeRate-DividendYield-0.5*BX36^2)*TimeToExpiration)/(BX36*TimeToExpiration^0.5), 0, 1, TRUE)
)</f>
        <v>0.5379365477</v>
      </c>
      <c r="CA36" s="40">
        <f t="shared" si="38"/>
        <v>0.4190734863</v>
      </c>
      <c r="CB36" s="8">
        <f>CB$2*(Underlying*EXP(-DividendYield*TimeToExpiration)*_xlfn.NORM.DIST(CB$2*(LN(Underlying/$H36)+(RiskFreeRate-DividendYield+0.5*CA36^2)*TimeToExpiration)/(CA36*TimeToExpiration^0.5), 0, 1, TRUE) - 
       $H36*EXP(-RiskFreeRate*TimeToExpiration)*_xlfn.NORM.DIST(CB$2*(LN(Underlying/$H36)+(RiskFreeRate-DividendYield-0.5*CA36^2)*TimeToExpiration)/(CA36*TimeToExpiration^0.5), 0, 1, TRUE)
)</f>
        <v>0.5336023002</v>
      </c>
      <c r="CC36" s="40">
        <f t="shared" si="39"/>
        <v>0.4183413086</v>
      </c>
      <c r="CD36" s="40">
        <f t="shared" si="40"/>
        <v>0.4190734863</v>
      </c>
      <c r="CE36" s="7">
        <f>CE$2*(Underlying*EXP(-DividendYield*TimeToExpiration)*_xlfn.NORM.DIST(CE$2*(LN(Underlying/$H36)+(RiskFreeRate-DividendYield+0.5*CC36^2)*TimeToExpiration)/(CC36*TimeToExpiration^0.5), 0, 1, TRUE) - 
       $H36*EXP(-RiskFreeRate*TimeToExpiration)*_xlfn.NORM.DIST(CE$2*(LN(Underlying/$H36)+(RiskFreeRate-DividendYield-0.5*CC36^2)*TimeToExpiration)/(CC36*TimeToExpiration^0.5), 0, 1, TRUE)
)</f>
        <v>0.5292865058</v>
      </c>
      <c r="CF36" s="7">
        <f>CF$2*(Underlying*EXP(-DividendYield*TimeToExpiration)*_xlfn.NORM.DIST(CF$2*(LN(Underlying/$H36)+(RiskFreeRate-DividendYield+0.5*CD36^2)*TimeToExpiration)/(CD36*TimeToExpiration^0.5), 0, 1, TRUE) - 
       $H36*EXP(-RiskFreeRate*TimeToExpiration)*_xlfn.NORM.DIST(CF$2*(LN(Underlying/$H36)+(RiskFreeRate-DividendYield-0.5*CD36^2)*TimeToExpiration)/(CD36*TimeToExpiration^0.5), 0, 1, TRUE)
)</f>
        <v>0.5336023002</v>
      </c>
      <c r="CG36" s="40">
        <f t="shared" si="41"/>
        <v>0.4187073975</v>
      </c>
      <c r="CH36" s="8">
        <f>CH$2*(Underlying*EXP(-DividendYield*TimeToExpiration)*_xlfn.NORM.DIST(CH$2*(LN(Underlying/$H36)+(RiskFreeRate-DividendYield+0.5*CG36^2)*TimeToExpiration)/(CG36*TimeToExpiration^0.5), 0, 1, TRUE) - 
       $H36*EXP(-RiskFreeRate*TimeToExpiration)*_xlfn.NORM.DIST(CH$2*(LN(Underlying/$H36)+(RiskFreeRate-DividendYield-0.5*CG36^2)*TimeToExpiration)/(CG36*TimeToExpiration^0.5), 0, 1, TRUE)
)</f>
        <v>0.5314420952</v>
      </c>
      <c r="CI36" s="40">
        <f t="shared" si="42"/>
        <v>0.4183413086</v>
      </c>
      <c r="CJ36" s="40">
        <f t="shared" si="43"/>
        <v>0.4187073975</v>
      </c>
      <c r="CK36" s="7">
        <f>CK$2*(Underlying*EXP(-DividendYield*TimeToExpiration)*_xlfn.NORM.DIST(CK$2*(LN(Underlying/$H36)+(RiskFreeRate-DividendYield+0.5*CI36^2)*TimeToExpiration)/(CI36*TimeToExpiration^0.5), 0, 1, TRUE) - 
       $H36*EXP(-RiskFreeRate*TimeToExpiration)*_xlfn.NORM.DIST(CK$2*(LN(Underlying/$H36)+(RiskFreeRate-DividendYield-0.5*CI36^2)*TimeToExpiration)/(CI36*TimeToExpiration^0.5), 0, 1, TRUE)
)</f>
        <v>0.5292865058</v>
      </c>
      <c r="CL36" s="7">
        <f>CL$2*(Underlying*EXP(-DividendYield*TimeToExpiration)*_xlfn.NORM.DIST(CL$2*(LN(Underlying/$H36)+(RiskFreeRate-DividendYield+0.5*CJ36^2)*TimeToExpiration)/(CJ36*TimeToExpiration^0.5), 0, 1, TRUE) - 
       $H36*EXP(-RiskFreeRate*TimeToExpiration)*_xlfn.NORM.DIST(CL$2*(LN(Underlying/$H36)+(RiskFreeRate-DividendYield-0.5*CJ36^2)*TimeToExpiration)/(CJ36*TimeToExpiration^0.5), 0, 1, TRUE)
)</f>
        <v>0.5314420952</v>
      </c>
      <c r="CM36" s="40">
        <f t="shared" si="44"/>
        <v>0.418524353</v>
      </c>
      <c r="CN36" s="8">
        <f>CN$2*(Underlying*EXP(-DividendYield*TimeToExpiration)*_xlfn.NORM.DIST(CN$2*(LN(Underlying/$H36)+(RiskFreeRate-DividendYield+0.5*CM36^2)*TimeToExpiration)/(CM36*TimeToExpiration^0.5), 0, 1, TRUE) - 
       $H36*EXP(-RiskFreeRate*TimeToExpiration)*_xlfn.NORM.DIST(CN$2*(LN(Underlying/$H36)+(RiskFreeRate-DividendYield-0.5*CM36^2)*TimeToExpiration)/(CM36*TimeToExpiration^0.5), 0, 1, TRUE)
)</f>
        <v>0.5303637234</v>
      </c>
      <c r="CO36" s="40">
        <f t="shared" si="45"/>
        <v>0.4183413086</v>
      </c>
      <c r="CP36" s="40">
        <f t="shared" si="46"/>
        <v>0.418524353</v>
      </c>
      <c r="CQ36" s="7">
        <f>CQ$2*(Underlying*EXP(-DividendYield*TimeToExpiration)*_xlfn.NORM.DIST(CQ$2*(LN(Underlying/$H36)+(RiskFreeRate-DividendYield+0.5*CO36^2)*TimeToExpiration)/(CO36*TimeToExpiration^0.5), 0, 1, TRUE) - 
       $H36*EXP(-RiskFreeRate*TimeToExpiration)*_xlfn.NORM.DIST(CQ$2*(LN(Underlying/$H36)+(RiskFreeRate-DividendYield-0.5*CO36^2)*TimeToExpiration)/(CO36*TimeToExpiration^0.5), 0, 1, TRUE)
)</f>
        <v>0.5292865058</v>
      </c>
      <c r="CR36" s="7">
        <f>CR$2*(Underlying*EXP(-DividendYield*TimeToExpiration)*_xlfn.NORM.DIST(CR$2*(LN(Underlying/$H36)+(RiskFreeRate-DividendYield+0.5*CP36^2)*TimeToExpiration)/(CP36*TimeToExpiration^0.5), 0, 1, TRUE) - 
       $H36*EXP(-RiskFreeRate*TimeToExpiration)*_xlfn.NORM.DIST(CR$2*(LN(Underlying/$H36)+(RiskFreeRate-DividendYield-0.5*CP36^2)*TimeToExpiration)/(CP36*TimeToExpiration^0.5), 0, 1, TRUE)
)</f>
        <v>0.5303637234</v>
      </c>
      <c r="CS36" s="40">
        <f t="shared" si="47"/>
        <v>0.4184328308</v>
      </c>
      <c r="CT36" s="8">
        <f>CT$2*(Underlying*EXP(-DividendYield*TimeToExpiration)*_xlfn.NORM.DIST(CT$2*(LN(Underlying/$H36)+(RiskFreeRate-DividendYield+0.5*CS36^2)*TimeToExpiration)/(CS36*TimeToExpiration^0.5), 0, 1, TRUE) - 
       $H36*EXP(-RiskFreeRate*TimeToExpiration)*_xlfn.NORM.DIST(CT$2*(LN(Underlying/$H36)+(RiskFreeRate-DividendYield-0.5*CS36^2)*TimeToExpiration)/(CS36*TimeToExpiration^0.5), 0, 1, TRUE)
)</f>
        <v>0.5298249703</v>
      </c>
      <c r="CU36" s="40">
        <f t="shared" si="48"/>
        <v>0.4184328308</v>
      </c>
      <c r="CV36" s="40">
        <f t="shared" si="49"/>
        <v>0.418524353</v>
      </c>
      <c r="CW36" s="7">
        <f>CW$2*(Underlying*EXP(-DividendYield*TimeToExpiration)*_xlfn.NORM.DIST(CW$2*(LN(Underlying/$H36)+(RiskFreeRate-DividendYield+0.5*CU36^2)*TimeToExpiration)/(CU36*TimeToExpiration^0.5), 0, 1, TRUE) - 
       $H36*EXP(-RiskFreeRate*TimeToExpiration)*_xlfn.NORM.DIST(CW$2*(LN(Underlying/$H36)+(RiskFreeRate-DividendYield-0.5*CU36^2)*TimeToExpiration)/(CU36*TimeToExpiration^0.5), 0, 1, TRUE)
)</f>
        <v>0.5298249703</v>
      </c>
      <c r="CX36" s="7">
        <f>CX$2*(Underlying*EXP(-DividendYield*TimeToExpiration)*_xlfn.NORM.DIST(CX$2*(LN(Underlying/$H36)+(RiskFreeRate-DividendYield+0.5*CV36^2)*TimeToExpiration)/(CV36*TimeToExpiration^0.5), 0, 1, TRUE) - 
       $H36*EXP(-RiskFreeRate*TimeToExpiration)*_xlfn.NORM.DIST(CX$2*(LN(Underlying/$H36)+(RiskFreeRate-DividendYield-0.5*CV36^2)*TimeToExpiration)/(CV36*TimeToExpiration^0.5), 0, 1, TRUE)
)</f>
        <v>0.5303637234</v>
      </c>
      <c r="CY36" s="40">
        <f t="shared" si="50"/>
        <v>0.4184785919</v>
      </c>
      <c r="CZ36" s="8">
        <f>CZ$2*(Underlying*EXP(-DividendYield*TimeToExpiration)*_xlfn.NORM.DIST(CZ$2*(LN(Underlying/$H36)+(RiskFreeRate-DividendYield+0.5*CY36^2)*TimeToExpiration)/(CY36*TimeToExpiration^0.5), 0, 1, TRUE) - 
       $H36*EXP(-RiskFreeRate*TimeToExpiration)*_xlfn.NORM.DIST(CZ$2*(LN(Underlying/$H36)+(RiskFreeRate-DividendYield-0.5*CY36^2)*TimeToExpiration)/(CY36*TimeToExpiration^0.5), 0, 1, TRUE)
)</f>
        <v>0.5300943108</v>
      </c>
      <c r="DA36" s="40">
        <f t="shared" si="51"/>
        <v>0.4184328308</v>
      </c>
      <c r="DB36" s="40">
        <f t="shared" si="52"/>
        <v>0.4184785919</v>
      </c>
      <c r="DC36" s="7">
        <f>DC$2*(Underlying*EXP(-DividendYield*TimeToExpiration)*_xlfn.NORM.DIST(DC$2*(LN(Underlying/$H36)+(RiskFreeRate-DividendYield+0.5*DA36^2)*TimeToExpiration)/(DA36*TimeToExpiration^0.5), 0, 1, TRUE) - 
       $H36*EXP(-RiskFreeRate*TimeToExpiration)*_xlfn.NORM.DIST(DC$2*(LN(Underlying/$H36)+(RiskFreeRate-DividendYield-0.5*DA36^2)*TimeToExpiration)/(DA36*TimeToExpiration^0.5), 0, 1, TRUE)
)</f>
        <v>0.5298249703</v>
      </c>
      <c r="DD36" s="7">
        <f>DD$2*(Underlying*EXP(-DividendYield*TimeToExpiration)*_xlfn.NORM.DIST(DD$2*(LN(Underlying/$H36)+(RiskFreeRate-DividendYield+0.5*DB36^2)*TimeToExpiration)/(DB36*TimeToExpiration^0.5), 0, 1, TRUE) - 
       $H36*EXP(-RiskFreeRate*TimeToExpiration)*_xlfn.NORM.DIST(DD$2*(LN(Underlying/$H36)+(RiskFreeRate-DividendYield-0.5*DB36^2)*TimeToExpiration)/(DB36*TimeToExpiration^0.5), 0, 1, TRUE)
)</f>
        <v>0.5300943108</v>
      </c>
      <c r="DE36" s="40">
        <f t="shared" si="53"/>
        <v>0.4184557114</v>
      </c>
      <c r="DF36" s="8">
        <f>DF$2*(Underlying*EXP(-DividendYield*TimeToExpiration)*_xlfn.NORM.DIST(DF$2*(LN(Underlying/$H36)+(RiskFreeRate-DividendYield+0.5*DE36^2)*TimeToExpiration)/(DE36*TimeToExpiration^0.5), 0, 1, TRUE) - 
       $H36*EXP(-RiskFreeRate*TimeToExpiration)*_xlfn.NORM.DIST(DF$2*(LN(Underlying/$H36)+(RiskFreeRate-DividendYield-0.5*DE36^2)*TimeToExpiration)/(DE36*TimeToExpiration^0.5), 0, 1, TRUE)
)</f>
        <v>0.5299596315</v>
      </c>
    </row>
    <row r="37">
      <c r="A37" s="20">
        <f>'Option Mkt Data'!A37</f>
        <v>375</v>
      </c>
      <c r="B37" s="35">
        <f t="shared" ref="B37:C37" si="84">DE37</f>
        <v>0.4270587997</v>
      </c>
      <c r="C37" s="7">
        <f t="shared" si="84"/>
        <v>0.450056266</v>
      </c>
      <c r="D37" s="7">
        <f t="shared" si="3"/>
        <v>0.00005624800454</v>
      </c>
      <c r="E37" s="9">
        <f t="shared" si="4"/>
        <v>0.0001249955606</v>
      </c>
      <c r="F37" s="36">
        <f>D37/'Option Mkt Data'!L37</f>
        <v>0.002812394602</v>
      </c>
      <c r="G37" s="5">
        <f>'Option Mkt Data'!J37</f>
        <v>0.450000018</v>
      </c>
      <c r="H37" s="33">
        <f>'Option Mkt Data'!A37</f>
        <v>375</v>
      </c>
      <c r="I37" s="37">
        <f>MinSolverVola</f>
        <v>0.001</v>
      </c>
      <c r="J37" s="38">
        <f>MaxSolverVola</f>
        <v>3</v>
      </c>
      <c r="K37" s="39">
        <f>K$2*(Underlying*EXP(-DividendYield*TimeToExpiration)*_xlfn.NORM.DIST(K$2*(LN(Underlying/$H37)+(RiskFreeRate-DividendYield+0.5*I37^2)*TimeToExpiration)/(I37*TimeToExpiration^0.5), 0, 1, TRUE) - 
       $H37*EXP(-RiskFreeRate*TimeToExpiration)*_xlfn.NORM.DIST(K$2*(LN(Underlying/$H37)+(RiskFreeRate-DividendYield-0.5*I37^2)*TimeToExpiration)/(I37*TimeToExpiration^0.5), 0, 1, TRUE)
)</f>
        <v>0</v>
      </c>
      <c r="L37" s="7">
        <f>L$2*(Underlying*EXP(-DividendYield*TimeToExpiration)*_xlfn.NORM.DIST(L$2*(LN(Underlying/$H37)+(RiskFreeRate-DividendYield+0.5*J37^2)*TimeToExpiration)/(J37*TimeToExpiration^0.5), 0, 1, TRUE) - 
       $H37*EXP(-RiskFreeRate*TimeToExpiration)*_xlfn.NORM.DIST(L$2*(LN(Underlying/$H37)+(RiskFreeRate-DividendYield-0.5*J37^2)*TimeToExpiration)/(J37*TimeToExpiration^0.5), 0, 1, TRUE)
)</f>
        <v>43.86339681</v>
      </c>
      <c r="M37" s="40">
        <f t="shared" si="5"/>
        <v>1.5005</v>
      </c>
      <c r="N37" s="8">
        <f>N$2*(Underlying*EXP(-DividendYield*TimeToExpiration)*_xlfn.NORM.DIST(N$2*(LN(Underlying/$H37)+(RiskFreeRate-DividendYield+0.5*M37^2)*TimeToExpiration)/(M37*TimeToExpiration^0.5), 0, 1, TRUE) - 
       $H37*EXP(-RiskFreeRate*TimeToExpiration)*_xlfn.NORM.DIST(N$2*(LN(Underlying/$H37)+(RiskFreeRate-DividendYield-0.5*M37^2)*TimeToExpiration)/(M37*TimeToExpiration^0.5), 0, 1, TRUE)
)</f>
        <v>15.67880772</v>
      </c>
      <c r="O37" s="41">
        <f t="shared" si="6"/>
        <v>0.001</v>
      </c>
      <c r="P37" s="40">
        <f t="shared" si="7"/>
        <v>1.5005</v>
      </c>
      <c r="Q37" s="7">
        <f>Q$2*(Underlying*EXP(-DividendYield*TimeToExpiration)*_xlfn.NORM.DIST(Q$2*(LN(Underlying/$H37)+(RiskFreeRate-DividendYield+0.5*O37^2)*TimeToExpiration)/(O37*TimeToExpiration^0.5), 0, 1, TRUE) - 
       $H37*EXP(-RiskFreeRate*TimeToExpiration)*_xlfn.NORM.DIST(Q$2*(LN(Underlying/$H37)+(RiskFreeRate-DividendYield-0.5*O37^2)*TimeToExpiration)/(O37*TimeToExpiration^0.5), 0, 1, TRUE))</f>
        <v>0</v>
      </c>
      <c r="R37" s="7">
        <f>R$2*(Underlying*EXP(-DividendYield*TimeToExpiration)*_xlfn.NORM.DIST(R$2*(LN(Underlying/$H37)+(RiskFreeRate-DividendYield+0.5*P37^2)*TimeToExpiration)/(P37*TimeToExpiration^0.5), 0, 1, TRUE) - 
       $H37*EXP(-RiskFreeRate*TimeToExpiration)*_xlfn.NORM.DIST(R$2*(LN(Underlying/$H37)+(RiskFreeRate-DividendYield-0.5*P37^2)*TimeToExpiration)/(P37*TimeToExpiration^0.5), 0, 1, TRUE)
)</f>
        <v>15.67880772</v>
      </c>
      <c r="S37" s="40">
        <f t="shared" si="8"/>
        <v>0.75075</v>
      </c>
      <c r="T37" s="8">
        <f>T$2*(Underlying*EXP(-DividendYield*TimeToExpiration)*_xlfn.NORM.DIST(T$2*(LN(Underlying/$H37)+(RiskFreeRate-DividendYield+0.5*S37^2)*TimeToExpiration)/(S37*TimeToExpiration^0.5), 0, 1, TRUE) - 
       $H37*EXP(-RiskFreeRate*TimeToExpiration)*_xlfn.NORM.DIST(T$2*(LN(Underlying/$H37)+(RiskFreeRate-DividendYield-0.5*S37^2)*TimeToExpiration)/(S37*TimeToExpiration^0.5), 0, 1, TRUE)
)</f>
        <v>3.557418897</v>
      </c>
      <c r="U37" s="41">
        <f t="shared" si="9"/>
        <v>0.001</v>
      </c>
      <c r="V37" s="40">
        <f t="shared" si="10"/>
        <v>0.75075</v>
      </c>
      <c r="W37" s="7">
        <f>W$2*(Underlying*EXP(-DividendYield*TimeToExpiration)*_xlfn.NORM.DIST(W$2*(LN(Underlying/$H37)+(RiskFreeRate-DividendYield+0.5*U37^2)*TimeToExpiration)/(U37*TimeToExpiration^0.5), 0, 1, TRUE) - 
       $H37*EXP(-RiskFreeRate*TimeToExpiration)*_xlfn.NORM.DIST(W$2*(LN(Underlying/$H37)+(RiskFreeRate-DividendYield-0.5*U37^2)*TimeToExpiration)/(U37*TimeToExpiration^0.5), 0, 1, TRUE)
)</f>
        <v>0</v>
      </c>
      <c r="X37" s="7">
        <f>X$2*(Underlying*EXP(-DividendYield*TimeToExpiration)*_xlfn.NORM.DIST(X$2*(LN(Underlying/$H37)+(RiskFreeRate-DividendYield+0.5*V37^2)*TimeToExpiration)/(V37*TimeToExpiration^0.5), 0, 1, TRUE) - 
       $H37*EXP(-RiskFreeRate*TimeToExpiration)*_xlfn.NORM.DIST(X$2*(LN(Underlying/$H37)+(RiskFreeRate-DividendYield-0.5*V37^2)*TimeToExpiration)/(V37*TimeToExpiration^0.5), 0, 1, TRUE)
)</f>
        <v>3.557418897</v>
      </c>
      <c r="Y37" s="40">
        <f t="shared" si="11"/>
        <v>0.375875</v>
      </c>
      <c r="Z37" s="8">
        <f>Z$2*(Underlying*EXP(-DividendYield*TimeToExpiration)*_xlfn.NORM.DIST(Z$2*(LN(Underlying/$H37)+(RiskFreeRate-DividendYield+0.5*Y37^2)*TimeToExpiration)/(Y37*TimeToExpiration^0.5), 0, 1, TRUE) - 
       $H37*EXP(-RiskFreeRate*TimeToExpiration)*_xlfn.NORM.DIST(Z$2*(LN(Underlying/$H37)+(RiskFreeRate-DividendYield-0.5*Y37^2)*TimeToExpiration)/(Y37*TimeToExpiration^0.5), 0, 1, TRUE)
)</f>
        <v>0.2272206233</v>
      </c>
      <c r="AA37" s="40">
        <f t="shared" si="12"/>
        <v>0.375875</v>
      </c>
      <c r="AB37" s="40">
        <f t="shared" si="13"/>
        <v>0.75075</v>
      </c>
      <c r="AC37" s="7">
        <f>AC$2*(Underlying*EXP(-DividendYield*TimeToExpiration)*_xlfn.NORM.DIST(AC$2*(LN(Underlying/$H37)+(RiskFreeRate-DividendYield+0.5*AA37^2)*TimeToExpiration)/(AA37*TimeToExpiration^0.5), 0, 1, TRUE) - 
       $H37*EXP(-RiskFreeRate*TimeToExpiration)*_xlfn.NORM.DIST(AC$2*(LN(Underlying/$H37)+(RiskFreeRate-DividendYield-0.5*AA37^2)*TimeToExpiration)/(AA37*TimeToExpiration^0.5), 0, 1, TRUE)
)</f>
        <v>0.2272206233</v>
      </c>
      <c r="AD37" s="7">
        <f>AD$2*(Underlying*EXP(-DividendYield*TimeToExpiration)*_xlfn.NORM.DIST(AD$2*(LN(Underlying/$H37)+(RiskFreeRate-DividendYield+0.5*AB37^2)*TimeToExpiration)/(AB37*TimeToExpiration^0.5), 0, 1, TRUE) - 
       $H37*EXP(-RiskFreeRate*TimeToExpiration)*_xlfn.NORM.DIST(AD$2*(LN(Underlying/$H37)+(RiskFreeRate-DividendYield-0.5*AB37^2)*TimeToExpiration)/(AB37*TimeToExpiration^0.5), 0, 1, TRUE)
)</f>
        <v>3.557418897</v>
      </c>
      <c r="AE37" s="40">
        <f t="shared" si="14"/>
        <v>0.5633125</v>
      </c>
      <c r="AF37" s="8">
        <f>AF$2*(Underlying*EXP(-DividendYield*TimeToExpiration)*_xlfn.NORM.DIST(AF$2*(LN(Underlying/$H37)+(RiskFreeRate-DividendYield+0.5*AE37^2)*TimeToExpiration)/(AE37*TimeToExpiration^0.5), 0, 1, TRUE) - 
       $H37*EXP(-RiskFreeRate*TimeToExpiration)*_xlfn.NORM.DIST(AF$2*(LN(Underlying/$H37)+(RiskFreeRate-DividendYield-0.5*AE37^2)*TimeToExpiration)/(AE37*TimeToExpiration^0.5), 0, 1, TRUE)
)</f>
        <v>1.445716553</v>
      </c>
      <c r="AG37" s="40">
        <f t="shared" si="15"/>
        <v>0.375875</v>
      </c>
      <c r="AH37" s="40">
        <f t="shared" si="16"/>
        <v>0.5633125</v>
      </c>
      <c r="AI37" s="7">
        <f>AI$2*(Underlying*EXP(-DividendYield*TimeToExpiration)*_xlfn.NORM.DIST(AI$2*(LN(Underlying/$H37)+(RiskFreeRate-DividendYield+0.5*AG37^2)*TimeToExpiration)/(AG37*TimeToExpiration^0.5), 0, 1, TRUE) - 
       $H37*EXP(-RiskFreeRate*TimeToExpiration)*_xlfn.NORM.DIST(AI$2*(LN(Underlying/$H37)+(RiskFreeRate-DividendYield-0.5*AG37^2)*TimeToExpiration)/(AG37*TimeToExpiration^0.5), 0, 1, TRUE)
)</f>
        <v>0.2272206233</v>
      </c>
      <c r="AJ37" s="7">
        <f>AJ$2*(Underlying*EXP(-DividendYield*TimeToExpiration)*_xlfn.NORM.DIST(AJ$2*(LN(Underlying/$H37)+(RiskFreeRate-DividendYield+0.5*AH37^2)*TimeToExpiration)/(AH37*TimeToExpiration^0.5), 0, 1, TRUE) - 
       $H37*EXP(-RiskFreeRate*TimeToExpiration)*_xlfn.NORM.DIST(AJ$2*(LN(Underlying/$H37)+(RiskFreeRate-DividendYield-0.5*AH37^2)*TimeToExpiration)/(AH37*TimeToExpiration^0.5), 0, 1, TRUE)
)</f>
        <v>1.445716553</v>
      </c>
      <c r="AK37" s="40">
        <f t="shared" si="17"/>
        <v>0.46959375</v>
      </c>
      <c r="AL37" s="8">
        <f>AL$2*(Underlying*EXP(-DividendYield*TimeToExpiration)*_xlfn.NORM.DIST(AL$2*(LN(Underlying/$H37)+(RiskFreeRate-DividendYield+0.5*AK37^2)*TimeToExpiration)/(AK37*TimeToExpiration^0.5), 0, 1, TRUE) - 
       $H37*EXP(-RiskFreeRate*TimeToExpiration)*_xlfn.NORM.DIST(AL$2*(LN(Underlying/$H37)+(RiskFreeRate-DividendYield-0.5*AK37^2)*TimeToExpiration)/(AK37*TimeToExpiration^0.5), 0, 1, TRUE)
)</f>
        <v>0.7006278366</v>
      </c>
      <c r="AM37" s="40">
        <f t="shared" si="18"/>
        <v>0.375875</v>
      </c>
      <c r="AN37" s="40">
        <f t="shared" si="19"/>
        <v>0.46959375</v>
      </c>
      <c r="AO37" s="7">
        <f>AO$2*(Underlying*EXP(-DividendYield*TimeToExpiration)*_xlfn.NORM.DIST(AO$2*(LN(Underlying/$H37)+(RiskFreeRate-DividendYield+0.5*AM37^2)*TimeToExpiration)/(AM37*TimeToExpiration^0.5), 0, 1, TRUE) - 
       $H37*EXP(-RiskFreeRate*TimeToExpiration)*_xlfn.NORM.DIST(AO$2*(LN(Underlying/$H37)+(RiskFreeRate-DividendYield-0.5*AM37^2)*TimeToExpiration)/(AM37*TimeToExpiration^0.5), 0, 1, TRUE)
)</f>
        <v>0.2272206233</v>
      </c>
      <c r="AP37" s="7">
        <f>AP$2*(Underlying*EXP(-DividendYield*TimeToExpiration)*_xlfn.NORM.DIST(AP$2*(LN(Underlying/$H37)+(RiskFreeRate-DividendYield+0.5*AN37^2)*TimeToExpiration)/(AN37*TimeToExpiration^0.5), 0, 1, TRUE) - 
       $H37*EXP(-RiskFreeRate*TimeToExpiration)*_xlfn.NORM.DIST(AP$2*(LN(Underlying/$H37)+(RiskFreeRate-DividendYield-0.5*AN37^2)*TimeToExpiration)/(AN37*TimeToExpiration^0.5), 0, 1, TRUE)
)</f>
        <v>0.7006278366</v>
      </c>
      <c r="AQ37" s="40">
        <f t="shared" si="20"/>
        <v>0.422734375</v>
      </c>
      <c r="AR37" s="8">
        <f>AR$2*(Underlying*EXP(-DividendYield*TimeToExpiration)*_xlfn.NORM.DIST(AR$2*(LN(Underlying/$H37)+(RiskFreeRate-DividendYield+0.5*AQ37^2)*TimeToExpiration)/(AQ37*TimeToExpiration^0.5), 0, 1, TRUE) - 
       $H37*EXP(-RiskFreeRate*TimeToExpiration)*_xlfn.NORM.DIST(AR$2*(LN(Underlying/$H37)+(RiskFreeRate-DividendYield-0.5*AQ37^2)*TimeToExpiration)/(AQ37*TimeToExpiration^0.5), 0, 1, TRUE)
)</f>
        <v>0.4278760516</v>
      </c>
      <c r="AS37" s="40">
        <f t="shared" si="21"/>
        <v>0.422734375</v>
      </c>
      <c r="AT37" s="40">
        <f t="shared" si="22"/>
        <v>0.46959375</v>
      </c>
      <c r="AU37" s="7">
        <f>AU$2*(Underlying*EXP(-DividendYield*TimeToExpiration)*_xlfn.NORM.DIST(AU$2*(LN(Underlying/$H37)+(RiskFreeRate-DividendYield+0.5*AS37^2)*TimeToExpiration)/(AS37*TimeToExpiration^0.5), 0, 1, TRUE) - 
       $H37*EXP(-RiskFreeRate*TimeToExpiration)*_xlfn.NORM.DIST(AU$2*(LN(Underlying/$H37)+(RiskFreeRate-DividendYield-0.5*AS37^2)*TimeToExpiration)/(AS37*TimeToExpiration^0.5), 0, 1, TRUE)
)</f>
        <v>0.4278760516</v>
      </c>
      <c r="AV37" s="7">
        <f>AV$2*(Underlying*EXP(-DividendYield*TimeToExpiration)*_xlfn.NORM.DIST(AV$2*(LN(Underlying/$H37)+(RiskFreeRate-DividendYield+0.5*AT37^2)*TimeToExpiration)/(AT37*TimeToExpiration^0.5), 0, 1, TRUE) - 
       $H37*EXP(-RiskFreeRate*TimeToExpiration)*_xlfn.NORM.DIST(AV$2*(LN(Underlying/$H37)+(RiskFreeRate-DividendYield-0.5*AT37^2)*TimeToExpiration)/(AT37*TimeToExpiration^0.5), 0, 1, TRUE)
)</f>
        <v>0.7006278366</v>
      </c>
      <c r="AW37" s="40">
        <f t="shared" si="23"/>
        <v>0.4461640625</v>
      </c>
      <c r="AX37" s="8">
        <f>AX$2*(Underlying*EXP(-DividendYield*TimeToExpiration)*_xlfn.NORM.DIST(AX$2*(LN(Underlying/$H37)+(RiskFreeRate-DividendYield+0.5*AW37^2)*TimeToExpiration)/(AW37*TimeToExpiration^0.5), 0, 1, TRUE) - 
       $H37*EXP(-RiskFreeRate*TimeToExpiration)*_xlfn.NORM.DIST(AX$2*(LN(Underlying/$H37)+(RiskFreeRate-DividendYield-0.5*AW37^2)*TimeToExpiration)/(AW37*TimeToExpiration^0.5), 0, 1, TRUE)
)</f>
        <v>0.5553862994</v>
      </c>
      <c r="AY37" s="40">
        <f t="shared" si="24"/>
        <v>0.422734375</v>
      </c>
      <c r="AZ37" s="40">
        <f t="shared" si="25"/>
        <v>0.4461640625</v>
      </c>
      <c r="BA37" s="7">
        <f>BA$2*(Underlying*EXP(-DividendYield*TimeToExpiration)*_xlfn.NORM.DIST(BA$2*(LN(Underlying/$H37)+(RiskFreeRate-DividendYield+0.5*AY37^2)*TimeToExpiration)/(AY37*TimeToExpiration^0.5), 0, 1, TRUE) - 
       $H37*EXP(-RiskFreeRate*TimeToExpiration)*_xlfn.NORM.DIST(BA$2*(LN(Underlying/$H37)+(RiskFreeRate-DividendYield-0.5*AY37^2)*TimeToExpiration)/(AY37*TimeToExpiration^0.5), 0, 1, TRUE)
)</f>
        <v>0.4278760516</v>
      </c>
      <c r="BB37" s="7">
        <f>BB$2*(Underlying*EXP(-DividendYield*TimeToExpiration)*_xlfn.NORM.DIST(BB$2*(LN(Underlying/$H37)+(RiskFreeRate-DividendYield+0.5*AZ37^2)*TimeToExpiration)/(AZ37*TimeToExpiration^0.5), 0, 1, TRUE) - 
       $H37*EXP(-RiskFreeRate*TimeToExpiration)*_xlfn.NORM.DIST(BB$2*(LN(Underlying/$H37)+(RiskFreeRate-DividendYield-0.5*AZ37^2)*TimeToExpiration)/(AZ37*TimeToExpiration^0.5), 0, 1, TRUE)
)</f>
        <v>0.5553862994</v>
      </c>
      <c r="BC37" s="40">
        <f t="shared" si="26"/>
        <v>0.4344492188</v>
      </c>
      <c r="BD37" s="8">
        <f>BD$2*(Underlying*EXP(-DividendYield*TimeToExpiration)*_xlfn.NORM.DIST(BD$2*(LN(Underlying/$H37)+(RiskFreeRate-DividendYield+0.5*BC37^2)*TimeToExpiration)/(BC37*TimeToExpiration^0.5), 0, 1, TRUE) - 
       $H37*EXP(-RiskFreeRate*TimeToExpiration)*_xlfn.NORM.DIST(BD$2*(LN(Underlying/$H37)+(RiskFreeRate-DividendYield-0.5*BC37^2)*TimeToExpiration)/(BC37*TimeToExpiration^0.5), 0, 1, TRUE)
)</f>
        <v>0.4893860978</v>
      </c>
      <c r="BE37" s="40">
        <f t="shared" si="27"/>
        <v>0.422734375</v>
      </c>
      <c r="BF37" s="40">
        <f t="shared" si="28"/>
        <v>0.4344492188</v>
      </c>
      <c r="BG37" s="7">
        <f>BG$2*(Underlying*EXP(-DividendYield*TimeToExpiration)*_xlfn.NORM.DIST(BG$2*(LN(Underlying/$H37)+(RiskFreeRate-DividendYield+0.5*BE37^2)*TimeToExpiration)/(BE37*TimeToExpiration^0.5), 0, 1, TRUE) - 
       $H37*EXP(-RiskFreeRate*TimeToExpiration)*_xlfn.NORM.DIST(BG$2*(LN(Underlying/$H37)+(RiskFreeRate-DividendYield-0.5*BE37^2)*TimeToExpiration)/(BE37*TimeToExpiration^0.5), 0, 1, TRUE)
)</f>
        <v>0.4278760516</v>
      </c>
      <c r="BH37" s="7">
        <f>BH$2*(Underlying*EXP(-DividendYield*TimeToExpiration)*_xlfn.NORM.DIST(BH$2*(LN(Underlying/$H37)+(RiskFreeRate-DividendYield+0.5*BF37^2)*TimeToExpiration)/(BF37*TimeToExpiration^0.5), 0, 1, TRUE) - 
       $H37*EXP(-RiskFreeRate*TimeToExpiration)*_xlfn.NORM.DIST(BH$2*(LN(Underlying/$H37)+(RiskFreeRate-DividendYield-0.5*BF37^2)*TimeToExpiration)/(BF37*TimeToExpiration^0.5), 0, 1, TRUE)
)</f>
        <v>0.4893860978</v>
      </c>
      <c r="BI37" s="40">
        <f t="shared" si="29"/>
        <v>0.4285917969</v>
      </c>
      <c r="BJ37" s="8">
        <f>BJ$2*(Underlying*EXP(-DividendYield*TimeToExpiration)*_xlfn.NORM.DIST(BJ$2*(LN(Underlying/$H37)+(RiskFreeRate-DividendYield+0.5*BI37^2)*TimeToExpiration)/(BI37*TimeToExpiration^0.5), 0, 1, TRUE) - 
       $H37*EXP(-RiskFreeRate*TimeToExpiration)*_xlfn.NORM.DIST(BJ$2*(LN(Underlying/$H37)+(RiskFreeRate-DividendYield-0.5*BI37^2)*TimeToExpiration)/(BI37*TimeToExpiration^0.5), 0, 1, TRUE)
)</f>
        <v>0.45806699</v>
      </c>
      <c r="BK37" s="40">
        <f t="shared" si="30"/>
        <v>0.422734375</v>
      </c>
      <c r="BL37" s="40">
        <f t="shared" si="31"/>
        <v>0.4285917969</v>
      </c>
      <c r="BM37" s="7">
        <f>BM$2*(Underlying*EXP(-DividendYield*TimeToExpiration)*_xlfn.NORM.DIST(BM$2*(LN(Underlying/$H37)+(RiskFreeRate-DividendYield+0.5*BK37^2)*TimeToExpiration)/(BK37*TimeToExpiration^0.5), 0, 1, TRUE) - 
       $H37*EXP(-RiskFreeRate*TimeToExpiration)*_xlfn.NORM.DIST(BM$2*(LN(Underlying/$H37)+(RiskFreeRate-DividendYield-0.5*BK37^2)*TimeToExpiration)/(BK37*TimeToExpiration^0.5), 0, 1, TRUE)
)</f>
        <v>0.4278760516</v>
      </c>
      <c r="BN37" s="7">
        <f>BN$2*(Underlying*EXP(-DividendYield*TimeToExpiration)*_xlfn.NORM.DIST(BN$2*(LN(Underlying/$H37)+(RiskFreeRate-DividendYield+0.5*BL37^2)*TimeToExpiration)/(BL37*TimeToExpiration^0.5), 0, 1, TRUE) - 
       $H37*EXP(-RiskFreeRate*TimeToExpiration)*_xlfn.NORM.DIST(BN$2*(LN(Underlying/$H37)+(RiskFreeRate-DividendYield-0.5*BL37^2)*TimeToExpiration)/(BL37*TimeToExpiration^0.5), 0, 1, TRUE)
)</f>
        <v>0.45806699</v>
      </c>
      <c r="BO37" s="40">
        <f t="shared" si="32"/>
        <v>0.4256630859</v>
      </c>
      <c r="BP37" s="8">
        <f>BP$2*(Underlying*EXP(-DividendYield*TimeToExpiration)*_xlfn.NORM.DIST(BP$2*(LN(Underlying/$H37)+(RiskFreeRate-DividendYield+0.5*BO37^2)*TimeToExpiration)/(BO37*TimeToExpiration^0.5), 0, 1, TRUE) - 
       $H37*EXP(-RiskFreeRate*TimeToExpiration)*_xlfn.NORM.DIST(BP$2*(LN(Underlying/$H37)+(RiskFreeRate-DividendYield-0.5*BO37^2)*TimeToExpiration)/(BO37*TimeToExpiration^0.5), 0, 1, TRUE)
)</f>
        <v>0.4428302025</v>
      </c>
      <c r="BQ37" s="40">
        <f t="shared" si="33"/>
        <v>0.4256630859</v>
      </c>
      <c r="BR37" s="40">
        <f t="shared" si="34"/>
        <v>0.4285917969</v>
      </c>
      <c r="BS37" s="7">
        <f>BS$2*(Underlying*EXP(-DividendYield*TimeToExpiration)*_xlfn.NORM.DIST(BS$2*(LN(Underlying/$H37)+(RiskFreeRate-DividendYield+0.5*BQ37^2)*TimeToExpiration)/(BQ37*TimeToExpiration^0.5), 0, 1, TRUE) - 
       $H37*EXP(-RiskFreeRate*TimeToExpiration)*_xlfn.NORM.DIST(BS$2*(LN(Underlying/$H37)+(RiskFreeRate-DividendYield-0.5*BQ37^2)*TimeToExpiration)/(BQ37*TimeToExpiration^0.5), 0, 1, TRUE)
)</f>
        <v>0.4428302025</v>
      </c>
      <c r="BT37" s="7">
        <f>BT$2*(Underlying*EXP(-DividendYield*TimeToExpiration)*_xlfn.NORM.DIST(BT$2*(LN(Underlying/$H37)+(RiskFreeRate-DividendYield+0.5*BR37^2)*TimeToExpiration)/(BR37*TimeToExpiration^0.5), 0, 1, TRUE) - 
       $H37*EXP(-RiskFreeRate*TimeToExpiration)*_xlfn.NORM.DIST(BT$2*(LN(Underlying/$H37)+(RiskFreeRate-DividendYield-0.5*BR37^2)*TimeToExpiration)/(BR37*TimeToExpiration^0.5), 0, 1, TRUE)
)</f>
        <v>0.45806699</v>
      </c>
      <c r="BU37" s="40">
        <f t="shared" si="35"/>
        <v>0.4271274414</v>
      </c>
      <c r="BV37" s="8">
        <f>BV$2*(Underlying*EXP(-DividendYield*TimeToExpiration)*_xlfn.NORM.DIST(BV$2*(LN(Underlying/$H37)+(RiskFreeRate-DividendYield+0.5*BU37^2)*TimeToExpiration)/(BU37*TimeToExpiration^0.5), 0, 1, TRUE) - 
       $H37*EXP(-RiskFreeRate*TimeToExpiration)*_xlfn.NORM.DIST(BV$2*(LN(Underlying/$H37)+(RiskFreeRate-DividendYield-0.5*BU37^2)*TimeToExpiration)/(BU37*TimeToExpiration^0.5), 0, 1, TRUE)
)</f>
        <v>0.4504133012</v>
      </c>
      <c r="BW37" s="40">
        <f t="shared" si="36"/>
        <v>0.4256630859</v>
      </c>
      <c r="BX37" s="40">
        <f t="shared" si="37"/>
        <v>0.4271274414</v>
      </c>
      <c r="BY37" s="7">
        <f>BY$2*(Underlying*EXP(-DividendYield*TimeToExpiration)*_xlfn.NORM.DIST(BY$2*(LN(Underlying/$H37)+(RiskFreeRate-DividendYield+0.5*BW37^2)*TimeToExpiration)/(BW37*TimeToExpiration^0.5), 0, 1, TRUE) - 
       $H37*EXP(-RiskFreeRate*TimeToExpiration)*_xlfn.NORM.DIST(BY$2*(LN(Underlying/$H37)+(RiskFreeRate-DividendYield-0.5*BW37^2)*TimeToExpiration)/(BW37*TimeToExpiration^0.5), 0, 1, TRUE)
)</f>
        <v>0.4428302025</v>
      </c>
      <c r="BZ37" s="7">
        <f>BZ$2*(Underlying*EXP(-DividendYield*TimeToExpiration)*_xlfn.NORM.DIST(BZ$2*(LN(Underlying/$H37)+(RiskFreeRate-DividendYield+0.5*BX37^2)*TimeToExpiration)/(BX37*TimeToExpiration^0.5), 0, 1, TRUE) - 
       $H37*EXP(-RiskFreeRate*TimeToExpiration)*_xlfn.NORM.DIST(BZ$2*(LN(Underlying/$H37)+(RiskFreeRate-DividendYield-0.5*BX37^2)*TimeToExpiration)/(BX37*TimeToExpiration^0.5), 0, 1, TRUE)
)</f>
        <v>0.4504133012</v>
      </c>
      <c r="CA37" s="40">
        <f t="shared" si="38"/>
        <v>0.4263952637</v>
      </c>
      <c r="CB37" s="8">
        <f>CB$2*(Underlying*EXP(-DividendYield*TimeToExpiration)*_xlfn.NORM.DIST(CB$2*(LN(Underlying/$H37)+(RiskFreeRate-DividendYield+0.5*CA37^2)*TimeToExpiration)/(CA37*TimeToExpiration^0.5), 0, 1, TRUE) - 
       $H37*EXP(-RiskFreeRate*TimeToExpiration)*_xlfn.NORM.DIST(CB$2*(LN(Underlying/$H37)+(RiskFreeRate-DividendYield-0.5*CA37^2)*TimeToExpiration)/(CA37*TimeToExpiration^0.5), 0, 1, TRUE)
)</f>
        <v>0.4466129236</v>
      </c>
      <c r="CC37" s="40">
        <f t="shared" si="39"/>
        <v>0.4263952637</v>
      </c>
      <c r="CD37" s="40">
        <f t="shared" si="40"/>
        <v>0.4271274414</v>
      </c>
      <c r="CE37" s="7">
        <f>CE$2*(Underlying*EXP(-DividendYield*TimeToExpiration)*_xlfn.NORM.DIST(CE$2*(LN(Underlying/$H37)+(RiskFreeRate-DividendYield+0.5*CC37^2)*TimeToExpiration)/(CC37*TimeToExpiration^0.5), 0, 1, TRUE) - 
       $H37*EXP(-RiskFreeRate*TimeToExpiration)*_xlfn.NORM.DIST(CE$2*(LN(Underlying/$H37)+(RiskFreeRate-DividendYield-0.5*CC37^2)*TimeToExpiration)/(CC37*TimeToExpiration^0.5), 0, 1, TRUE)
)</f>
        <v>0.4466129236</v>
      </c>
      <c r="CF37" s="7">
        <f>CF$2*(Underlying*EXP(-DividendYield*TimeToExpiration)*_xlfn.NORM.DIST(CF$2*(LN(Underlying/$H37)+(RiskFreeRate-DividendYield+0.5*CD37^2)*TimeToExpiration)/(CD37*TimeToExpiration^0.5), 0, 1, TRUE) - 
       $H37*EXP(-RiskFreeRate*TimeToExpiration)*_xlfn.NORM.DIST(CF$2*(LN(Underlying/$H37)+(RiskFreeRate-DividendYield-0.5*CD37^2)*TimeToExpiration)/(CD37*TimeToExpiration^0.5), 0, 1, TRUE)
)</f>
        <v>0.4504133012</v>
      </c>
      <c r="CG37" s="40">
        <f t="shared" si="41"/>
        <v>0.4267613525</v>
      </c>
      <c r="CH37" s="8">
        <f>CH$2*(Underlying*EXP(-DividendYield*TimeToExpiration)*_xlfn.NORM.DIST(CH$2*(LN(Underlying/$H37)+(RiskFreeRate-DividendYield+0.5*CG37^2)*TimeToExpiration)/(CG37*TimeToExpiration^0.5), 0, 1, TRUE) - 
       $H37*EXP(-RiskFreeRate*TimeToExpiration)*_xlfn.NORM.DIST(CH$2*(LN(Underlying/$H37)+(RiskFreeRate-DividendYield-0.5*CG37^2)*TimeToExpiration)/(CG37*TimeToExpiration^0.5), 0, 1, TRUE)
)</f>
        <v>0.4485109059</v>
      </c>
      <c r="CI37" s="40">
        <f t="shared" si="42"/>
        <v>0.4267613525</v>
      </c>
      <c r="CJ37" s="40">
        <f t="shared" si="43"/>
        <v>0.4271274414</v>
      </c>
      <c r="CK37" s="7">
        <f>CK$2*(Underlying*EXP(-DividendYield*TimeToExpiration)*_xlfn.NORM.DIST(CK$2*(LN(Underlying/$H37)+(RiskFreeRate-DividendYield+0.5*CI37^2)*TimeToExpiration)/(CI37*TimeToExpiration^0.5), 0, 1, TRUE) - 
       $H37*EXP(-RiskFreeRate*TimeToExpiration)*_xlfn.NORM.DIST(CK$2*(LN(Underlying/$H37)+(RiskFreeRate-DividendYield-0.5*CI37^2)*TimeToExpiration)/(CI37*TimeToExpiration^0.5), 0, 1, TRUE)
)</f>
        <v>0.4485109059</v>
      </c>
      <c r="CL37" s="7">
        <f>CL$2*(Underlying*EXP(-DividendYield*TimeToExpiration)*_xlfn.NORM.DIST(CL$2*(LN(Underlying/$H37)+(RiskFreeRate-DividendYield+0.5*CJ37^2)*TimeToExpiration)/(CJ37*TimeToExpiration^0.5), 0, 1, TRUE) - 
       $H37*EXP(-RiskFreeRate*TimeToExpiration)*_xlfn.NORM.DIST(CL$2*(LN(Underlying/$H37)+(RiskFreeRate-DividendYield-0.5*CJ37^2)*TimeToExpiration)/(CJ37*TimeToExpiration^0.5), 0, 1, TRUE)
)</f>
        <v>0.4504133012</v>
      </c>
      <c r="CM37" s="40">
        <f t="shared" si="44"/>
        <v>0.426944397</v>
      </c>
      <c r="CN37" s="8">
        <f>CN$2*(Underlying*EXP(-DividendYield*TimeToExpiration)*_xlfn.NORM.DIST(CN$2*(LN(Underlying/$H37)+(RiskFreeRate-DividendYield+0.5*CM37^2)*TimeToExpiration)/(CM37*TimeToExpiration^0.5), 0, 1, TRUE) - 
       $H37*EXP(-RiskFreeRate*TimeToExpiration)*_xlfn.NORM.DIST(CN$2*(LN(Underlying/$H37)+(RiskFreeRate-DividendYield-0.5*CM37^2)*TimeToExpiration)/(CM37*TimeToExpiration^0.5), 0, 1, TRUE)
)</f>
        <v>0.449461552</v>
      </c>
      <c r="CO37" s="40">
        <f t="shared" si="45"/>
        <v>0.426944397</v>
      </c>
      <c r="CP37" s="40">
        <f t="shared" si="46"/>
        <v>0.4271274414</v>
      </c>
      <c r="CQ37" s="7">
        <f>CQ$2*(Underlying*EXP(-DividendYield*TimeToExpiration)*_xlfn.NORM.DIST(CQ$2*(LN(Underlying/$H37)+(RiskFreeRate-DividendYield+0.5*CO37^2)*TimeToExpiration)/(CO37*TimeToExpiration^0.5), 0, 1, TRUE) - 
       $H37*EXP(-RiskFreeRate*TimeToExpiration)*_xlfn.NORM.DIST(CQ$2*(LN(Underlying/$H37)+(RiskFreeRate-DividendYield-0.5*CO37^2)*TimeToExpiration)/(CO37*TimeToExpiration^0.5), 0, 1, TRUE)
)</f>
        <v>0.449461552</v>
      </c>
      <c r="CR37" s="7">
        <f>CR$2*(Underlying*EXP(-DividendYield*TimeToExpiration)*_xlfn.NORM.DIST(CR$2*(LN(Underlying/$H37)+(RiskFreeRate-DividendYield+0.5*CP37^2)*TimeToExpiration)/(CP37*TimeToExpiration^0.5), 0, 1, TRUE) - 
       $H37*EXP(-RiskFreeRate*TimeToExpiration)*_xlfn.NORM.DIST(CR$2*(LN(Underlying/$H37)+(RiskFreeRate-DividendYield-0.5*CP37^2)*TimeToExpiration)/(CP37*TimeToExpiration^0.5), 0, 1, TRUE)
)</f>
        <v>0.4504133012</v>
      </c>
      <c r="CS37" s="40">
        <f t="shared" si="47"/>
        <v>0.4270359192</v>
      </c>
      <c r="CT37" s="8">
        <f>CT$2*(Underlying*EXP(-DividendYield*TimeToExpiration)*_xlfn.NORM.DIST(CT$2*(LN(Underlying/$H37)+(RiskFreeRate-DividendYield+0.5*CS37^2)*TimeToExpiration)/(CS37*TimeToExpiration^0.5), 0, 1, TRUE) - 
       $H37*EXP(-RiskFreeRate*TimeToExpiration)*_xlfn.NORM.DIST(CT$2*(LN(Underlying/$H37)+(RiskFreeRate-DividendYield-0.5*CS37^2)*TimeToExpiration)/(CS37*TimeToExpiration^0.5), 0, 1, TRUE)
)</f>
        <v>0.4499372887</v>
      </c>
      <c r="CU37" s="40">
        <f t="shared" si="48"/>
        <v>0.4270359192</v>
      </c>
      <c r="CV37" s="40">
        <f t="shared" si="49"/>
        <v>0.4271274414</v>
      </c>
      <c r="CW37" s="7">
        <f>CW$2*(Underlying*EXP(-DividendYield*TimeToExpiration)*_xlfn.NORM.DIST(CW$2*(LN(Underlying/$H37)+(RiskFreeRate-DividendYield+0.5*CU37^2)*TimeToExpiration)/(CU37*TimeToExpiration^0.5), 0, 1, TRUE) - 
       $H37*EXP(-RiskFreeRate*TimeToExpiration)*_xlfn.NORM.DIST(CW$2*(LN(Underlying/$H37)+(RiskFreeRate-DividendYield-0.5*CU37^2)*TimeToExpiration)/(CU37*TimeToExpiration^0.5), 0, 1, TRUE)
)</f>
        <v>0.4499372887</v>
      </c>
      <c r="CX37" s="7">
        <f>CX$2*(Underlying*EXP(-DividendYield*TimeToExpiration)*_xlfn.NORM.DIST(CX$2*(LN(Underlying/$H37)+(RiskFreeRate-DividendYield+0.5*CV37^2)*TimeToExpiration)/(CV37*TimeToExpiration^0.5), 0, 1, TRUE) - 
       $H37*EXP(-RiskFreeRate*TimeToExpiration)*_xlfn.NORM.DIST(CX$2*(LN(Underlying/$H37)+(RiskFreeRate-DividendYield-0.5*CV37^2)*TimeToExpiration)/(CV37*TimeToExpiration^0.5), 0, 1, TRUE)
)</f>
        <v>0.4504133012</v>
      </c>
      <c r="CY37" s="40">
        <f t="shared" si="50"/>
        <v>0.4270816803</v>
      </c>
      <c r="CZ37" s="8">
        <f>CZ$2*(Underlying*EXP(-DividendYield*TimeToExpiration)*_xlfn.NORM.DIST(CZ$2*(LN(Underlying/$H37)+(RiskFreeRate-DividendYield+0.5*CY37^2)*TimeToExpiration)/(CY37*TimeToExpiration^0.5), 0, 1, TRUE) - 
       $H37*EXP(-RiskFreeRate*TimeToExpiration)*_xlfn.NORM.DIST(CZ$2*(LN(Underlying/$H37)+(RiskFreeRate-DividendYield-0.5*CY37^2)*TimeToExpiration)/(CY37*TimeToExpiration^0.5), 0, 1, TRUE)
)</f>
        <v>0.4501752605</v>
      </c>
      <c r="DA37" s="40">
        <f t="shared" si="51"/>
        <v>0.4270359192</v>
      </c>
      <c r="DB37" s="40">
        <f t="shared" si="52"/>
        <v>0.4270816803</v>
      </c>
      <c r="DC37" s="7">
        <f>DC$2*(Underlying*EXP(-DividendYield*TimeToExpiration)*_xlfn.NORM.DIST(DC$2*(LN(Underlying/$H37)+(RiskFreeRate-DividendYield+0.5*DA37^2)*TimeToExpiration)/(DA37*TimeToExpiration^0.5), 0, 1, TRUE) - 
       $H37*EXP(-RiskFreeRate*TimeToExpiration)*_xlfn.NORM.DIST(DC$2*(LN(Underlying/$H37)+(RiskFreeRate-DividendYield-0.5*DA37^2)*TimeToExpiration)/(DA37*TimeToExpiration^0.5), 0, 1, TRUE)
)</f>
        <v>0.4499372887</v>
      </c>
      <c r="DD37" s="7">
        <f>DD$2*(Underlying*EXP(-DividendYield*TimeToExpiration)*_xlfn.NORM.DIST(DD$2*(LN(Underlying/$H37)+(RiskFreeRate-DividendYield+0.5*DB37^2)*TimeToExpiration)/(DB37*TimeToExpiration^0.5), 0, 1, TRUE) - 
       $H37*EXP(-RiskFreeRate*TimeToExpiration)*_xlfn.NORM.DIST(DD$2*(LN(Underlying/$H37)+(RiskFreeRate-DividendYield-0.5*DB37^2)*TimeToExpiration)/(DB37*TimeToExpiration^0.5), 0, 1, TRUE)
)</f>
        <v>0.4501752605</v>
      </c>
      <c r="DE37" s="40">
        <f t="shared" si="53"/>
        <v>0.4270587997</v>
      </c>
      <c r="DF37" s="8">
        <f>DF$2*(Underlying*EXP(-DividendYield*TimeToExpiration)*_xlfn.NORM.DIST(DF$2*(LN(Underlying/$H37)+(RiskFreeRate-DividendYield+0.5*DE37^2)*TimeToExpiration)/(DE37*TimeToExpiration^0.5), 0, 1, TRUE) - 
       $H37*EXP(-RiskFreeRate*TimeToExpiration)*_xlfn.NORM.DIST(DF$2*(LN(Underlying/$H37)+(RiskFreeRate-DividendYield-0.5*DE37^2)*TimeToExpiration)/(DE37*TimeToExpiration^0.5), 0, 1, TRUE)
)</f>
        <v>0.450056266</v>
      </c>
    </row>
    <row r="38">
      <c r="A38" s="20">
        <f>'Option Mkt Data'!A38</f>
        <v>377.5</v>
      </c>
      <c r="B38" s="35">
        <f t="shared" ref="B38:C38" si="85">DE38</f>
        <v>0.4370347214</v>
      </c>
      <c r="C38" s="7">
        <f t="shared" si="85"/>
        <v>0.390093578</v>
      </c>
      <c r="D38" s="7">
        <f t="shared" si="3"/>
        <v>0.00009356251089</v>
      </c>
      <c r="E38" s="9">
        <f t="shared" si="4"/>
        <v>0.0002399038645</v>
      </c>
      <c r="F38" s="36">
        <f>D38/'Option Mkt Data'!L38</f>
        <v>0.004678115954</v>
      </c>
      <c r="G38" s="5">
        <f>'Option Mkt Data'!J38</f>
        <v>0.3900000155</v>
      </c>
      <c r="H38" s="33">
        <f>'Option Mkt Data'!A38</f>
        <v>377.5</v>
      </c>
      <c r="I38" s="37">
        <f>MinSolverVola</f>
        <v>0.001</v>
      </c>
      <c r="J38" s="38">
        <f>MaxSolverVola</f>
        <v>3</v>
      </c>
      <c r="K38" s="39">
        <f>K$2*(Underlying*EXP(-DividendYield*TimeToExpiration)*_xlfn.NORM.DIST(K$2*(LN(Underlying/$H38)+(RiskFreeRate-DividendYield+0.5*I38^2)*TimeToExpiration)/(I38*TimeToExpiration^0.5), 0, 1, TRUE) - 
       $H38*EXP(-RiskFreeRate*TimeToExpiration)*_xlfn.NORM.DIST(K$2*(LN(Underlying/$H38)+(RiskFreeRate-DividendYield-0.5*I38^2)*TimeToExpiration)/(I38*TimeToExpiration^0.5), 0, 1, TRUE)
)</f>
        <v>0</v>
      </c>
      <c r="L38" s="7">
        <f>L$2*(Underlying*EXP(-DividendYield*TimeToExpiration)*_xlfn.NORM.DIST(L$2*(LN(Underlying/$H38)+(RiskFreeRate-DividendYield+0.5*J38^2)*TimeToExpiration)/(J38*TimeToExpiration^0.5), 0, 1, TRUE) - 
       $H38*EXP(-RiskFreeRate*TimeToExpiration)*_xlfn.NORM.DIST(L$2*(LN(Underlying/$H38)+(RiskFreeRate-DividendYield-0.5*J38^2)*TimeToExpiration)/(J38*TimeToExpiration^0.5), 0, 1, TRUE)
)</f>
        <v>43.05187225</v>
      </c>
      <c r="M38" s="40">
        <f t="shared" si="5"/>
        <v>1.5005</v>
      </c>
      <c r="N38" s="8">
        <f>N$2*(Underlying*EXP(-DividendYield*TimeToExpiration)*_xlfn.NORM.DIST(N$2*(LN(Underlying/$H38)+(RiskFreeRate-DividendYield+0.5*M38^2)*TimeToExpiration)/(M38*TimeToExpiration^0.5), 0, 1, TRUE) - 
       $H38*EXP(-RiskFreeRate*TimeToExpiration)*_xlfn.NORM.DIST(N$2*(LN(Underlying/$H38)+(RiskFreeRate-DividendYield-0.5*M38^2)*TimeToExpiration)/(M38*TimeToExpiration^0.5), 0, 1, TRUE)
)</f>
        <v>14.98525285</v>
      </c>
      <c r="O38" s="41">
        <f t="shared" si="6"/>
        <v>0.001</v>
      </c>
      <c r="P38" s="40">
        <f t="shared" si="7"/>
        <v>1.5005</v>
      </c>
      <c r="Q38" s="7">
        <f>Q$2*(Underlying*EXP(-DividendYield*TimeToExpiration)*_xlfn.NORM.DIST(Q$2*(LN(Underlying/$H38)+(RiskFreeRate-DividendYield+0.5*O38^2)*TimeToExpiration)/(O38*TimeToExpiration^0.5), 0, 1, TRUE) - 
       $H38*EXP(-RiskFreeRate*TimeToExpiration)*_xlfn.NORM.DIST(Q$2*(LN(Underlying/$H38)+(RiskFreeRate-DividendYield-0.5*O38^2)*TimeToExpiration)/(O38*TimeToExpiration^0.5), 0, 1, TRUE))</f>
        <v>0</v>
      </c>
      <c r="R38" s="7">
        <f>R$2*(Underlying*EXP(-DividendYield*TimeToExpiration)*_xlfn.NORM.DIST(R$2*(LN(Underlying/$H38)+(RiskFreeRate-DividendYield+0.5*P38^2)*TimeToExpiration)/(P38*TimeToExpiration^0.5), 0, 1, TRUE) - 
       $H38*EXP(-RiskFreeRate*TimeToExpiration)*_xlfn.NORM.DIST(R$2*(LN(Underlying/$H38)+(RiskFreeRate-DividendYield-0.5*P38^2)*TimeToExpiration)/(P38*TimeToExpiration^0.5), 0, 1, TRUE)
)</f>
        <v>14.98525285</v>
      </c>
      <c r="S38" s="40">
        <f t="shared" si="8"/>
        <v>0.75075</v>
      </c>
      <c r="T38" s="8">
        <f>T$2*(Underlying*EXP(-DividendYield*TimeToExpiration)*_xlfn.NORM.DIST(T$2*(LN(Underlying/$H38)+(RiskFreeRate-DividendYield+0.5*S38^2)*TimeToExpiration)/(S38*TimeToExpiration^0.5), 0, 1, TRUE) - 
       $H38*EXP(-RiskFreeRate*TimeToExpiration)*_xlfn.NORM.DIST(T$2*(LN(Underlying/$H38)+(RiskFreeRate-DividendYield-0.5*S38^2)*TimeToExpiration)/(S38*TimeToExpiration^0.5), 0, 1, TRUE)
)</f>
        <v>3.1729269</v>
      </c>
      <c r="U38" s="41">
        <f t="shared" si="9"/>
        <v>0.001</v>
      </c>
      <c r="V38" s="40">
        <f t="shared" si="10"/>
        <v>0.75075</v>
      </c>
      <c r="W38" s="7">
        <f>W$2*(Underlying*EXP(-DividendYield*TimeToExpiration)*_xlfn.NORM.DIST(W$2*(LN(Underlying/$H38)+(RiskFreeRate-DividendYield+0.5*U38^2)*TimeToExpiration)/(U38*TimeToExpiration^0.5), 0, 1, TRUE) - 
       $H38*EXP(-RiskFreeRate*TimeToExpiration)*_xlfn.NORM.DIST(W$2*(LN(Underlying/$H38)+(RiskFreeRate-DividendYield-0.5*U38^2)*TimeToExpiration)/(U38*TimeToExpiration^0.5), 0, 1, TRUE)
)</f>
        <v>0</v>
      </c>
      <c r="X38" s="7">
        <f>X$2*(Underlying*EXP(-DividendYield*TimeToExpiration)*_xlfn.NORM.DIST(X$2*(LN(Underlying/$H38)+(RiskFreeRate-DividendYield+0.5*V38^2)*TimeToExpiration)/(V38*TimeToExpiration^0.5), 0, 1, TRUE) - 
       $H38*EXP(-RiskFreeRate*TimeToExpiration)*_xlfn.NORM.DIST(X$2*(LN(Underlying/$H38)+(RiskFreeRate-DividendYield-0.5*V38^2)*TimeToExpiration)/(V38*TimeToExpiration^0.5), 0, 1, TRUE)
)</f>
        <v>3.1729269</v>
      </c>
      <c r="Y38" s="40">
        <f t="shared" si="11"/>
        <v>0.375875</v>
      </c>
      <c r="Z38" s="8">
        <f>Z$2*(Underlying*EXP(-DividendYield*TimeToExpiration)*_xlfn.NORM.DIST(Z$2*(LN(Underlying/$H38)+(RiskFreeRate-DividendYield+0.5*Y38^2)*TimeToExpiration)/(Y38*TimeToExpiration^0.5), 0, 1, TRUE) - 
       $H38*EXP(-RiskFreeRate*TimeToExpiration)*_xlfn.NORM.DIST(Z$2*(LN(Underlying/$H38)+(RiskFreeRate-DividendYield-0.5*Y38^2)*TimeToExpiration)/(Y38*TimeToExpiration^0.5), 0, 1, TRUE)
)</f>
        <v>0.1642433628</v>
      </c>
      <c r="AA38" s="40">
        <f t="shared" si="12"/>
        <v>0.375875</v>
      </c>
      <c r="AB38" s="40">
        <f t="shared" si="13"/>
        <v>0.75075</v>
      </c>
      <c r="AC38" s="7">
        <f>AC$2*(Underlying*EXP(-DividendYield*TimeToExpiration)*_xlfn.NORM.DIST(AC$2*(LN(Underlying/$H38)+(RiskFreeRate-DividendYield+0.5*AA38^2)*TimeToExpiration)/(AA38*TimeToExpiration^0.5), 0, 1, TRUE) - 
       $H38*EXP(-RiskFreeRate*TimeToExpiration)*_xlfn.NORM.DIST(AC$2*(LN(Underlying/$H38)+(RiskFreeRate-DividendYield-0.5*AA38^2)*TimeToExpiration)/(AA38*TimeToExpiration^0.5), 0, 1, TRUE)
)</f>
        <v>0.1642433628</v>
      </c>
      <c r="AD38" s="7">
        <f>AD$2*(Underlying*EXP(-DividendYield*TimeToExpiration)*_xlfn.NORM.DIST(AD$2*(LN(Underlying/$H38)+(RiskFreeRate-DividendYield+0.5*AB38^2)*TimeToExpiration)/(AB38*TimeToExpiration^0.5), 0, 1, TRUE) - 
       $H38*EXP(-RiskFreeRate*TimeToExpiration)*_xlfn.NORM.DIST(AD$2*(LN(Underlying/$H38)+(RiskFreeRate-DividendYield-0.5*AB38^2)*TimeToExpiration)/(AB38*TimeToExpiration^0.5), 0, 1, TRUE)
)</f>
        <v>3.1729269</v>
      </c>
      <c r="AE38" s="40">
        <f t="shared" si="14"/>
        <v>0.5633125</v>
      </c>
      <c r="AF38" s="8">
        <f>AF$2*(Underlying*EXP(-DividendYield*TimeToExpiration)*_xlfn.NORM.DIST(AF$2*(LN(Underlying/$H38)+(RiskFreeRate-DividendYield+0.5*AE38^2)*TimeToExpiration)/(AE38*TimeToExpiration^0.5), 0, 1, TRUE) - 
       $H38*EXP(-RiskFreeRate*TimeToExpiration)*_xlfn.NORM.DIST(AF$2*(LN(Underlying/$H38)+(RiskFreeRate-DividendYield-0.5*AE38^2)*TimeToExpiration)/(AE38*TimeToExpiration^0.5), 0, 1, TRUE)
)</f>
        <v>1.215670611</v>
      </c>
      <c r="AG38" s="40">
        <f t="shared" si="15"/>
        <v>0.375875</v>
      </c>
      <c r="AH38" s="40">
        <f t="shared" si="16"/>
        <v>0.5633125</v>
      </c>
      <c r="AI38" s="7">
        <f>AI$2*(Underlying*EXP(-DividendYield*TimeToExpiration)*_xlfn.NORM.DIST(AI$2*(LN(Underlying/$H38)+(RiskFreeRate-DividendYield+0.5*AG38^2)*TimeToExpiration)/(AG38*TimeToExpiration^0.5), 0, 1, TRUE) - 
       $H38*EXP(-RiskFreeRate*TimeToExpiration)*_xlfn.NORM.DIST(AI$2*(LN(Underlying/$H38)+(RiskFreeRate-DividendYield-0.5*AG38^2)*TimeToExpiration)/(AG38*TimeToExpiration^0.5), 0, 1, TRUE)
)</f>
        <v>0.1642433628</v>
      </c>
      <c r="AJ38" s="7">
        <f>AJ$2*(Underlying*EXP(-DividendYield*TimeToExpiration)*_xlfn.NORM.DIST(AJ$2*(LN(Underlying/$H38)+(RiskFreeRate-DividendYield+0.5*AH38^2)*TimeToExpiration)/(AH38*TimeToExpiration^0.5), 0, 1, TRUE) - 
       $H38*EXP(-RiskFreeRate*TimeToExpiration)*_xlfn.NORM.DIST(AJ$2*(LN(Underlying/$H38)+(RiskFreeRate-DividendYield-0.5*AH38^2)*TimeToExpiration)/(AH38*TimeToExpiration^0.5), 0, 1, TRUE)
)</f>
        <v>1.215670611</v>
      </c>
      <c r="AK38" s="40">
        <f t="shared" si="17"/>
        <v>0.46959375</v>
      </c>
      <c r="AL38" s="8">
        <f>AL$2*(Underlying*EXP(-DividendYield*TimeToExpiration)*_xlfn.NORM.DIST(AL$2*(LN(Underlying/$H38)+(RiskFreeRate-DividendYield+0.5*AK38^2)*TimeToExpiration)/(AK38*TimeToExpiration^0.5), 0, 1, TRUE) - 
       $H38*EXP(-RiskFreeRate*TimeToExpiration)*_xlfn.NORM.DIST(AL$2*(LN(Underlying/$H38)+(RiskFreeRate-DividendYield-0.5*AK38^2)*TimeToExpiration)/(AK38*TimeToExpiration^0.5), 0, 1, TRUE)
)</f>
        <v>0.5576008617</v>
      </c>
      <c r="AM38" s="40">
        <f t="shared" si="18"/>
        <v>0.375875</v>
      </c>
      <c r="AN38" s="40">
        <f t="shared" si="19"/>
        <v>0.46959375</v>
      </c>
      <c r="AO38" s="7">
        <f>AO$2*(Underlying*EXP(-DividendYield*TimeToExpiration)*_xlfn.NORM.DIST(AO$2*(LN(Underlying/$H38)+(RiskFreeRate-DividendYield+0.5*AM38^2)*TimeToExpiration)/(AM38*TimeToExpiration^0.5), 0, 1, TRUE) - 
       $H38*EXP(-RiskFreeRate*TimeToExpiration)*_xlfn.NORM.DIST(AO$2*(LN(Underlying/$H38)+(RiskFreeRate-DividendYield-0.5*AM38^2)*TimeToExpiration)/(AM38*TimeToExpiration^0.5), 0, 1, TRUE)
)</f>
        <v>0.1642433628</v>
      </c>
      <c r="AP38" s="7">
        <f>AP$2*(Underlying*EXP(-DividendYield*TimeToExpiration)*_xlfn.NORM.DIST(AP$2*(LN(Underlying/$H38)+(RiskFreeRate-DividendYield+0.5*AN38^2)*TimeToExpiration)/(AN38*TimeToExpiration^0.5), 0, 1, TRUE) - 
       $H38*EXP(-RiskFreeRate*TimeToExpiration)*_xlfn.NORM.DIST(AP$2*(LN(Underlying/$H38)+(RiskFreeRate-DividendYield-0.5*AN38^2)*TimeToExpiration)/(AN38*TimeToExpiration^0.5), 0, 1, TRUE)
)</f>
        <v>0.5576008617</v>
      </c>
      <c r="AQ38" s="40">
        <f t="shared" si="20"/>
        <v>0.422734375</v>
      </c>
      <c r="AR38" s="8">
        <f>AR$2*(Underlying*EXP(-DividendYield*TimeToExpiration)*_xlfn.NORM.DIST(AR$2*(LN(Underlying/$H38)+(RiskFreeRate-DividendYield+0.5*AQ38^2)*TimeToExpiration)/(AQ38*TimeToExpiration^0.5), 0, 1, TRUE) - 
       $H38*EXP(-RiskFreeRate*TimeToExpiration)*_xlfn.NORM.DIST(AR$2*(LN(Underlying/$H38)+(RiskFreeRate-DividendYield-0.5*AQ38^2)*TimeToExpiration)/(AQ38*TimeToExpiration^0.5), 0, 1, TRUE)
)</f>
        <v>0.3269441481</v>
      </c>
      <c r="AS38" s="40">
        <f t="shared" si="21"/>
        <v>0.422734375</v>
      </c>
      <c r="AT38" s="40">
        <f t="shared" si="22"/>
        <v>0.46959375</v>
      </c>
      <c r="AU38" s="7">
        <f>AU$2*(Underlying*EXP(-DividendYield*TimeToExpiration)*_xlfn.NORM.DIST(AU$2*(LN(Underlying/$H38)+(RiskFreeRate-DividendYield+0.5*AS38^2)*TimeToExpiration)/(AS38*TimeToExpiration^0.5), 0, 1, TRUE) - 
       $H38*EXP(-RiskFreeRate*TimeToExpiration)*_xlfn.NORM.DIST(AU$2*(LN(Underlying/$H38)+(RiskFreeRate-DividendYield-0.5*AS38^2)*TimeToExpiration)/(AS38*TimeToExpiration^0.5), 0, 1, TRUE)
)</f>
        <v>0.3269441481</v>
      </c>
      <c r="AV38" s="7">
        <f>AV$2*(Underlying*EXP(-DividendYield*TimeToExpiration)*_xlfn.NORM.DIST(AV$2*(LN(Underlying/$H38)+(RiskFreeRate-DividendYield+0.5*AT38^2)*TimeToExpiration)/(AT38*TimeToExpiration^0.5), 0, 1, TRUE) - 
       $H38*EXP(-RiskFreeRate*TimeToExpiration)*_xlfn.NORM.DIST(AV$2*(LN(Underlying/$H38)+(RiskFreeRate-DividendYield-0.5*AT38^2)*TimeToExpiration)/(AT38*TimeToExpiration^0.5), 0, 1, TRUE)
)</f>
        <v>0.5576008617</v>
      </c>
      <c r="AW38" s="40">
        <f t="shared" si="23"/>
        <v>0.4461640625</v>
      </c>
      <c r="AX38" s="8">
        <f>AX$2*(Underlying*EXP(-DividendYield*TimeToExpiration)*_xlfn.NORM.DIST(AX$2*(LN(Underlying/$H38)+(RiskFreeRate-DividendYield+0.5*AW38^2)*TimeToExpiration)/(AW38*TimeToExpiration^0.5), 0, 1, TRUE) - 
       $H38*EXP(-RiskFreeRate*TimeToExpiration)*_xlfn.NORM.DIST(AX$2*(LN(Underlying/$H38)+(RiskFreeRate-DividendYield-0.5*AW38^2)*TimeToExpiration)/(AW38*TimeToExpiration^0.5), 0, 1, TRUE)
)</f>
        <v>0.4337435492</v>
      </c>
      <c r="AY38" s="40">
        <f t="shared" si="24"/>
        <v>0.422734375</v>
      </c>
      <c r="AZ38" s="40">
        <f t="shared" si="25"/>
        <v>0.4461640625</v>
      </c>
      <c r="BA38" s="7">
        <f>BA$2*(Underlying*EXP(-DividendYield*TimeToExpiration)*_xlfn.NORM.DIST(BA$2*(LN(Underlying/$H38)+(RiskFreeRate-DividendYield+0.5*AY38^2)*TimeToExpiration)/(AY38*TimeToExpiration^0.5), 0, 1, TRUE) - 
       $H38*EXP(-RiskFreeRate*TimeToExpiration)*_xlfn.NORM.DIST(BA$2*(LN(Underlying/$H38)+(RiskFreeRate-DividendYield-0.5*AY38^2)*TimeToExpiration)/(AY38*TimeToExpiration^0.5), 0, 1, TRUE)
)</f>
        <v>0.3269441481</v>
      </c>
      <c r="BB38" s="7">
        <f>BB$2*(Underlying*EXP(-DividendYield*TimeToExpiration)*_xlfn.NORM.DIST(BB$2*(LN(Underlying/$H38)+(RiskFreeRate-DividendYield+0.5*AZ38^2)*TimeToExpiration)/(AZ38*TimeToExpiration^0.5), 0, 1, TRUE) - 
       $H38*EXP(-RiskFreeRate*TimeToExpiration)*_xlfn.NORM.DIST(BB$2*(LN(Underlying/$H38)+(RiskFreeRate-DividendYield-0.5*AZ38^2)*TimeToExpiration)/(AZ38*TimeToExpiration^0.5), 0, 1, TRUE)
)</f>
        <v>0.4337435492</v>
      </c>
      <c r="BC38" s="40">
        <f t="shared" si="26"/>
        <v>0.4344492188</v>
      </c>
      <c r="BD38" s="8">
        <f>BD$2*(Underlying*EXP(-DividendYield*TimeToExpiration)*_xlfn.NORM.DIST(BD$2*(LN(Underlying/$H38)+(RiskFreeRate-DividendYield+0.5*BC38^2)*TimeToExpiration)/(BC38*TimeToExpiration^0.5), 0, 1, TRUE) - 
       $H38*EXP(-RiskFreeRate*TimeToExpiration)*_xlfn.NORM.DIST(BD$2*(LN(Underlying/$H38)+(RiskFreeRate-DividendYield-0.5*BC38^2)*TimeToExpiration)/(BC38*TimeToExpiration^0.5), 0, 1, TRUE)
)</f>
        <v>0.3782037087</v>
      </c>
      <c r="BE38" s="40">
        <f t="shared" si="27"/>
        <v>0.4344492188</v>
      </c>
      <c r="BF38" s="40">
        <f t="shared" si="28"/>
        <v>0.4461640625</v>
      </c>
      <c r="BG38" s="7">
        <f>BG$2*(Underlying*EXP(-DividendYield*TimeToExpiration)*_xlfn.NORM.DIST(BG$2*(LN(Underlying/$H38)+(RiskFreeRate-DividendYield+0.5*BE38^2)*TimeToExpiration)/(BE38*TimeToExpiration^0.5), 0, 1, TRUE) - 
       $H38*EXP(-RiskFreeRate*TimeToExpiration)*_xlfn.NORM.DIST(BG$2*(LN(Underlying/$H38)+(RiskFreeRate-DividendYield-0.5*BE38^2)*TimeToExpiration)/(BE38*TimeToExpiration^0.5), 0, 1, TRUE)
)</f>
        <v>0.3782037087</v>
      </c>
      <c r="BH38" s="7">
        <f>BH$2*(Underlying*EXP(-DividendYield*TimeToExpiration)*_xlfn.NORM.DIST(BH$2*(LN(Underlying/$H38)+(RiskFreeRate-DividendYield+0.5*BF38^2)*TimeToExpiration)/(BF38*TimeToExpiration^0.5), 0, 1, TRUE) - 
       $H38*EXP(-RiskFreeRate*TimeToExpiration)*_xlfn.NORM.DIST(BH$2*(LN(Underlying/$H38)+(RiskFreeRate-DividendYield-0.5*BF38^2)*TimeToExpiration)/(BF38*TimeToExpiration^0.5), 0, 1, TRUE)
)</f>
        <v>0.4337435492</v>
      </c>
      <c r="BI38" s="40">
        <f t="shared" si="29"/>
        <v>0.4403066406</v>
      </c>
      <c r="BJ38" s="8">
        <f>BJ$2*(Underlying*EXP(-DividendYield*TimeToExpiration)*_xlfn.NORM.DIST(BJ$2*(LN(Underlying/$H38)+(RiskFreeRate-DividendYield+0.5*BI38^2)*TimeToExpiration)/(BI38*TimeToExpiration^0.5), 0, 1, TRUE) - 
       $H38*EXP(-RiskFreeRate*TimeToExpiration)*_xlfn.NORM.DIST(BJ$2*(LN(Underlying/$H38)+(RiskFreeRate-DividendYield-0.5*BI38^2)*TimeToExpiration)/(BI38*TimeToExpiration^0.5), 0, 1, TRUE)
)</f>
        <v>0.4054389277</v>
      </c>
      <c r="BK38" s="40">
        <f t="shared" si="30"/>
        <v>0.4344492188</v>
      </c>
      <c r="BL38" s="40">
        <f t="shared" si="31"/>
        <v>0.4403066406</v>
      </c>
      <c r="BM38" s="7">
        <f>BM$2*(Underlying*EXP(-DividendYield*TimeToExpiration)*_xlfn.NORM.DIST(BM$2*(LN(Underlying/$H38)+(RiskFreeRate-DividendYield+0.5*BK38^2)*TimeToExpiration)/(BK38*TimeToExpiration^0.5), 0, 1, TRUE) - 
       $H38*EXP(-RiskFreeRate*TimeToExpiration)*_xlfn.NORM.DIST(BM$2*(LN(Underlying/$H38)+(RiskFreeRate-DividendYield-0.5*BK38^2)*TimeToExpiration)/(BK38*TimeToExpiration^0.5), 0, 1, TRUE)
)</f>
        <v>0.3782037087</v>
      </c>
      <c r="BN38" s="7">
        <f>BN$2*(Underlying*EXP(-DividendYield*TimeToExpiration)*_xlfn.NORM.DIST(BN$2*(LN(Underlying/$H38)+(RiskFreeRate-DividendYield+0.5*BL38^2)*TimeToExpiration)/(BL38*TimeToExpiration^0.5), 0, 1, TRUE) - 
       $H38*EXP(-RiskFreeRate*TimeToExpiration)*_xlfn.NORM.DIST(BN$2*(LN(Underlying/$H38)+(RiskFreeRate-DividendYield-0.5*BL38^2)*TimeToExpiration)/(BL38*TimeToExpiration^0.5), 0, 1, TRUE)
)</f>
        <v>0.4054389277</v>
      </c>
      <c r="BO38" s="40">
        <f t="shared" si="32"/>
        <v>0.4373779297</v>
      </c>
      <c r="BP38" s="8">
        <f>BP$2*(Underlying*EXP(-DividendYield*TimeToExpiration)*_xlfn.NORM.DIST(BP$2*(LN(Underlying/$H38)+(RiskFreeRate-DividendYield+0.5*BO38^2)*TimeToExpiration)/(BO38*TimeToExpiration^0.5), 0, 1, TRUE) - 
       $H38*EXP(-RiskFreeRate*TimeToExpiration)*_xlfn.NORM.DIST(BP$2*(LN(Underlying/$H38)+(RiskFreeRate-DividendYield-0.5*BO38^2)*TimeToExpiration)/(BO38*TimeToExpiration^0.5), 0, 1, TRUE)
)</f>
        <v>0.391687557</v>
      </c>
      <c r="BQ38" s="40">
        <f t="shared" si="33"/>
        <v>0.4344492188</v>
      </c>
      <c r="BR38" s="40">
        <f t="shared" si="34"/>
        <v>0.4373779297</v>
      </c>
      <c r="BS38" s="7">
        <f>BS$2*(Underlying*EXP(-DividendYield*TimeToExpiration)*_xlfn.NORM.DIST(BS$2*(LN(Underlying/$H38)+(RiskFreeRate-DividendYield+0.5*BQ38^2)*TimeToExpiration)/(BQ38*TimeToExpiration^0.5), 0, 1, TRUE) - 
       $H38*EXP(-RiskFreeRate*TimeToExpiration)*_xlfn.NORM.DIST(BS$2*(LN(Underlying/$H38)+(RiskFreeRate-DividendYield-0.5*BQ38^2)*TimeToExpiration)/(BQ38*TimeToExpiration^0.5), 0, 1, TRUE)
)</f>
        <v>0.3782037087</v>
      </c>
      <c r="BT38" s="7">
        <f>BT$2*(Underlying*EXP(-DividendYield*TimeToExpiration)*_xlfn.NORM.DIST(BT$2*(LN(Underlying/$H38)+(RiskFreeRate-DividendYield+0.5*BR38^2)*TimeToExpiration)/(BR38*TimeToExpiration^0.5), 0, 1, TRUE) - 
       $H38*EXP(-RiskFreeRate*TimeToExpiration)*_xlfn.NORM.DIST(BT$2*(LN(Underlying/$H38)+(RiskFreeRate-DividendYield-0.5*BR38^2)*TimeToExpiration)/(BR38*TimeToExpiration^0.5), 0, 1, TRUE)
)</f>
        <v>0.391687557</v>
      </c>
      <c r="BU38" s="40">
        <f t="shared" si="35"/>
        <v>0.4359135742</v>
      </c>
      <c r="BV38" s="8">
        <f>BV$2*(Underlying*EXP(-DividendYield*TimeToExpiration)*_xlfn.NORM.DIST(BV$2*(LN(Underlying/$H38)+(RiskFreeRate-DividendYield+0.5*BU38^2)*TimeToExpiration)/(BU38*TimeToExpiration^0.5), 0, 1, TRUE) - 
       $H38*EXP(-RiskFreeRate*TimeToExpiration)*_xlfn.NORM.DIST(BV$2*(LN(Underlying/$H38)+(RiskFreeRate-DividendYield-0.5*BU38^2)*TimeToExpiration)/(BU38*TimeToExpiration^0.5), 0, 1, TRUE)
)</f>
        <v>0.3849121855</v>
      </c>
      <c r="BW38" s="40">
        <f t="shared" si="36"/>
        <v>0.4359135742</v>
      </c>
      <c r="BX38" s="40">
        <f t="shared" si="37"/>
        <v>0.4373779297</v>
      </c>
      <c r="BY38" s="7">
        <f>BY$2*(Underlying*EXP(-DividendYield*TimeToExpiration)*_xlfn.NORM.DIST(BY$2*(LN(Underlying/$H38)+(RiskFreeRate-DividendYield+0.5*BW38^2)*TimeToExpiration)/(BW38*TimeToExpiration^0.5), 0, 1, TRUE) - 
       $H38*EXP(-RiskFreeRate*TimeToExpiration)*_xlfn.NORM.DIST(BY$2*(LN(Underlying/$H38)+(RiskFreeRate-DividendYield-0.5*BW38^2)*TimeToExpiration)/(BW38*TimeToExpiration^0.5), 0, 1, TRUE)
)</f>
        <v>0.3849121855</v>
      </c>
      <c r="BZ38" s="7">
        <f>BZ$2*(Underlying*EXP(-DividendYield*TimeToExpiration)*_xlfn.NORM.DIST(BZ$2*(LN(Underlying/$H38)+(RiskFreeRate-DividendYield+0.5*BX38^2)*TimeToExpiration)/(BX38*TimeToExpiration^0.5), 0, 1, TRUE) - 
       $H38*EXP(-RiskFreeRate*TimeToExpiration)*_xlfn.NORM.DIST(BZ$2*(LN(Underlying/$H38)+(RiskFreeRate-DividendYield-0.5*BX38^2)*TimeToExpiration)/(BX38*TimeToExpiration^0.5), 0, 1, TRUE)
)</f>
        <v>0.391687557</v>
      </c>
      <c r="CA38" s="40">
        <f t="shared" si="38"/>
        <v>0.436645752</v>
      </c>
      <c r="CB38" s="8">
        <f>CB$2*(Underlying*EXP(-DividendYield*TimeToExpiration)*_xlfn.NORM.DIST(CB$2*(LN(Underlying/$H38)+(RiskFreeRate-DividendYield+0.5*CA38^2)*TimeToExpiration)/(CA38*TimeToExpiration^0.5), 0, 1, TRUE) - 
       $H38*EXP(-RiskFreeRate*TimeToExpiration)*_xlfn.NORM.DIST(CB$2*(LN(Underlying/$H38)+(RiskFreeRate-DividendYield-0.5*CA38^2)*TimeToExpiration)/(CA38*TimeToExpiration^0.5), 0, 1, TRUE)
)</f>
        <v>0.3882915101</v>
      </c>
      <c r="CC38" s="40">
        <f t="shared" si="39"/>
        <v>0.436645752</v>
      </c>
      <c r="CD38" s="40">
        <f t="shared" si="40"/>
        <v>0.4373779297</v>
      </c>
      <c r="CE38" s="7">
        <f>CE$2*(Underlying*EXP(-DividendYield*TimeToExpiration)*_xlfn.NORM.DIST(CE$2*(LN(Underlying/$H38)+(RiskFreeRate-DividendYield+0.5*CC38^2)*TimeToExpiration)/(CC38*TimeToExpiration^0.5), 0, 1, TRUE) - 
       $H38*EXP(-RiskFreeRate*TimeToExpiration)*_xlfn.NORM.DIST(CE$2*(LN(Underlying/$H38)+(RiskFreeRate-DividendYield-0.5*CC38^2)*TimeToExpiration)/(CC38*TimeToExpiration^0.5), 0, 1, TRUE)
)</f>
        <v>0.3882915101</v>
      </c>
      <c r="CF38" s="7">
        <f>CF$2*(Underlying*EXP(-DividendYield*TimeToExpiration)*_xlfn.NORM.DIST(CF$2*(LN(Underlying/$H38)+(RiskFreeRate-DividendYield+0.5*CD38^2)*TimeToExpiration)/(CD38*TimeToExpiration^0.5), 0, 1, TRUE) - 
       $H38*EXP(-RiskFreeRate*TimeToExpiration)*_xlfn.NORM.DIST(CF$2*(LN(Underlying/$H38)+(RiskFreeRate-DividendYield-0.5*CD38^2)*TimeToExpiration)/(CD38*TimeToExpiration^0.5), 0, 1, TRUE)
)</f>
        <v>0.391687557</v>
      </c>
      <c r="CG38" s="40">
        <f t="shared" si="41"/>
        <v>0.4370118408</v>
      </c>
      <c r="CH38" s="8">
        <f>CH$2*(Underlying*EXP(-DividendYield*TimeToExpiration)*_xlfn.NORM.DIST(CH$2*(LN(Underlying/$H38)+(RiskFreeRate-DividendYield+0.5*CG38^2)*TimeToExpiration)/(CG38*TimeToExpiration^0.5), 0, 1, TRUE) - 
       $H38*EXP(-RiskFreeRate*TimeToExpiration)*_xlfn.NORM.DIST(CH$2*(LN(Underlying/$H38)+(RiskFreeRate-DividendYield-0.5*CG38^2)*TimeToExpiration)/(CG38*TimeToExpiration^0.5), 0, 1, TRUE)
)</f>
        <v>0.3899874434</v>
      </c>
      <c r="CI38" s="40">
        <f t="shared" si="42"/>
        <v>0.4370118408</v>
      </c>
      <c r="CJ38" s="40">
        <f t="shared" si="43"/>
        <v>0.4373779297</v>
      </c>
      <c r="CK38" s="7">
        <f>CK$2*(Underlying*EXP(-DividendYield*TimeToExpiration)*_xlfn.NORM.DIST(CK$2*(LN(Underlying/$H38)+(RiskFreeRate-DividendYield+0.5*CI38^2)*TimeToExpiration)/(CI38*TimeToExpiration^0.5), 0, 1, TRUE) - 
       $H38*EXP(-RiskFreeRate*TimeToExpiration)*_xlfn.NORM.DIST(CK$2*(LN(Underlying/$H38)+(RiskFreeRate-DividendYield-0.5*CI38^2)*TimeToExpiration)/(CI38*TimeToExpiration^0.5), 0, 1, TRUE)
)</f>
        <v>0.3899874434</v>
      </c>
      <c r="CL38" s="7">
        <f>CL$2*(Underlying*EXP(-DividendYield*TimeToExpiration)*_xlfn.NORM.DIST(CL$2*(LN(Underlying/$H38)+(RiskFreeRate-DividendYield+0.5*CJ38^2)*TimeToExpiration)/(CJ38*TimeToExpiration^0.5), 0, 1, TRUE) - 
       $H38*EXP(-RiskFreeRate*TimeToExpiration)*_xlfn.NORM.DIST(CL$2*(LN(Underlying/$H38)+(RiskFreeRate-DividendYield-0.5*CJ38^2)*TimeToExpiration)/(CJ38*TimeToExpiration^0.5), 0, 1, TRUE)
)</f>
        <v>0.391687557</v>
      </c>
      <c r="CM38" s="40">
        <f t="shared" si="44"/>
        <v>0.4371948853</v>
      </c>
      <c r="CN38" s="8">
        <f>CN$2*(Underlying*EXP(-DividendYield*TimeToExpiration)*_xlfn.NORM.DIST(CN$2*(LN(Underlying/$H38)+(RiskFreeRate-DividendYield+0.5*CM38^2)*TimeToExpiration)/(CM38*TimeToExpiration^0.5), 0, 1, TRUE) - 
       $H38*EXP(-RiskFreeRate*TimeToExpiration)*_xlfn.NORM.DIST(CN$2*(LN(Underlying/$H38)+(RiskFreeRate-DividendYield-0.5*CM38^2)*TimeToExpiration)/(CM38*TimeToExpiration^0.5), 0, 1, TRUE)
)</f>
        <v>0.3908369776</v>
      </c>
      <c r="CO38" s="40">
        <f t="shared" si="45"/>
        <v>0.4370118408</v>
      </c>
      <c r="CP38" s="40">
        <f t="shared" si="46"/>
        <v>0.4371948853</v>
      </c>
      <c r="CQ38" s="7">
        <f>CQ$2*(Underlying*EXP(-DividendYield*TimeToExpiration)*_xlfn.NORM.DIST(CQ$2*(LN(Underlying/$H38)+(RiskFreeRate-DividendYield+0.5*CO38^2)*TimeToExpiration)/(CO38*TimeToExpiration^0.5), 0, 1, TRUE) - 
       $H38*EXP(-RiskFreeRate*TimeToExpiration)*_xlfn.NORM.DIST(CQ$2*(LN(Underlying/$H38)+(RiskFreeRate-DividendYield-0.5*CO38^2)*TimeToExpiration)/(CO38*TimeToExpiration^0.5), 0, 1, TRUE)
)</f>
        <v>0.3899874434</v>
      </c>
      <c r="CR38" s="7">
        <f>CR$2*(Underlying*EXP(-DividendYield*TimeToExpiration)*_xlfn.NORM.DIST(CR$2*(LN(Underlying/$H38)+(RiskFreeRate-DividendYield+0.5*CP38^2)*TimeToExpiration)/(CP38*TimeToExpiration^0.5), 0, 1, TRUE) - 
       $H38*EXP(-RiskFreeRate*TimeToExpiration)*_xlfn.NORM.DIST(CR$2*(LN(Underlying/$H38)+(RiskFreeRate-DividendYield-0.5*CP38^2)*TimeToExpiration)/(CP38*TimeToExpiration^0.5), 0, 1, TRUE)
)</f>
        <v>0.3908369776</v>
      </c>
      <c r="CS38" s="40">
        <f t="shared" si="47"/>
        <v>0.437103363</v>
      </c>
      <c r="CT38" s="8">
        <f>CT$2*(Underlying*EXP(-DividendYield*TimeToExpiration)*_xlfn.NORM.DIST(CT$2*(LN(Underlying/$H38)+(RiskFreeRate-DividendYield+0.5*CS38^2)*TimeToExpiration)/(CS38*TimeToExpiration^0.5), 0, 1, TRUE) - 
       $H38*EXP(-RiskFreeRate*TimeToExpiration)*_xlfn.NORM.DIST(CT$2*(LN(Underlying/$H38)+(RiskFreeRate-DividendYield-0.5*CS38^2)*TimeToExpiration)/(CS38*TimeToExpiration^0.5), 0, 1, TRUE)
)</f>
        <v>0.3904120799</v>
      </c>
      <c r="CU38" s="40">
        <f t="shared" si="48"/>
        <v>0.4370118408</v>
      </c>
      <c r="CV38" s="40">
        <f t="shared" si="49"/>
        <v>0.437103363</v>
      </c>
      <c r="CW38" s="7">
        <f>CW$2*(Underlying*EXP(-DividendYield*TimeToExpiration)*_xlfn.NORM.DIST(CW$2*(LN(Underlying/$H38)+(RiskFreeRate-DividendYield+0.5*CU38^2)*TimeToExpiration)/(CU38*TimeToExpiration^0.5), 0, 1, TRUE) - 
       $H38*EXP(-RiskFreeRate*TimeToExpiration)*_xlfn.NORM.DIST(CW$2*(LN(Underlying/$H38)+(RiskFreeRate-DividendYield-0.5*CU38^2)*TimeToExpiration)/(CU38*TimeToExpiration^0.5), 0, 1, TRUE)
)</f>
        <v>0.3899874434</v>
      </c>
      <c r="CX38" s="7">
        <f>CX$2*(Underlying*EXP(-DividendYield*TimeToExpiration)*_xlfn.NORM.DIST(CX$2*(LN(Underlying/$H38)+(RiskFreeRate-DividendYield+0.5*CV38^2)*TimeToExpiration)/(CV38*TimeToExpiration^0.5), 0, 1, TRUE) - 
       $H38*EXP(-RiskFreeRate*TimeToExpiration)*_xlfn.NORM.DIST(CX$2*(LN(Underlying/$H38)+(RiskFreeRate-DividendYield-0.5*CV38^2)*TimeToExpiration)/(CV38*TimeToExpiration^0.5), 0, 1, TRUE)
)</f>
        <v>0.3904120799</v>
      </c>
      <c r="CY38" s="40">
        <f t="shared" si="50"/>
        <v>0.4370576019</v>
      </c>
      <c r="CZ38" s="8">
        <f>CZ$2*(Underlying*EXP(-DividendYield*TimeToExpiration)*_xlfn.NORM.DIST(CZ$2*(LN(Underlying/$H38)+(RiskFreeRate-DividendYield+0.5*CY38^2)*TimeToExpiration)/(CY38*TimeToExpiration^0.5), 0, 1, TRUE) - 
       $H38*EXP(-RiskFreeRate*TimeToExpiration)*_xlfn.NORM.DIST(CZ$2*(LN(Underlying/$H38)+(RiskFreeRate-DividendYield-0.5*CY38^2)*TimeToExpiration)/(CY38*TimeToExpiration^0.5), 0, 1, TRUE)
)</f>
        <v>0.390199729</v>
      </c>
      <c r="DA38" s="40">
        <f t="shared" si="51"/>
        <v>0.4370118408</v>
      </c>
      <c r="DB38" s="40">
        <f t="shared" si="52"/>
        <v>0.4370576019</v>
      </c>
      <c r="DC38" s="7">
        <f>DC$2*(Underlying*EXP(-DividendYield*TimeToExpiration)*_xlfn.NORM.DIST(DC$2*(LN(Underlying/$H38)+(RiskFreeRate-DividendYield+0.5*DA38^2)*TimeToExpiration)/(DA38*TimeToExpiration^0.5), 0, 1, TRUE) - 
       $H38*EXP(-RiskFreeRate*TimeToExpiration)*_xlfn.NORM.DIST(DC$2*(LN(Underlying/$H38)+(RiskFreeRate-DividendYield-0.5*DA38^2)*TimeToExpiration)/(DA38*TimeToExpiration^0.5), 0, 1, TRUE)
)</f>
        <v>0.3899874434</v>
      </c>
      <c r="DD38" s="7">
        <f>DD$2*(Underlying*EXP(-DividendYield*TimeToExpiration)*_xlfn.NORM.DIST(DD$2*(LN(Underlying/$H38)+(RiskFreeRate-DividendYield+0.5*DB38^2)*TimeToExpiration)/(DB38*TimeToExpiration^0.5), 0, 1, TRUE) - 
       $H38*EXP(-RiskFreeRate*TimeToExpiration)*_xlfn.NORM.DIST(DD$2*(LN(Underlying/$H38)+(RiskFreeRate-DividendYield-0.5*DB38^2)*TimeToExpiration)/(DB38*TimeToExpiration^0.5), 0, 1, TRUE)
)</f>
        <v>0.390199729</v>
      </c>
      <c r="DE38" s="40">
        <f t="shared" si="53"/>
        <v>0.4370347214</v>
      </c>
      <c r="DF38" s="8">
        <f>DF$2*(Underlying*EXP(-DividendYield*TimeToExpiration)*_xlfn.NORM.DIST(DF$2*(LN(Underlying/$H38)+(RiskFreeRate-DividendYield+0.5*DE38^2)*TimeToExpiration)/(DE38*TimeToExpiration^0.5), 0, 1, TRUE) - 
       $H38*EXP(-RiskFreeRate*TimeToExpiration)*_xlfn.NORM.DIST(DF$2*(LN(Underlying/$H38)+(RiskFreeRate-DividendYield-0.5*DE38^2)*TimeToExpiration)/(DE38*TimeToExpiration^0.5), 0, 1, TRUE)
)</f>
        <v>0.390093578</v>
      </c>
    </row>
    <row r="39">
      <c r="A39" s="20">
        <f>'Option Mkt Data'!A39</f>
        <v>380</v>
      </c>
      <c r="B39" s="35">
        <f t="shared" ref="B39:C39" si="86">DE39</f>
        <v>0.4470564041</v>
      </c>
      <c r="C39" s="7">
        <f t="shared" si="86"/>
        <v>0.3400411523</v>
      </c>
      <c r="D39" s="7">
        <f t="shared" si="3"/>
        <v>0.00004111878522</v>
      </c>
      <c r="E39" s="9">
        <f t="shared" si="4"/>
        <v>0.0001209375917</v>
      </c>
      <c r="F39" s="36">
        <f>D39/'Option Mkt Data'!L39</f>
        <v>0.002055941214</v>
      </c>
      <c r="G39" s="5">
        <f>'Option Mkt Data'!J39</f>
        <v>0.3400000335</v>
      </c>
      <c r="H39" s="33">
        <f>'Option Mkt Data'!A39</f>
        <v>380</v>
      </c>
      <c r="I39" s="37">
        <f>MinSolverVola</f>
        <v>0.001</v>
      </c>
      <c r="J39" s="38">
        <f>MaxSolverVola</f>
        <v>3</v>
      </c>
      <c r="K39" s="39">
        <f>K$2*(Underlying*EXP(-DividendYield*TimeToExpiration)*_xlfn.NORM.DIST(K$2*(LN(Underlying/$H39)+(RiskFreeRate-DividendYield+0.5*I39^2)*TimeToExpiration)/(I39*TimeToExpiration^0.5), 0, 1, TRUE) - 
       $H39*EXP(-RiskFreeRate*TimeToExpiration)*_xlfn.NORM.DIST(K$2*(LN(Underlying/$H39)+(RiskFreeRate-DividendYield-0.5*I39^2)*TimeToExpiration)/(I39*TimeToExpiration^0.5), 0, 1, TRUE)
)</f>
        <v>0</v>
      </c>
      <c r="L39" s="7">
        <f>L$2*(Underlying*EXP(-DividendYield*TimeToExpiration)*_xlfn.NORM.DIST(L$2*(LN(Underlying/$H39)+(RiskFreeRate-DividendYield+0.5*J39^2)*TimeToExpiration)/(J39*TimeToExpiration^0.5), 0, 1, TRUE) - 
       $H39*EXP(-RiskFreeRate*TimeToExpiration)*_xlfn.NORM.DIST(L$2*(LN(Underlying/$H39)+(RiskFreeRate-DividendYield-0.5*J39^2)*TimeToExpiration)/(J39*TimeToExpiration^0.5), 0, 1, TRUE)
)</f>
        <v>42.25432921</v>
      </c>
      <c r="M39" s="40">
        <f t="shared" si="5"/>
        <v>1.5005</v>
      </c>
      <c r="N39" s="8">
        <f>N$2*(Underlying*EXP(-DividendYield*TimeToExpiration)*_xlfn.NORM.DIST(N$2*(LN(Underlying/$H39)+(RiskFreeRate-DividendYield+0.5*M39^2)*TimeToExpiration)/(M39*TimeToExpiration^0.5), 0, 1, TRUE) - 
       $H39*EXP(-RiskFreeRate*TimeToExpiration)*_xlfn.NORM.DIST(N$2*(LN(Underlying/$H39)+(RiskFreeRate-DividendYield-0.5*M39^2)*TimeToExpiration)/(M39*TimeToExpiration^0.5), 0, 1, TRUE)
)</f>
        <v>14.31758946</v>
      </c>
      <c r="O39" s="41">
        <f t="shared" si="6"/>
        <v>0.001</v>
      </c>
      <c r="P39" s="40">
        <f t="shared" si="7"/>
        <v>1.5005</v>
      </c>
      <c r="Q39" s="7">
        <f>Q$2*(Underlying*EXP(-DividendYield*TimeToExpiration)*_xlfn.NORM.DIST(Q$2*(LN(Underlying/$H39)+(RiskFreeRate-DividendYield+0.5*O39^2)*TimeToExpiration)/(O39*TimeToExpiration^0.5), 0, 1, TRUE) - 
       $H39*EXP(-RiskFreeRate*TimeToExpiration)*_xlfn.NORM.DIST(Q$2*(LN(Underlying/$H39)+(RiskFreeRate-DividendYield-0.5*O39^2)*TimeToExpiration)/(O39*TimeToExpiration^0.5), 0, 1, TRUE))</f>
        <v>0</v>
      </c>
      <c r="R39" s="7">
        <f>R$2*(Underlying*EXP(-DividendYield*TimeToExpiration)*_xlfn.NORM.DIST(R$2*(LN(Underlying/$H39)+(RiskFreeRate-DividendYield+0.5*P39^2)*TimeToExpiration)/(P39*TimeToExpiration^0.5), 0, 1, TRUE) - 
       $H39*EXP(-RiskFreeRate*TimeToExpiration)*_xlfn.NORM.DIST(R$2*(LN(Underlying/$H39)+(RiskFreeRate-DividendYield-0.5*P39^2)*TimeToExpiration)/(P39*TimeToExpiration^0.5), 0, 1, TRUE)
)</f>
        <v>14.31758946</v>
      </c>
      <c r="S39" s="40">
        <f t="shared" si="8"/>
        <v>0.75075</v>
      </c>
      <c r="T39" s="8">
        <f>T$2*(Underlying*EXP(-DividendYield*TimeToExpiration)*_xlfn.NORM.DIST(T$2*(LN(Underlying/$H39)+(RiskFreeRate-DividendYield+0.5*S39^2)*TimeToExpiration)/(S39*TimeToExpiration^0.5), 0, 1, TRUE) - 
       $H39*EXP(-RiskFreeRate*TimeToExpiration)*_xlfn.NORM.DIST(T$2*(LN(Underlying/$H39)+(RiskFreeRate-DividendYield-0.5*S39^2)*TimeToExpiration)/(S39*TimeToExpiration^0.5), 0, 1, TRUE)
)</f>
        <v>2.824215167</v>
      </c>
      <c r="U39" s="41">
        <f t="shared" si="9"/>
        <v>0.001</v>
      </c>
      <c r="V39" s="40">
        <f t="shared" si="10"/>
        <v>0.75075</v>
      </c>
      <c r="W39" s="7">
        <f>W$2*(Underlying*EXP(-DividendYield*TimeToExpiration)*_xlfn.NORM.DIST(W$2*(LN(Underlying/$H39)+(RiskFreeRate-DividendYield+0.5*U39^2)*TimeToExpiration)/(U39*TimeToExpiration^0.5), 0, 1, TRUE) - 
       $H39*EXP(-RiskFreeRate*TimeToExpiration)*_xlfn.NORM.DIST(W$2*(LN(Underlying/$H39)+(RiskFreeRate-DividendYield-0.5*U39^2)*TimeToExpiration)/(U39*TimeToExpiration^0.5), 0, 1, TRUE)
)</f>
        <v>0</v>
      </c>
      <c r="X39" s="7">
        <f>X$2*(Underlying*EXP(-DividendYield*TimeToExpiration)*_xlfn.NORM.DIST(X$2*(LN(Underlying/$H39)+(RiskFreeRate-DividendYield+0.5*V39^2)*TimeToExpiration)/(V39*TimeToExpiration^0.5), 0, 1, TRUE) - 
       $H39*EXP(-RiskFreeRate*TimeToExpiration)*_xlfn.NORM.DIST(X$2*(LN(Underlying/$H39)+(RiskFreeRate-DividendYield-0.5*V39^2)*TimeToExpiration)/(V39*TimeToExpiration^0.5), 0, 1, TRUE)
)</f>
        <v>2.824215167</v>
      </c>
      <c r="Y39" s="40">
        <f t="shared" si="11"/>
        <v>0.375875</v>
      </c>
      <c r="Z39" s="8">
        <f>Z$2*(Underlying*EXP(-DividendYield*TimeToExpiration)*_xlfn.NORM.DIST(Z$2*(LN(Underlying/$H39)+(RiskFreeRate-DividendYield+0.5*Y39^2)*TimeToExpiration)/(Y39*TimeToExpiration^0.5), 0, 1, TRUE) - 
       $H39*EXP(-RiskFreeRate*TimeToExpiration)*_xlfn.NORM.DIST(Z$2*(LN(Underlying/$H39)+(RiskFreeRate-DividendYield-0.5*Y39^2)*TimeToExpiration)/(Y39*TimeToExpiration^0.5), 0, 1, TRUE)
)</f>
        <v>0.1174760963</v>
      </c>
      <c r="AA39" s="40">
        <f t="shared" si="12"/>
        <v>0.375875</v>
      </c>
      <c r="AB39" s="40">
        <f t="shared" si="13"/>
        <v>0.75075</v>
      </c>
      <c r="AC39" s="7">
        <f>AC$2*(Underlying*EXP(-DividendYield*TimeToExpiration)*_xlfn.NORM.DIST(AC$2*(LN(Underlying/$H39)+(RiskFreeRate-DividendYield+0.5*AA39^2)*TimeToExpiration)/(AA39*TimeToExpiration^0.5), 0, 1, TRUE) - 
       $H39*EXP(-RiskFreeRate*TimeToExpiration)*_xlfn.NORM.DIST(AC$2*(LN(Underlying/$H39)+(RiskFreeRate-DividendYield-0.5*AA39^2)*TimeToExpiration)/(AA39*TimeToExpiration^0.5), 0, 1, TRUE)
)</f>
        <v>0.1174760963</v>
      </c>
      <c r="AD39" s="7">
        <f>AD$2*(Underlying*EXP(-DividendYield*TimeToExpiration)*_xlfn.NORM.DIST(AD$2*(LN(Underlying/$H39)+(RiskFreeRate-DividendYield+0.5*AB39^2)*TimeToExpiration)/(AB39*TimeToExpiration^0.5), 0, 1, TRUE) - 
       $H39*EXP(-RiskFreeRate*TimeToExpiration)*_xlfn.NORM.DIST(AD$2*(LN(Underlying/$H39)+(RiskFreeRate-DividendYield-0.5*AB39^2)*TimeToExpiration)/(AB39*TimeToExpiration^0.5), 0, 1, TRUE)
)</f>
        <v>2.824215167</v>
      </c>
      <c r="AE39" s="40">
        <f t="shared" si="14"/>
        <v>0.5633125</v>
      </c>
      <c r="AF39" s="8">
        <f>AF$2*(Underlying*EXP(-DividendYield*TimeToExpiration)*_xlfn.NORM.DIST(AF$2*(LN(Underlying/$H39)+(RiskFreeRate-DividendYield+0.5*AE39^2)*TimeToExpiration)/(AE39*TimeToExpiration^0.5), 0, 1, TRUE) - 
       $H39*EXP(-RiskFreeRate*TimeToExpiration)*_xlfn.NORM.DIST(AF$2*(LN(Underlying/$H39)+(RiskFreeRate-DividendYield-0.5*AE39^2)*TimeToExpiration)/(AE39*TimeToExpiration^0.5), 0, 1, TRUE)
)</f>
        <v>1.0180586</v>
      </c>
      <c r="AG39" s="40">
        <f t="shared" si="15"/>
        <v>0.375875</v>
      </c>
      <c r="AH39" s="40">
        <f t="shared" si="16"/>
        <v>0.5633125</v>
      </c>
      <c r="AI39" s="7">
        <f>AI$2*(Underlying*EXP(-DividendYield*TimeToExpiration)*_xlfn.NORM.DIST(AI$2*(LN(Underlying/$H39)+(RiskFreeRate-DividendYield+0.5*AG39^2)*TimeToExpiration)/(AG39*TimeToExpiration^0.5), 0, 1, TRUE) - 
       $H39*EXP(-RiskFreeRate*TimeToExpiration)*_xlfn.NORM.DIST(AI$2*(LN(Underlying/$H39)+(RiskFreeRate-DividendYield-0.5*AG39^2)*TimeToExpiration)/(AG39*TimeToExpiration^0.5), 0, 1, TRUE)
)</f>
        <v>0.1174760963</v>
      </c>
      <c r="AJ39" s="7">
        <f>AJ$2*(Underlying*EXP(-DividendYield*TimeToExpiration)*_xlfn.NORM.DIST(AJ$2*(LN(Underlying/$H39)+(RiskFreeRate-DividendYield+0.5*AH39^2)*TimeToExpiration)/(AH39*TimeToExpiration^0.5), 0, 1, TRUE) - 
       $H39*EXP(-RiskFreeRate*TimeToExpiration)*_xlfn.NORM.DIST(AJ$2*(LN(Underlying/$H39)+(RiskFreeRate-DividendYield-0.5*AH39^2)*TimeToExpiration)/(AH39*TimeToExpiration^0.5), 0, 1, TRUE)
)</f>
        <v>1.0180586</v>
      </c>
      <c r="AK39" s="40">
        <f t="shared" si="17"/>
        <v>0.46959375</v>
      </c>
      <c r="AL39" s="8">
        <f>AL$2*(Underlying*EXP(-DividendYield*TimeToExpiration)*_xlfn.NORM.DIST(AL$2*(LN(Underlying/$H39)+(RiskFreeRate-DividendYield+0.5*AK39^2)*TimeToExpiration)/(AK39*TimeToExpiration^0.5), 0, 1, TRUE) - 
       $H39*EXP(-RiskFreeRate*TimeToExpiration)*_xlfn.NORM.DIST(AL$2*(LN(Underlying/$H39)+(RiskFreeRate-DividendYield-0.5*AK39^2)*TimeToExpiration)/(AK39*TimeToExpiration^0.5), 0, 1, TRUE)
)</f>
        <v>0.4409910034</v>
      </c>
      <c r="AM39" s="40">
        <f t="shared" si="18"/>
        <v>0.375875</v>
      </c>
      <c r="AN39" s="40">
        <f t="shared" si="19"/>
        <v>0.46959375</v>
      </c>
      <c r="AO39" s="7">
        <f>AO$2*(Underlying*EXP(-DividendYield*TimeToExpiration)*_xlfn.NORM.DIST(AO$2*(LN(Underlying/$H39)+(RiskFreeRate-DividendYield+0.5*AM39^2)*TimeToExpiration)/(AM39*TimeToExpiration^0.5), 0, 1, TRUE) - 
       $H39*EXP(-RiskFreeRate*TimeToExpiration)*_xlfn.NORM.DIST(AO$2*(LN(Underlying/$H39)+(RiskFreeRate-DividendYield-0.5*AM39^2)*TimeToExpiration)/(AM39*TimeToExpiration^0.5), 0, 1, TRUE)
)</f>
        <v>0.1174760963</v>
      </c>
      <c r="AP39" s="7">
        <f>AP$2*(Underlying*EXP(-DividendYield*TimeToExpiration)*_xlfn.NORM.DIST(AP$2*(LN(Underlying/$H39)+(RiskFreeRate-DividendYield+0.5*AN39^2)*TimeToExpiration)/(AN39*TimeToExpiration^0.5), 0, 1, TRUE) - 
       $H39*EXP(-RiskFreeRate*TimeToExpiration)*_xlfn.NORM.DIST(AP$2*(LN(Underlying/$H39)+(RiskFreeRate-DividendYield-0.5*AN39^2)*TimeToExpiration)/(AN39*TimeToExpiration^0.5), 0, 1, TRUE)
)</f>
        <v>0.4409910034</v>
      </c>
      <c r="AQ39" s="40">
        <f t="shared" si="20"/>
        <v>0.422734375</v>
      </c>
      <c r="AR39" s="8">
        <f>AR$2*(Underlying*EXP(-DividendYield*TimeToExpiration)*_xlfn.NORM.DIST(AR$2*(LN(Underlying/$H39)+(RiskFreeRate-DividendYield+0.5*AQ39^2)*TimeToExpiration)/(AQ39*TimeToExpiration^0.5), 0, 1, TRUE) - 
       $H39*EXP(-RiskFreeRate*TimeToExpiration)*_xlfn.NORM.DIST(AR$2*(LN(Underlying/$H39)+(RiskFreeRate-DividendYield-0.5*AQ39^2)*TimeToExpiration)/(AQ39*TimeToExpiration^0.5), 0, 1, TRUE)
)</f>
        <v>0.247822215</v>
      </c>
      <c r="AS39" s="40">
        <f t="shared" si="21"/>
        <v>0.422734375</v>
      </c>
      <c r="AT39" s="40">
        <f t="shared" si="22"/>
        <v>0.46959375</v>
      </c>
      <c r="AU39" s="7">
        <f>AU$2*(Underlying*EXP(-DividendYield*TimeToExpiration)*_xlfn.NORM.DIST(AU$2*(LN(Underlying/$H39)+(RiskFreeRate-DividendYield+0.5*AS39^2)*TimeToExpiration)/(AS39*TimeToExpiration^0.5), 0, 1, TRUE) - 
       $H39*EXP(-RiskFreeRate*TimeToExpiration)*_xlfn.NORM.DIST(AU$2*(LN(Underlying/$H39)+(RiskFreeRate-DividendYield-0.5*AS39^2)*TimeToExpiration)/(AS39*TimeToExpiration^0.5), 0, 1, TRUE)
)</f>
        <v>0.247822215</v>
      </c>
      <c r="AV39" s="7">
        <f>AV$2*(Underlying*EXP(-DividendYield*TimeToExpiration)*_xlfn.NORM.DIST(AV$2*(LN(Underlying/$H39)+(RiskFreeRate-DividendYield+0.5*AT39^2)*TimeToExpiration)/(AT39*TimeToExpiration^0.5), 0, 1, TRUE) - 
       $H39*EXP(-RiskFreeRate*TimeToExpiration)*_xlfn.NORM.DIST(AV$2*(LN(Underlying/$H39)+(RiskFreeRate-DividendYield-0.5*AT39^2)*TimeToExpiration)/(AT39*TimeToExpiration^0.5), 0, 1, TRUE)
)</f>
        <v>0.4409910034</v>
      </c>
      <c r="AW39" s="40">
        <f t="shared" si="23"/>
        <v>0.4461640625</v>
      </c>
      <c r="AX39" s="8">
        <f>AX$2*(Underlying*EXP(-DividendYield*TimeToExpiration)*_xlfn.NORM.DIST(AX$2*(LN(Underlying/$H39)+(RiskFreeRate-DividendYield+0.5*AW39^2)*TimeToExpiration)/(AW39*TimeToExpiration^0.5), 0, 1, TRUE) - 
       $H39*EXP(-RiskFreeRate*TimeToExpiration)*_xlfn.NORM.DIST(AX$2*(LN(Underlying/$H39)+(RiskFreeRate-DividendYield-0.5*AW39^2)*TimeToExpiration)/(AW39*TimeToExpiration^0.5), 0, 1, TRUE)
)</f>
        <v>0.3363519345</v>
      </c>
      <c r="AY39" s="40">
        <f t="shared" si="24"/>
        <v>0.4461640625</v>
      </c>
      <c r="AZ39" s="40">
        <f t="shared" si="25"/>
        <v>0.46959375</v>
      </c>
      <c r="BA39" s="7">
        <f>BA$2*(Underlying*EXP(-DividendYield*TimeToExpiration)*_xlfn.NORM.DIST(BA$2*(LN(Underlying/$H39)+(RiskFreeRate-DividendYield+0.5*AY39^2)*TimeToExpiration)/(AY39*TimeToExpiration^0.5), 0, 1, TRUE) - 
       $H39*EXP(-RiskFreeRate*TimeToExpiration)*_xlfn.NORM.DIST(BA$2*(LN(Underlying/$H39)+(RiskFreeRate-DividendYield-0.5*AY39^2)*TimeToExpiration)/(AY39*TimeToExpiration^0.5), 0, 1, TRUE)
)</f>
        <v>0.3363519345</v>
      </c>
      <c r="BB39" s="7">
        <f>BB$2*(Underlying*EXP(-DividendYield*TimeToExpiration)*_xlfn.NORM.DIST(BB$2*(LN(Underlying/$H39)+(RiskFreeRate-DividendYield+0.5*AZ39^2)*TimeToExpiration)/(AZ39*TimeToExpiration^0.5), 0, 1, TRUE) - 
       $H39*EXP(-RiskFreeRate*TimeToExpiration)*_xlfn.NORM.DIST(BB$2*(LN(Underlying/$H39)+(RiskFreeRate-DividendYield-0.5*AZ39^2)*TimeToExpiration)/(AZ39*TimeToExpiration^0.5), 0, 1, TRUE)
)</f>
        <v>0.4409910034</v>
      </c>
      <c r="BC39" s="40">
        <f t="shared" si="26"/>
        <v>0.4578789063</v>
      </c>
      <c r="BD39" s="8">
        <f>BD$2*(Underlying*EXP(-DividendYield*TimeToExpiration)*_xlfn.NORM.DIST(BD$2*(LN(Underlying/$H39)+(RiskFreeRate-DividendYield+0.5*BC39^2)*TimeToExpiration)/(BC39*TimeToExpiration^0.5), 0, 1, TRUE) - 
       $H39*EXP(-RiskFreeRate*TimeToExpiration)*_xlfn.NORM.DIST(BD$2*(LN(Underlying/$H39)+(RiskFreeRate-DividendYield-0.5*BC39^2)*TimeToExpiration)/(BC39*TimeToExpiration^0.5), 0, 1, TRUE)
)</f>
        <v>0.3866502484</v>
      </c>
      <c r="BE39" s="40">
        <f t="shared" si="27"/>
        <v>0.4461640625</v>
      </c>
      <c r="BF39" s="40">
        <f t="shared" si="28"/>
        <v>0.4578789063</v>
      </c>
      <c r="BG39" s="7">
        <f>BG$2*(Underlying*EXP(-DividendYield*TimeToExpiration)*_xlfn.NORM.DIST(BG$2*(LN(Underlying/$H39)+(RiskFreeRate-DividendYield+0.5*BE39^2)*TimeToExpiration)/(BE39*TimeToExpiration^0.5), 0, 1, TRUE) - 
       $H39*EXP(-RiskFreeRate*TimeToExpiration)*_xlfn.NORM.DIST(BG$2*(LN(Underlying/$H39)+(RiskFreeRate-DividendYield-0.5*BE39^2)*TimeToExpiration)/(BE39*TimeToExpiration^0.5), 0, 1, TRUE)
)</f>
        <v>0.3363519345</v>
      </c>
      <c r="BH39" s="7">
        <f>BH$2*(Underlying*EXP(-DividendYield*TimeToExpiration)*_xlfn.NORM.DIST(BH$2*(LN(Underlying/$H39)+(RiskFreeRate-DividendYield+0.5*BF39^2)*TimeToExpiration)/(BF39*TimeToExpiration^0.5), 0, 1, TRUE) - 
       $H39*EXP(-RiskFreeRate*TimeToExpiration)*_xlfn.NORM.DIST(BH$2*(LN(Underlying/$H39)+(RiskFreeRate-DividendYield-0.5*BF39^2)*TimeToExpiration)/(BF39*TimeToExpiration^0.5), 0, 1, TRUE)
)</f>
        <v>0.3866502484</v>
      </c>
      <c r="BI39" s="40">
        <f t="shared" si="29"/>
        <v>0.4520214844</v>
      </c>
      <c r="BJ39" s="8">
        <f>BJ$2*(Underlying*EXP(-DividendYield*TimeToExpiration)*_xlfn.NORM.DIST(BJ$2*(LN(Underlying/$H39)+(RiskFreeRate-DividendYield+0.5*BI39^2)*TimeToExpiration)/(BI39*TimeToExpiration^0.5), 0, 1, TRUE) - 
       $H39*EXP(-RiskFreeRate*TimeToExpiration)*_xlfn.NORM.DIST(BJ$2*(LN(Underlying/$H39)+(RiskFreeRate-DividendYield-0.5*BI39^2)*TimeToExpiration)/(BI39*TimeToExpiration^0.5), 0, 1, TRUE)
)</f>
        <v>0.3609960462</v>
      </c>
      <c r="BK39" s="40">
        <f t="shared" si="30"/>
        <v>0.4461640625</v>
      </c>
      <c r="BL39" s="40">
        <f t="shared" si="31"/>
        <v>0.4520214844</v>
      </c>
      <c r="BM39" s="7">
        <f>BM$2*(Underlying*EXP(-DividendYield*TimeToExpiration)*_xlfn.NORM.DIST(BM$2*(LN(Underlying/$H39)+(RiskFreeRate-DividendYield+0.5*BK39^2)*TimeToExpiration)/(BK39*TimeToExpiration^0.5), 0, 1, TRUE) - 
       $H39*EXP(-RiskFreeRate*TimeToExpiration)*_xlfn.NORM.DIST(BM$2*(LN(Underlying/$H39)+(RiskFreeRate-DividendYield-0.5*BK39^2)*TimeToExpiration)/(BK39*TimeToExpiration^0.5), 0, 1, TRUE)
)</f>
        <v>0.3363519345</v>
      </c>
      <c r="BN39" s="7">
        <f>BN$2*(Underlying*EXP(-DividendYield*TimeToExpiration)*_xlfn.NORM.DIST(BN$2*(LN(Underlying/$H39)+(RiskFreeRate-DividendYield+0.5*BL39^2)*TimeToExpiration)/(BL39*TimeToExpiration^0.5), 0, 1, TRUE) - 
       $H39*EXP(-RiskFreeRate*TimeToExpiration)*_xlfn.NORM.DIST(BN$2*(LN(Underlying/$H39)+(RiskFreeRate-DividendYield-0.5*BL39^2)*TimeToExpiration)/(BL39*TimeToExpiration^0.5), 0, 1, TRUE)
)</f>
        <v>0.3609960462</v>
      </c>
      <c r="BO39" s="40">
        <f t="shared" si="32"/>
        <v>0.4490927734</v>
      </c>
      <c r="BP39" s="8">
        <f>BP$2*(Underlying*EXP(-DividendYield*TimeToExpiration)*_xlfn.NORM.DIST(BP$2*(LN(Underlying/$H39)+(RiskFreeRate-DividendYield+0.5*BO39^2)*TimeToExpiration)/(BO39*TimeToExpiration^0.5), 0, 1, TRUE) - 
       $H39*EXP(-RiskFreeRate*TimeToExpiration)*_xlfn.NORM.DIST(BP$2*(LN(Underlying/$H39)+(RiskFreeRate-DividendYield-0.5*BO39^2)*TimeToExpiration)/(BO39*TimeToExpiration^0.5), 0, 1, TRUE)
)</f>
        <v>0.3485478182</v>
      </c>
      <c r="BQ39" s="40">
        <f t="shared" si="33"/>
        <v>0.4461640625</v>
      </c>
      <c r="BR39" s="40">
        <f t="shared" si="34"/>
        <v>0.4490927734</v>
      </c>
      <c r="BS39" s="7">
        <f>BS$2*(Underlying*EXP(-DividendYield*TimeToExpiration)*_xlfn.NORM.DIST(BS$2*(LN(Underlying/$H39)+(RiskFreeRate-DividendYield+0.5*BQ39^2)*TimeToExpiration)/(BQ39*TimeToExpiration^0.5), 0, 1, TRUE) - 
       $H39*EXP(-RiskFreeRate*TimeToExpiration)*_xlfn.NORM.DIST(BS$2*(LN(Underlying/$H39)+(RiskFreeRate-DividendYield-0.5*BQ39^2)*TimeToExpiration)/(BQ39*TimeToExpiration^0.5), 0, 1, TRUE)
)</f>
        <v>0.3363519345</v>
      </c>
      <c r="BT39" s="7">
        <f>BT$2*(Underlying*EXP(-DividendYield*TimeToExpiration)*_xlfn.NORM.DIST(BT$2*(LN(Underlying/$H39)+(RiskFreeRate-DividendYield+0.5*BR39^2)*TimeToExpiration)/(BR39*TimeToExpiration^0.5), 0, 1, TRUE) - 
       $H39*EXP(-RiskFreeRate*TimeToExpiration)*_xlfn.NORM.DIST(BT$2*(LN(Underlying/$H39)+(RiskFreeRate-DividendYield-0.5*BR39^2)*TimeToExpiration)/(BR39*TimeToExpiration^0.5), 0, 1, TRUE)
)</f>
        <v>0.3485478182</v>
      </c>
      <c r="BU39" s="40">
        <f t="shared" si="35"/>
        <v>0.447628418</v>
      </c>
      <c r="BV39" s="8">
        <f>BV$2*(Underlying*EXP(-DividendYield*TimeToExpiration)*_xlfn.NORM.DIST(BV$2*(LN(Underlying/$H39)+(RiskFreeRate-DividendYield+0.5*BU39^2)*TimeToExpiration)/(BU39*TimeToExpiration^0.5), 0, 1, TRUE) - 
       $H39*EXP(-RiskFreeRate*TimeToExpiration)*_xlfn.NORM.DIST(BV$2*(LN(Underlying/$H39)+(RiskFreeRate-DividendYield-0.5*BU39^2)*TimeToExpiration)/(BU39*TimeToExpiration^0.5), 0, 1, TRUE)
)</f>
        <v>0.3424183482</v>
      </c>
      <c r="BW39" s="40">
        <f t="shared" si="36"/>
        <v>0.4461640625</v>
      </c>
      <c r="BX39" s="40">
        <f t="shared" si="37"/>
        <v>0.447628418</v>
      </c>
      <c r="BY39" s="7">
        <f>BY$2*(Underlying*EXP(-DividendYield*TimeToExpiration)*_xlfn.NORM.DIST(BY$2*(LN(Underlying/$H39)+(RiskFreeRate-DividendYield+0.5*BW39^2)*TimeToExpiration)/(BW39*TimeToExpiration^0.5), 0, 1, TRUE) - 
       $H39*EXP(-RiskFreeRate*TimeToExpiration)*_xlfn.NORM.DIST(BY$2*(LN(Underlying/$H39)+(RiskFreeRate-DividendYield-0.5*BW39^2)*TimeToExpiration)/(BW39*TimeToExpiration^0.5), 0, 1, TRUE)
)</f>
        <v>0.3363519345</v>
      </c>
      <c r="BZ39" s="7">
        <f>BZ$2*(Underlying*EXP(-DividendYield*TimeToExpiration)*_xlfn.NORM.DIST(BZ$2*(LN(Underlying/$H39)+(RiskFreeRate-DividendYield+0.5*BX39^2)*TimeToExpiration)/(BX39*TimeToExpiration^0.5), 0, 1, TRUE) - 
       $H39*EXP(-RiskFreeRate*TimeToExpiration)*_xlfn.NORM.DIST(BZ$2*(LN(Underlying/$H39)+(RiskFreeRate-DividendYield-0.5*BX39^2)*TimeToExpiration)/(BX39*TimeToExpiration^0.5), 0, 1, TRUE)
)</f>
        <v>0.3424183482</v>
      </c>
      <c r="CA39" s="40">
        <f t="shared" si="38"/>
        <v>0.4468962402</v>
      </c>
      <c r="CB39" s="8">
        <f>CB$2*(Underlying*EXP(-DividendYield*TimeToExpiration)*_xlfn.NORM.DIST(CB$2*(LN(Underlying/$H39)+(RiskFreeRate-DividendYield+0.5*CA39^2)*TimeToExpiration)/(CA39*TimeToExpiration^0.5), 0, 1, TRUE) - 
       $H39*EXP(-RiskFreeRate*TimeToExpiration)*_xlfn.NORM.DIST(CB$2*(LN(Underlying/$H39)+(RiskFreeRate-DividendYield-0.5*CA39^2)*TimeToExpiration)/(CA39*TimeToExpiration^0.5), 0, 1, TRUE)
)</f>
        <v>0.3393772614</v>
      </c>
      <c r="CC39" s="40">
        <f t="shared" si="39"/>
        <v>0.4468962402</v>
      </c>
      <c r="CD39" s="40">
        <f t="shared" si="40"/>
        <v>0.447628418</v>
      </c>
      <c r="CE39" s="7">
        <f>CE$2*(Underlying*EXP(-DividendYield*TimeToExpiration)*_xlfn.NORM.DIST(CE$2*(LN(Underlying/$H39)+(RiskFreeRate-DividendYield+0.5*CC39^2)*TimeToExpiration)/(CC39*TimeToExpiration^0.5), 0, 1, TRUE) - 
       $H39*EXP(-RiskFreeRate*TimeToExpiration)*_xlfn.NORM.DIST(CE$2*(LN(Underlying/$H39)+(RiskFreeRate-DividendYield-0.5*CC39^2)*TimeToExpiration)/(CC39*TimeToExpiration^0.5), 0, 1, TRUE)
)</f>
        <v>0.3393772614</v>
      </c>
      <c r="CF39" s="7">
        <f>CF$2*(Underlying*EXP(-DividendYield*TimeToExpiration)*_xlfn.NORM.DIST(CF$2*(LN(Underlying/$H39)+(RiskFreeRate-DividendYield+0.5*CD39^2)*TimeToExpiration)/(CD39*TimeToExpiration^0.5), 0, 1, TRUE) - 
       $H39*EXP(-RiskFreeRate*TimeToExpiration)*_xlfn.NORM.DIST(CF$2*(LN(Underlying/$H39)+(RiskFreeRate-DividendYield-0.5*CD39^2)*TimeToExpiration)/(CD39*TimeToExpiration^0.5), 0, 1, TRUE)
)</f>
        <v>0.3424183482</v>
      </c>
      <c r="CG39" s="40">
        <f t="shared" si="41"/>
        <v>0.4472623291</v>
      </c>
      <c r="CH39" s="8">
        <f>CH$2*(Underlying*EXP(-DividendYield*TimeToExpiration)*_xlfn.NORM.DIST(CH$2*(LN(Underlying/$H39)+(RiskFreeRate-DividendYield+0.5*CG39^2)*TimeToExpiration)/(CG39*TimeToExpiration^0.5), 0, 1, TRUE) - 
       $H39*EXP(-RiskFreeRate*TimeToExpiration)*_xlfn.NORM.DIST(CH$2*(LN(Underlying/$H39)+(RiskFreeRate-DividendYield-0.5*CG39^2)*TimeToExpiration)/(CG39*TimeToExpiration^0.5), 0, 1, TRUE)
)</f>
        <v>0.3408958345</v>
      </c>
      <c r="CI39" s="40">
        <f t="shared" si="42"/>
        <v>0.4468962402</v>
      </c>
      <c r="CJ39" s="40">
        <f t="shared" si="43"/>
        <v>0.4472623291</v>
      </c>
      <c r="CK39" s="7">
        <f>CK$2*(Underlying*EXP(-DividendYield*TimeToExpiration)*_xlfn.NORM.DIST(CK$2*(LN(Underlying/$H39)+(RiskFreeRate-DividendYield+0.5*CI39^2)*TimeToExpiration)/(CI39*TimeToExpiration^0.5), 0, 1, TRUE) - 
       $H39*EXP(-RiskFreeRate*TimeToExpiration)*_xlfn.NORM.DIST(CK$2*(LN(Underlying/$H39)+(RiskFreeRate-DividendYield-0.5*CI39^2)*TimeToExpiration)/(CI39*TimeToExpiration^0.5), 0, 1, TRUE)
)</f>
        <v>0.3393772614</v>
      </c>
      <c r="CL39" s="7">
        <f>CL$2*(Underlying*EXP(-DividendYield*TimeToExpiration)*_xlfn.NORM.DIST(CL$2*(LN(Underlying/$H39)+(RiskFreeRate-DividendYield+0.5*CJ39^2)*TimeToExpiration)/(CJ39*TimeToExpiration^0.5), 0, 1, TRUE) - 
       $H39*EXP(-RiskFreeRate*TimeToExpiration)*_xlfn.NORM.DIST(CL$2*(LN(Underlying/$H39)+(RiskFreeRate-DividendYield-0.5*CJ39^2)*TimeToExpiration)/(CJ39*TimeToExpiration^0.5), 0, 1, TRUE)
)</f>
        <v>0.3408958345</v>
      </c>
      <c r="CM39" s="40">
        <f t="shared" si="44"/>
        <v>0.4470792847</v>
      </c>
      <c r="CN39" s="8">
        <f>CN$2*(Underlying*EXP(-DividendYield*TimeToExpiration)*_xlfn.NORM.DIST(CN$2*(LN(Underlying/$H39)+(RiskFreeRate-DividendYield+0.5*CM39^2)*TimeToExpiration)/(CM39*TimeToExpiration^0.5), 0, 1, TRUE) - 
       $H39*EXP(-RiskFreeRate*TimeToExpiration)*_xlfn.NORM.DIST(CN$2*(LN(Underlying/$H39)+(RiskFreeRate-DividendYield-0.5*CM39^2)*TimeToExpiration)/(CM39*TimeToExpiration^0.5), 0, 1, TRUE)
)</f>
        <v>0.3401360554</v>
      </c>
      <c r="CO39" s="40">
        <f t="shared" si="45"/>
        <v>0.4468962402</v>
      </c>
      <c r="CP39" s="40">
        <f t="shared" si="46"/>
        <v>0.4470792847</v>
      </c>
      <c r="CQ39" s="7">
        <f>CQ$2*(Underlying*EXP(-DividendYield*TimeToExpiration)*_xlfn.NORM.DIST(CQ$2*(LN(Underlying/$H39)+(RiskFreeRate-DividendYield+0.5*CO39^2)*TimeToExpiration)/(CO39*TimeToExpiration^0.5), 0, 1, TRUE) - 
       $H39*EXP(-RiskFreeRate*TimeToExpiration)*_xlfn.NORM.DIST(CQ$2*(LN(Underlying/$H39)+(RiskFreeRate-DividendYield-0.5*CO39^2)*TimeToExpiration)/(CO39*TimeToExpiration^0.5), 0, 1, TRUE)
)</f>
        <v>0.3393772614</v>
      </c>
      <c r="CR39" s="7">
        <f>CR$2*(Underlying*EXP(-DividendYield*TimeToExpiration)*_xlfn.NORM.DIST(CR$2*(LN(Underlying/$H39)+(RiskFreeRate-DividendYield+0.5*CP39^2)*TimeToExpiration)/(CP39*TimeToExpiration^0.5), 0, 1, TRUE) - 
       $H39*EXP(-RiskFreeRate*TimeToExpiration)*_xlfn.NORM.DIST(CR$2*(LN(Underlying/$H39)+(RiskFreeRate-DividendYield-0.5*CP39^2)*TimeToExpiration)/(CP39*TimeToExpiration^0.5), 0, 1, TRUE)
)</f>
        <v>0.3401360554</v>
      </c>
      <c r="CS39" s="40">
        <f t="shared" si="47"/>
        <v>0.4469877625</v>
      </c>
      <c r="CT39" s="8">
        <f>CT$2*(Underlying*EXP(-DividendYield*TimeToExpiration)*_xlfn.NORM.DIST(CT$2*(LN(Underlying/$H39)+(RiskFreeRate-DividendYield+0.5*CS39^2)*TimeToExpiration)/(CS39*TimeToExpiration^0.5), 0, 1, TRUE) - 
       $H39*EXP(-RiskFreeRate*TimeToExpiration)*_xlfn.NORM.DIST(CT$2*(LN(Underlying/$H39)+(RiskFreeRate-DividendYield-0.5*CS39^2)*TimeToExpiration)/(CS39*TimeToExpiration^0.5), 0, 1, TRUE)
)</f>
        <v>0.3397565353</v>
      </c>
      <c r="CU39" s="40">
        <f t="shared" si="48"/>
        <v>0.4469877625</v>
      </c>
      <c r="CV39" s="40">
        <f t="shared" si="49"/>
        <v>0.4470792847</v>
      </c>
      <c r="CW39" s="7">
        <f>CW$2*(Underlying*EXP(-DividendYield*TimeToExpiration)*_xlfn.NORM.DIST(CW$2*(LN(Underlying/$H39)+(RiskFreeRate-DividendYield+0.5*CU39^2)*TimeToExpiration)/(CU39*TimeToExpiration^0.5), 0, 1, TRUE) - 
       $H39*EXP(-RiskFreeRate*TimeToExpiration)*_xlfn.NORM.DIST(CW$2*(LN(Underlying/$H39)+(RiskFreeRate-DividendYield-0.5*CU39^2)*TimeToExpiration)/(CU39*TimeToExpiration^0.5), 0, 1, TRUE)
)</f>
        <v>0.3397565353</v>
      </c>
      <c r="CX39" s="7">
        <f>CX$2*(Underlying*EXP(-DividendYield*TimeToExpiration)*_xlfn.NORM.DIST(CX$2*(LN(Underlying/$H39)+(RiskFreeRate-DividendYield+0.5*CV39^2)*TimeToExpiration)/(CV39*TimeToExpiration^0.5), 0, 1, TRUE) - 
       $H39*EXP(-RiskFreeRate*TimeToExpiration)*_xlfn.NORM.DIST(CX$2*(LN(Underlying/$H39)+(RiskFreeRate-DividendYield-0.5*CV39^2)*TimeToExpiration)/(CV39*TimeToExpiration^0.5), 0, 1, TRUE)
)</f>
        <v>0.3401360554</v>
      </c>
      <c r="CY39" s="40">
        <f t="shared" si="50"/>
        <v>0.4470335236</v>
      </c>
      <c r="CZ39" s="8">
        <f>CZ$2*(Underlying*EXP(-DividendYield*TimeToExpiration)*_xlfn.NORM.DIST(CZ$2*(LN(Underlying/$H39)+(RiskFreeRate-DividendYield+0.5*CY39^2)*TimeToExpiration)/(CY39*TimeToExpiration^0.5), 0, 1, TRUE) - 
       $H39*EXP(-RiskFreeRate*TimeToExpiration)*_xlfn.NORM.DIST(CZ$2*(LN(Underlying/$H39)+(RiskFreeRate-DividendYield-0.5*CY39^2)*TimeToExpiration)/(CY39*TimeToExpiration^0.5), 0, 1, TRUE)
)</f>
        <v>0.3399462646</v>
      </c>
      <c r="DA39" s="40">
        <f t="shared" si="51"/>
        <v>0.4470335236</v>
      </c>
      <c r="DB39" s="40">
        <f t="shared" si="52"/>
        <v>0.4470792847</v>
      </c>
      <c r="DC39" s="7">
        <f>DC$2*(Underlying*EXP(-DividendYield*TimeToExpiration)*_xlfn.NORM.DIST(DC$2*(LN(Underlying/$H39)+(RiskFreeRate-DividendYield+0.5*DA39^2)*TimeToExpiration)/(DA39*TimeToExpiration^0.5), 0, 1, TRUE) - 
       $H39*EXP(-RiskFreeRate*TimeToExpiration)*_xlfn.NORM.DIST(DC$2*(LN(Underlying/$H39)+(RiskFreeRate-DividendYield-0.5*DA39^2)*TimeToExpiration)/(DA39*TimeToExpiration^0.5), 0, 1, TRUE)
)</f>
        <v>0.3399462646</v>
      </c>
      <c r="DD39" s="7">
        <f>DD$2*(Underlying*EXP(-DividendYield*TimeToExpiration)*_xlfn.NORM.DIST(DD$2*(LN(Underlying/$H39)+(RiskFreeRate-DividendYield+0.5*DB39^2)*TimeToExpiration)/(DB39*TimeToExpiration^0.5), 0, 1, TRUE) - 
       $H39*EXP(-RiskFreeRate*TimeToExpiration)*_xlfn.NORM.DIST(DD$2*(LN(Underlying/$H39)+(RiskFreeRate-DividendYield-0.5*DB39^2)*TimeToExpiration)/(DB39*TimeToExpiration^0.5), 0, 1, TRUE)
)</f>
        <v>0.3401360554</v>
      </c>
      <c r="DE39" s="40">
        <f t="shared" si="53"/>
        <v>0.4470564041</v>
      </c>
      <c r="DF39" s="8">
        <f>DF$2*(Underlying*EXP(-DividendYield*TimeToExpiration)*_xlfn.NORM.DIST(DF$2*(LN(Underlying/$H39)+(RiskFreeRate-DividendYield+0.5*DE39^2)*TimeToExpiration)/(DE39*TimeToExpiration^0.5), 0, 1, TRUE) - 
       $H39*EXP(-RiskFreeRate*TimeToExpiration)*_xlfn.NORM.DIST(DF$2*(LN(Underlying/$H39)+(RiskFreeRate-DividendYield-0.5*DE39^2)*TimeToExpiration)/(DE39*TimeToExpiration^0.5), 0, 1, TRUE)
)</f>
        <v>0.3400411523</v>
      </c>
    </row>
    <row r="40">
      <c r="D40" s="1"/>
      <c r="E40" s="34"/>
      <c r="H40" s="1"/>
      <c r="N40" s="1"/>
      <c r="T40" s="1"/>
      <c r="Z40" s="1"/>
      <c r="AF40" s="1"/>
      <c r="AL40" s="1"/>
      <c r="AR40" s="1"/>
      <c r="AX40" s="1"/>
      <c r="BD40" s="1"/>
      <c r="BJ40" s="1"/>
    </row>
    <row r="41">
      <c r="D41" s="1"/>
      <c r="E41" s="34"/>
      <c r="H41" s="1"/>
      <c r="N41" s="1"/>
      <c r="T41" s="1"/>
      <c r="Z41" s="1"/>
      <c r="AF41" s="1"/>
      <c r="AL41" s="1"/>
      <c r="AR41" s="1"/>
      <c r="AX41" s="1"/>
      <c r="BD41" s="1"/>
      <c r="BJ41" s="1"/>
    </row>
    <row r="42">
      <c r="D42" s="1"/>
      <c r="E42" s="34"/>
      <c r="H42" s="1"/>
      <c r="N42" s="1"/>
      <c r="T42" s="1"/>
      <c r="Z42" s="1"/>
      <c r="AF42" s="1"/>
      <c r="AL42" s="1"/>
      <c r="AR42" s="1"/>
      <c r="AX42" s="1"/>
      <c r="BD42" s="1"/>
      <c r="BJ42" s="1"/>
    </row>
    <row r="43">
      <c r="D43" s="1"/>
      <c r="E43" s="34"/>
      <c r="H43" s="1"/>
      <c r="N43" s="1"/>
      <c r="T43" s="1"/>
      <c r="Z43" s="1"/>
      <c r="AF43" s="1"/>
      <c r="AL43" s="1"/>
      <c r="AR43" s="1"/>
      <c r="AX43" s="1"/>
      <c r="BD43" s="1"/>
      <c r="BJ43" s="1"/>
    </row>
    <row r="44">
      <c r="D44" s="1"/>
      <c r="E44" s="34"/>
      <c r="H44" s="1"/>
      <c r="N44" s="1"/>
      <c r="T44" s="1"/>
      <c r="Z44" s="1"/>
      <c r="AF44" s="1"/>
      <c r="AL44" s="1"/>
      <c r="AR44" s="1"/>
      <c r="AX44" s="1"/>
      <c r="BD44" s="1"/>
      <c r="BJ44" s="1"/>
    </row>
    <row r="45">
      <c r="D45" s="1"/>
      <c r="E45" s="34"/>
      <c r="H45" s="1"/>
      <c r="N45" s="1"/>
      <c r="T45" s="1"/>
      <c r="Z45" s="1"/>
      <c r="AF45" s="1"/>
      <c r="AL45" s="1"/>
      <c r="AR45" s="1"/>
      <c r="AX45" s="1"/>
      <c r="BD45" s="1"/>
      <c r="BJ45" s="1"/>
    </row>
    <row r="46">
      <c r="D46" s="1"/>
      <c r="E46" s="34"/>
      <c r="H46" s="1"/>
      <c r="N46" s="1"/>
      <c r="T46" s="1"/>
      <c r="Z46" s="1"/>
      <c r="AF46" s="1"/>
      <c r="AL46" s="1"/>
      <c r="AR46" s="1"/>
      <c r="AX46" s="1"/>
      <c r="BD46" s="1"/>
      <c r="BJ46" s="1"/>
    </row>
    <row r="47">
      <c r="D47" s="1"/>
      <c r="E47" s="34"/>
      <c r="H47" s="1"/>
      <c r="N47" s="1"/>
      <c r="T47" s="1"/>
      <c r="Z47" s="1"/>
      <c r="AF47" s="1"/>
      <c r="AL47" s="1"/>
      <c r="AR47" s="1"/>
      <c r="AX47" s="1"/>
      <c r="BD47" s="1"/>
      <c r="BJ47" s="1"/>
    </row>
    <row r="48">
      <c r="D48" s="1"/>
      <c r="E48" s="34"/>
      <c r="H48" s="1"/>
      <c r="N48" s="1"/>
      <c r="T48" s="1"/>
      <c r="Z48" s="1"/>
      <c r="AF48" s="1"/>
      <c r="AL48" s="1"/>
      <c r="AR48" s="1"/>
      <c r="AX48" s="1"/>
      <c r="BD48" s="1"/>
      <c r="BJ48" s="1"/>
    </row>
    <row r="49">
      <c r="D49" s="1"/>
      <c r="E49" s="34"/>
      <c r="H49" s="1"/>
      <c r="N49" s="1"/>
      <c r="T49" s="1"/>
      <c r="Z49" s="1"/>
      <c r="AF49" s="1"/>
      <c r="AL49" s="1"/>
      <c r="AR49" s="1"/>
      <c r="AX49" s="1"/>
      <c r="BD49" s="1"/>
      <c r="BJ49" s="1"/>
    </row>
    <row r="50">
      <c r="D50" s="1"/>
      <c r="E50" s="34"/>
      <c r="H50" s="1"/>
      <c r="N50" s="1"/>
      <c r="T50" s="1"/>
      <c r="Z50" s="1"/>
      <c r="AF50" s="1"/>
      <c r="AL50" s="1"/>
      <c r="AR50" s="1"/>
      <c r="AX50" s="1"/>
      <c r="BD50" s="1"/>
      <c r="BJ5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</cols>
  <sheetData>
    <row r="1">
      <c r="A1" s="5"/>
      <c r="B1" s="5" t="s">
        <v>55</v>
      </c>
      <c r="C1" s="5"/>
      <c r="E1" s="27"/>
      <c r="F1" s="5"/>
      <c r="G1" s="5"/>
      <c r="H1" s="6"/>
      <c r="I1" s="5">
        <v>0.0</v>
      </c>
      <c r="N1" s="1"/>
      <c r="O1" s="14">
        <f>1+I1</f>
        <v>1</v>
      </c>
      <c r="T1" s="1"/>
      <c r="U1" s="14">
        <f>1+O1</f>
        <v>2</v>
      </c>
      <c r="Z1" s="1"/>
      <c r="AA1" s="14">
        <f>1+U1</f>
        <v>3</v>
      </c>
      <c r="AF1" s="1"/>
      <c r="AG1" s="14">
        <f>1+AA1</f>
        <v>4</v>
      </c>
      <c r="AL1" s="1"/>
      <c r="AM1" s="14">
        <f>1+AG1</f>
        <v>5</v>
      </c>
      <c r="AR1" s="1"/>
      <c r="AS1" s="14">
        <f>1+AM1</f>
        <v>6</v>
      </c>
      <c r="AX1" s="1"/>
      <c r="AY1" s="14">
        <f>1+AS1</f>
        <v>7</v>
      </c>
      <c r="BD1" s="1"/>
      <c r="BE1" s="14">
        <f>1+AY1</f>
        <v>8</v>
      </c>
      <c r="BJ1" s="1"/>
      <c r="BK1" s="14">
        <f>1+BE1</f>
        <v>9</v>
      </c>
      <c r="BP1" s="1"/>
      <c r="BQ1" s="14">
        <f>1+BK1</f>
        <v>10</v>
      </c>
      <c r="BV1" s="1"/>
      <c r="BW1" s="14">
        <f>1+BQ1</f>
        <v>11</v>
      </c>
      <c r="CB1" s="1"/>
      <c r="CC1" s="14">
        <f>1+BW1</f>
        <v>12</v>
      </c>
      <c r="CH1" s="1"/>
      <c r="CI1" s="14">
        <f>1+CC1</f>
        <v>13</v>
      </c>
      <c r="CN1" s="1"/>
      <c r="CO1" s="14">
        <f>1+CI1</f>
        <v>14</v>
      </c>
      <c r="CT1" s="1"/>
      <c r="CU1" s="14">
        <f>1+CO1</f>
        <v>15</v>
      </c>
      <c r="CZ1" s="1"/>
      <c r="DA1" s="14">
        <f>1+CU1</f>
        <v>16</v>
      </c>
      <c r="DF1" s="1"/>
    </row>
    <row r="2">
      <c r="A2" s="5"/>
      <c r="B2" s="5" t="s">
        <v>56</v>
      </c>
      <c r="C2" s="5"/>
      <c r="E2" s="27"/>
      <c r="F2" s="5"/>
      <c r="G2" s="5"/>
      <c r="H2" s="6"/>
      <c r="I2" s="5">
        <v>-1.0</v>
      </c>
      <c r="K2" s="5">
        <f>I2</f>
        <v>-1</v>
      </c>
      <c r="L2" s="5">
        <f>K2</f>
        <v>-1</v>
      </c>
      <c r="N2" s="6">
        <f>L2</f>
        <v>-1</v>
      </c>
      <c r="O2" s="5">
        <f>I2</f>
        <v>-1</v>
      </c>
      <c r="Q2" s="5">
        <f>O2</f>
        <v>-1</v>
      </c>
      <c r="R2" s="5">
        <f>Q2</f>
        <v>-1</v>
      </c>
      <c r="T2" s="6">
        <f>R2</f>
        <v>-1</v>
      </c>
      <c r="U2" s="5">
        <f>O2</f>
        <v>-1</v>
      </c>
      <c r="W2" s="5">
        <f>U2</f>
        <v>-1</v>
      </c>
      <c r="X2" s="5">
        <f>W2</f>
        <v>-1</v>
      </c>
      <c r="Z2" s="6">
        <f>X2</f>
        <v>-1</v>
      </c>
      <c r="AA2" s="5">
        <f>U2</f>
        <v>-1</v>
      </c>
      <c r="AC2" s="5">
        <f>AA2</f>
        <v>-1</v>
      </c>
      <c r="AD2" s="5">
        <f>AC2</f>
        <v>-1</v>
      </c>
      <c r="AF2" s="6">
        <f>AD2</f>
        <v>-1</v>
      </c>
      <c r="AG2" s="5">
        <f>AA2</f>
        <v>-1</v>
      </c>
      <c r="AI2" s="5">
        <f>AG2</f>
        <v>-1</v>
      </c>
      <c r="AJ2" s="5">
        <f>AI2</f>
        <v>-1</v>
      </c>
      <c r="AL2" s="6">
        <f>AJ2</f>
        <v>-1</v>
      </c>
      <c r="AM2" s="5">
        <f>AG2</f>
        <v>-1</v>
      </c>
      <c r="AO2" s="5">
        <f>AM2</f>
        <v>-1</v>
      </c>
      <c r="AP2" s="5">
        <f>AO2</f>
        <v>-1</v>
      </c>
      <c r="AR2" s="6">
        <f>AP2</f>
        <v>-1</v>
      </c>
      <c r="AS2" s="5">
        <f>AM2</f>
        <v>-1</v>
      </c>
      <c r="AU2" s="5">
        <f>AS2</f>
        <v>-1</v>
      </c>
      <c r="AV2" s="5">
        <f>AU2</f>
        <v>-1</v>
      </c>
      <c r="AX2" s="33">
        <v>-1.0</v>
      </c>
      <c r="AY2" s="5">
        <f>AS2</f>
        <v>-1</v>
      </c>
      <c r="BA2" s="5">
        <f>AY2</f>
        <v>-1</v>
      </c>
      <c r="BB2" s="5">
        <f>BA2</f>
        <v>-1</v>
      </c>
      <c r="BD2" s="6">
        <f>BB2</f>
        <v>-1</v>
      </c>
      <c r="BE2" s="5">
        <f>AY2</f>
        <v>-1</v>
      </c>
      <c r="BG2" s="5">
        <f>BE2</f>
        <v>-1</v>
      </c>
      <c r="BH2" s="5">
        <f>BG2</f>
        <v>-1</v>
      </c>
      <c r="BJ2" s="6">
        <f>BH2</f>
        <v>-1</v>
      </c>
      <c r="BK2" s="5">
        <f>BE2</f>
        <v>-1</v>
      </c>
      <c r="BM2" s="5">
        <f>BK2</f>
        <v>-1</v>
      </c>
      <c r="BN2" s="5">
        <f>BM2</f>
        <v>-1</v>
      </c>
      <c r="BP2" s="6">
        <f>BN2</f>
        <v>-1</v>
      </c>
      <c r="BQ2" s="5">
        <f>BK2</f>
        <v>-1</v>
      </c>
      <c r="BS2" s="5">
        <f>BQ2</f>
        <v>-1</v>
      </c>
      <c r="BT2" s="5">
        <f>BS2</f>
        <v>-1</v>
      </c>
      <c r="BV2" s="6">
        <f>BT2</f>
        <v>-1</v>
      </c>
      <c r="BW2" s="5">
        <f>BQ2</f>
        <v>-1</v>
      </c>
      <c r="BY2" s="36">
        <v>-1.0</v>
      </c>
      <c r="BZ2" s="36">
        <v>-1.0</v>
      </c>
      <c r="CB2" s="6">
        <f>BZ2</f>
        <v>-1</v>
      </c>
      <c r="CC2" s="5">
        <f>BW2</f>
        <v>-1</v>
      </c>
      <c r="CE2" s="5">
        <f>CC2</f>
        <v>-1</v>
      </c>
      <c r="CF2" s="5">
        <f>CE2</f>
        <v>-1</v>
      </c>
      <c r="CH2" s="6">
        <f>CF2</f>
        <v>-1</v>
      </c>
      <c r="CI2" s="5">
        <f>CC2</f>
        <v>-1</v>
      </c>
      <c r="CK2" s="5">
        <f>CI2</f>
        <v>-1</v>
      </c>
      <c r="CL2" s="5">
        <f>CK2</f>
        <v>-1</v>
      </c>
      <c r="CN2" s="6">
        <f>CL2</f>
        <v>-1</v>
      </c>
      <c r="CO2" s="5">
        <f>CI2</f>
        <v>-1</v>
      </c>
      <c r="CQ2" s="5">
        <f>CO2</f>
        <v>-1</v>
      </c>
      <c r="CR2" s="5">
        <f>CQ2</f>
        <v>-1</v>
      </c>
      <c r="CT2" s="6">
        <f>CR2</f>
        <v>-1</v>
      </c>
      <c r="CU2" s="5">
        <f>CO2</f>
        <v>-1</v>
      </c>
      <c r="CW2" s="5">
        <f>CU2</f>
        <v>-1</v>
      </c>
      <c r="CX2" s="5">
        <f>CW2</f>
        <v>-1</v>
      </c>
      <c r="CZ2" s="6">
        <f>CX2</f>
        <v>-1</v>
      </c>
      <c r="DA2" s="5">
        <f>CU2</f>
        <v>-1</v>
      </c>
      <c r="DC2" s="5">
        <f>DA2</f>
        <v>-1</v>
      </c>
      <c r="DD2" s="5">
        <f>DC2</f>
        <v>-1</v>
      </c>
      <c r="DF2" s="6">
        <f>DD2</f>
        <v>-1</v>
      </c>
    </row>
    <row r="3">
      <c r="E3" s="34"/>
      <c r="H3" s="1"/>
      <c r="N3" s="1"/>
      <c r="T3" s="1"/>
      <c r="Z3" s="1"/>
      <c r="AF3" s="1"/>
      <c r="AL3" s="1"/>
      <c r="AR3" s="1"/>
      <c r="AX3" s="1"/>
      <c r="BD3" s="1"/>
      <c r="BJ3" s="1"/>
      <c r="BP3" s="1"/>
      <c r="BV3" s="1"/>
      <c r="CB3" s="1"/>
      <c r="CH3" s="1"/>
      <c r="CN3" s="1"/>
      <c r="CT3" s="1"/>
      <c r="CZ3" s="1"/>
      <c r="DF3" s="1"/>
    </row>
    <row r="4">
      <c r="A4" s="17" t="s">
        <v>32</v>
      </c>
      <c r="B4" s="5" t="s">
        <v>57</v>
      </c>
      <c r="C4" s="5" t="s">
        <v>58</v>
      </c>
      <c r="D4" s="5" t="s">
        <v>59</v>
      </c>
      <c r="E4" s="27" t="s">
        <v>8</v>
      </c>
      <c r="F4" s="5" t="s">
        <v>60</v>
      </c>
      <c r="G4" s="5" t="s">
        <v>61</v>
      </c>
      <c r="H4" s="6" t="s">
        <v>32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66</v>
      </c>
      <c r="N4" s="6" t="s">
        <v>67</v>
      </c>
      <c r="O4" s="5" t="s">
        <v>62</v>
      </c>
      <c r="P4" s="5" t="s">
        <v>63</v>
      </c>
      <c r="Q4" s="5" t="s">
        <v>64</v>
      </c>
      <c r="R4" s="5" t="s">
        <v>65</v>
      </c>
      <c r="S4" s="5" t="s">
        <v>66</v>
      </c>
      <c r="T4" s="6" t="s">
        <v>67</v>
      </c>
      <c r="U4" s="5" t="s">
        <v>62</v>
      </c>
      <c r="V4" s="5" t="s">
        <v>63</v>
      </c>
      <c r="W4" s="5" t="s">
        <v>64</v>
      </c>
      <c r="X4" s="5" t="s">
        <v>65</v>
      </c>
      <c r="Y4" s="5" t="s">
        <v>66</v>
      </c>
      <c r="Z4" s="6" t="s">
        <v>67</v>
      </c>
      <c r="AA4" s="5" t="s">
        <v>62</v>
      </c>
      <c r="AB4" s="5" t="s">
        <v>63</v>
      </c>
      <c r="AC4" s="5" t="s">
        <v>64</v>
      </c>
      <c r="AD4" s="5" t="s">
        <v>65</v>
      </c>
      <c r="AE4" s="5" t="s">
        <v>66</v>
      </c>
      <c r="AF4" s="6" t="s">
        <v>67</v>
      </c>
      <c r="AG4" s="5" t="s">
        <v>62</v>
      </c>
      <c r="AH4" s="5" t="s">
        <v>63</v>
      </c>
      <c r="AI4" s="5" t="s">
        <v>64</v>
      </c>
      <c r="AJ4" s="5" t="s">
        <v>65</v>
      </c>
      <c r="AK4" s="5" t="s">
        <v>66</v>
      </c>
      <c r="AL4" s="6" t="s">
        <v>67</v>
      </c>
      <c r="AM4" s="5" t="s">
        <v>62</v>
      </c>
      <c r="AN4" s="5" t="s">
        <v>63</v>
      </c>
      <c r="AO4" s="5" t="s">
        <v>64</v>
      </c>
      <c r="AP4" s="5" t="s">
        <v>65</v>
      </c>
      <c r="AQ4" s="5" t="s">
        <v>66</v>
      </c>
      <c r="AR4" s="6" t="s">
        <v>67</v>
      </c>
      <c r="AS4" s="5" t="s">
        <v>62</v>
      </c>
      <c r="AT4" s="5" t="s">
        <v>63</v>
      </c>
      <c r="AU4" s="5" t="s">
        <v>64</v>
      </c>
      <c r="AV4" s="5" t="s">
        <v>65</v>
      </c>
      <c r="AW4" s="5" t="s">
        <v>66</v>
      </c>
      <c r="AX4" s="6" t="s">
        <v>67</v>
      </c>
      <c r="AY4" s="5" t="s">
        <v>62</v>
      </c>
      <c r="AZ4" s="5" t="s">
        <v>63</v>
      </c>
      <c r="BA4" s="5" t="s">
        <v>64</v>
      </c>
      <c r="BB4" s="5" t="s">
        <v>65</v>
      </c>
      <c r="BC4" s="5" t="s">
        <v>66</v>
      </c>
      <c r="BD4" s="6" t="s">
        <v>67</v>
      </c>
      <c r="BE4" s="5" t="s">
        <v>62</v>
      </c>
      <c r="BF4" s="5" t="s">
        <v>63</v>
      </c>
      <c r="BG4" s="5" t="s">
        <v>64</v>
      </c>
      <c r="BH4" s="5" t="s">
        <v>65</v>
      </c>
      <c r="BI4" s="5" t="s">
        <v>66</v>
      </c>
      <c r="BJ4" s="6" t="s">
        <v>67</v>
      </c>
      <c r="BK4" s="5" t="s">
        <v>62</v>
      </c>
      <c r="BL4" s="5" t="s">
        <v>63</v>
      </c>
      <c r="BM4" s="5" t="s">
        <v>64</v>
      </c>
      <c r="BN4" s="5" t="s">
        <v>65</v>
      </c>
      <c r="BO4" s="5" t="s">
        <v>66</v>
      </c>
      <c r="BP4" s="6" t="s">
        <v>67</v>
      </c>
      <c r="BQ4" s="5" t="s">
        <v>62</v>
      </c>
      <c r="BR4" s="5" t="s">
        <v>63</v>
      </c>
      <c r="BS4" s="5" t="s">
        <v>64</v>
      </c>
      <c r="BT4" s="5" t="s">
        <v>65</v>
      </c>
      <c r="BU4" s="5" t="s">
        <v>66</v>
      </c>
      <c r="BV4" s="6" t="s">
        <v>67</v>
      </c>
      <c r="BW4" s="5" t="s">
        <v>62</v>
      </c>
      <c r="BX4" s="5" t="s">
        <v>63</v>
      </c>
      <c r="BY4" s="5" t="s">
        <v>64</v>
      </c>
      <c r="BZ4" s="5" t="s">
        <v>65</v>
      </c>
      <c r="CA4" s="5" t="s">
        <v>66</v>
      </c>
      <c r="CB4" s="6" t="s">
        <v>67</v>
      </c>
      <c r="CC4" s="5" t="s">
        <v>62</v>
      </c>
      <c r="CD4" s="5" t="s">
        <v>63</v>
      </c>
      <c r="CE4" s="5" t="s">
        <v>64</v>
      </c>
      <c r="CF4" s="5" t="s">
        <v>65</v>
      </c>
      <c r="CG4" s="5" t="s">
        <v>66</v>
      </c>
      <c r="CH4" s="6" t="s">
        <v>67</v>
      </c>
      <c r="CI4" s="5" t="s">
        <v>62</v>
      </c>
      <c r="CJ4" s="5" t="s">
        <v>63</v>
      </c>
      <c r="CK4" s="5" t="s">
        <v>64</v>
      </c>
      <c r="CL4" s="5" t="s">
        <v>65</v>
      </c>
      <c r="CM4" s="5" t="s">
        <v>66</v>
      </c>
      <c r="CN4" s="6" t="s">
        <v>67</v>
      </c>
      <c r="CO4" s="5" t="s">
        <v>62</v>
      </c>
      <c r="CP4" s="5" t="s">
        <v>63</v>
      </c>
      <c r="CQ4" s="5" t="s">
        <v>64</v>
      </c>
      <c r="CR4" s="5" t="s">
        <v>65</v>
      </c>
      <c r="CS4" s="5" t="s">
        <v>66</v>
      </c>
      <c r="CT4" s="6" t="s">
        <v>67</v>
      </c>
      <c r="CU4" s="5" t="s">
        <v>62</v>
      </c>
      <c r="CV4" s="5" t="s">
        <v>63</v>
      </c>
      <c r="CW4" s="5" t="s">
        <v>64</v>
      </c>
      <c r="CX4" s="5" t="s">
        <v>65</v>
      </c>
      <c r="CY4" s="5" t="s">
        <v>66</v>
      </c>
      <c r="CZ4" s="6" t="s">
        <v>67</v>
      </c>
      <c r="DA4" s="5" t="s">
        <v>62</v>
      </c>
      <c r="DB4" s="5" t="s">
        <v>63</v>
      </c>
      <c r="DC4" s="5" t="s">
        <v>64</v>
      </c>
      <c r="DD4" s="5" t="s">
        <v>65</v>
      </c>
      <c r="DE4" s="5" t="s">
        <v>66</v>
      </c>
      <c r="DF4" s="6" t="s">
        <v>67</v>
      </c>
    </row>
    <row r="5">
      <c r="A5" s="20">
        <f>'Option Mkt Data'!A5</f>
        <v>295</v>
      </c>
      <c r="B5" s="35">
        <f t="shared" ref="B5:C5" si="1">DE5</f>
        <v>0.520457222</v>
      </c>
      <c r="C5" s="7">
        <f t="shared" si="1"/>
        <v>0.250020937</v>
      </c>
      <c r="D5" s="7">
        <f t="shared" ref="D5:D39" si="3">ABS(C5-G5)</f>
        <v>0.00002093695632</v>
      </c>
      <c r="E5" s="9">
        <f t="shared" ref="E5:E39" si="4">D5/G5</f>
        <v>0.00008374782529</v>
      </c>
      <c r="F5" s="36">
        <f>D5/'Option Mkt Data'!M5</f>
        <v>0.001046848863</v>
      </c>
      <c r="G5" s="5">
        <f>'Option Mkt Data'!K5</f>
        <v>0.25</v>
      </c>
      <c r="H5" s="33">
        <f>'Option Mkt Data'!A5</f>
        <v>295</v>
      </c>
      <c r="I5" s="37">
        <f>MinSolverVola</f>
        <v>0.001</v>
      </c>
      <c r="J5" s="38">
        <f>MaxSolverVola</f>
        <v>3</v>
      </c>
      <c r="K5" s="39">
        <f>K$2*(Underlying*EXP(-DividendYield*TimeToExpiration)*_xlfn.NORM.DIST(K$2*(LN(Underlying/$H5)+(RiskFreeRate-DividendYield+0.5*I5^2)*TimeToExpiration)/(I5*TimeToExpiration^0.5), 0, 1, TRUE) - 
       $H5*EXP(-RiskFreeRate*TimeToExpiration)*_xlfn.NORM.DIST(K$2*(LN(Underlying/$H5)+(RiskFreeRate-DividendYield-0.5*I5^2)*TimeToExpiration)/(I5*TimeToExpiration^0.5), 0, 1, TRUE)
)</f>
        <v>0</v>
      </c>
      <c r="L5" s="7">
        <f>L$2*(Underlying*EXP(-DividendYield*TimeToExpiration)*_xlfn.NORM.DIST(L$2*(LN(Underlying/$H5)+(RiskFreeRate-DividendYield+0.5*J5^2)*TimeToExpiration)/(J5*TimeToExpiration^0.5), 0, 1, TRUE) - 
       $H5*EXP(-RiskFreeRate*TimeToExpiration)*_xlfn.NORM.DIST(L$2*(LN(Underlying/$H5)+(RiskFreeRate-DividendYield-0.5*J5^2)*TimeToExpiration)/(J5*TimeToExpiration^0.5), 0, 1, TRUE)
)</f>
        <v>33.84824677</v>
      </c>
      <c r="M5" s="40">
        <f t="shared" ref="M5:M39" si="5">(I5+J5)/2</f>
        <v>1.5005</v>
      </c>
      <c r="N5" s="8">
        <f>N$2*(Underlying*EXP(-DividendYield*TimeToExpiration)*_xlfn.NORM.DIST(N$2*(LN(Underlying/$H5)+(RiskFreeRate-DividendYield+0.5*M5^2)*TimeToExpiration)/(M5*TimeToExpiration^0.5), 0, 1, TRUE) - 
       $H5*EXP(-RiskFreeRate*TimeToExpiration)*_xlfn.NORM.DIST(N$2*(LN(Underlying/$H5)+(RiskFreeRate-DividendYield-0.5*M5^2)*TimeToExpiration)/(M5*TimeToExpiration^0.5), 0, 1, TRUE)
)</f>
        <v>10.17425199</v>
      </c>
      <c r="O5" s="41">
        <f t="shared" ref="O5:O39" si="6">IF(N5&gt;$G5, I5, M5)</f>
        <v>0.001</v>
      </c>
      <c r="P5" s="40">
        <f t="shared" ref="P5:P39" si="7">IF(N5&gt;$G5, M5, J5)</f>
        <v>1.5005</v>
      </c>
      <c r="Q5" s="7">
        <f>Q$2*(Underlying*EXP(-DividendYield*TimeToExpiration)*_xlfn.NORM.DIST(Q$2*(LN(Underlying/$H5)+(RiskFreeRate-DividendYield+0.5*O5^2)*TimeToExpiration)/(O5*TimeToExpiration^0.5), 0, 1, TRUE) - 
       $H5*EXP(-RiskFreeRate*TimeToExpiration)*_xlfn.NORM.DIST(Q$2*(LN(Underlying/$H5)+(RiskFreeRate-DividendYield-0.5*O5^2)*TimeToExpiration)/(O5*TimeToExpiration^0.5), 0, 1, TRUE)
)</f>
        <v>0</v>
      </c>
      <c r="R5" s="7">
        <f>R$2*(Underlying*EXP(-DividendYield*TimeToExpiration)*_xlfn.NORM.DIST(R$2*(LN(Underlying/$H5)+(RiskFreeRate-DividendYield+0.5*P5^2)*TimeToExpiration)/(P5*TimeToExpiration^0.5), 0, 1, TRUE) - 
       $H5*EXP(-RiskFreeRate*TimeToExpiration)*_xlfn.NORM.DIST(R$2*(LN(Underlying/$H5)+(RiskFreeRate-DividendYield-0.5*P5^2)*TimeToExpiration)/(P5*TimeToExpiration^0.5), 0, 1, TRUE)
)</f>
        <v>10.17425199</v>
      </c>
      <c r="S5" s="40">
        <f t="shared" ref="S5:S39" si="8">(O5+P5)/2</f>
        <v>0.75075</v>
      </c>
      <c r="T5" s="8">
        <f>T$2*(Underlying*EXP(-DividendYield*TimeToExpiration)*_xlfn.NORM.DIST(T$2*(LN(Underlying/$H5)+(RiskFreeRate-DividendYield+0.5*S5^2)*TimeToExpiration)/(S5*TimeToExpiration^0.5), 0, 1, TRUE) - 
       $H5*EXP(-RiskFreeRate*TimeToExpiration)*_xlfn.NORM.DIST(T$2*(LN(Underlying/$H5)+(RiskFreeRate-DividendYield-0.5*S5^2)*TimeToExpiration)/(S5*TimeToExpiration^0.5), 0, 1, TRUE)
)</f>
        <v>1.448639984</v>
      </c>
      <c r="U5" s="41">
        <f t="shared" ref="U5:U39" si="9">IF(T5&gt;$G5, O5, S5)</f>
        <v>0.001</v>
      </c>
      <c r="V5" s="40">
        <f t="shared" ref="V5:V39" si="10">IF(T5&gt;$G5, S5, P5)</f>
        <v>0.75075</v>
      </c>
      <c r="W5" s="7">
        <f>W$2*(Underlying*EXP(-DividendYield*TimeToExpiration)*_xlfn.NORM.DIST(W$2*(LN(Underlying/$H5)+(RiskFreeRate-DividendYield+0.5*U5^2)*TimeToExpiration)/(U5*TimeToExpiration^0.5), 0, 1, TRUE) - 
       $H5*EXP(-RiskFreeRate*TimeToExpiration)*_xlfn.NORM.DIST(W$2*(LN(Underlying/$H5)+(RiskFreeRate-DividendYield-0.5*U5^2)*TimeToExpiration)/(U5*TimeToExpiration^0.5), 0, 1, TRUE)
)</f>
        <v>0</v>
      </c>
      <c r="X5" s="7">
        <f>X$2*(Underlying*EXP(-DividendYield*TimeToExpiration)*_xlfn.NORM.DIST(X$2*(LN(Underlying/$H5)+(RiskFreeRate-DividendYield+0.5*V5^2)*TimeToExpiration)/(V5*TimeToExpiration^0.5), 0, 1, TRUE) - 
       $H5*EXP(-RiskFreeRate*TimeToExpiration)*_xlfn.NORM.DIST(X$2*(LN(Underlying/$H5)+(RiskFreeRate-DividendYield-0.5*V5^2)*TimeToExpiration)/(V5*TimeToExpiration^0.5), 0, 1, TRUE)
)</f>
        <v>1.448639984</v>
      </c>
      <c r="Y5" s="40">
        <f t="shared" ref="Y5:Y39" si="11">(U5+V5)/2</f>
        <v>0.375875</v>
      </c>
      <c r="Z5" s="8">
        <f>Z$2*(Underlying*EXP(-DividendYield*TimeToExpiration)*_xlfn.NORM.DIST(Z$2*(LN(Underlying/$H5)+(RiskFreeRate-DividendYield+0.5*Y5^2)*TimeToExpiration)/(Y5*TimeToExpiration^0.5), 0, 1, TRUE) - 
       $H5*EXP(-RiskFreeRate*TimeToExpiration)*_xlfn.NORM.DIST(Z$2*(LN(Underlying/$H5)+(RiskFreeRate-DividendYield-0.5*Y5^2)*TimeToExpiration)/(Y5*TimeToExpiration^0.5), 0, 1, TRUE)
)</f>
        <v>0.02124210103</v>
      </c>
      <c r="AA5" s="40">
        <f t="shared" ref="AA5:AA39" si="12">IF(Z5&gt;$G5, U5, Y5)</f>
        <v>0.375875</v>
      </c>
      <c r="AB5" s="40">
        <f t="shared" ref="AB5:AB39" si="13">IF(Z5&gt;$G5, Y5, V5)</f>
        <v>0.75075</v>
      </c>
      <c r="AC5" s="7">
        <f>AC$2*(Underlying*EXP(-DividendYield*TimeToExpiration)*_xlfn.NORM.DIST(AC$2*(LN(Underlying/$H5)+(RiskFreeRate-DividendYield+0.5*AA5^2)*TimeToExpiration)/(AA5*TimeToExpiration^0.5), 0, 1, TRUE) - 
       $H5*EXP(-RiskFreeRate*TimeToExpiration)*_xlfn.NORM.DIST(AC$2*(LN(Underlying/$H5)+(RiskFreeRate-DividendYield-0.5*AA5^2)*TimeToExpiration)/(AA5*TimeToExpiration^0.5), 0, 1, TRUE)
)</f>
        <v>0.02124210103</v>
      </c>
      <c r="AD5" s="7">
        <f>AD$2*(Underlying*EXP(-DividendYield*TimeToExpiration)*_xlfn.NORM.DIST(AD$2*(LN(Underlying/$H5)+(RiskFreeRate-DividendYield+0.5*AB5^2)*TimeToExpiration)/(AB5*TimeToExpiration^0.5), 0, 1, TRUE) - 
       $H5*EXP(-RiskFreeRate*TimeToExpiration)*_xlfn.NORM.DIST(AD$2*(LN(Underlying/$H5)+(RiskFreeRate-DividendYield-0.5*AB5^2)*TimeToExpiration)/(AB5*TimeToExpiration^0.5), 0, 1, TRUE)
)</f>
        <v>1.448639984</v>
      </c>
      <c r="AE5" s="40">
        <f t="shared" ref="AE5:AE39" si="14">(AA5+AB5)/2</f>
        <v>0.5633125</v>
      </c>
      <c r="AF5" s="8">
        <f>AF$2*(Underlying*EXP(-DividendYield*TimeToExpiration)*_xlfn.NORM.DIST(AF$2*(LN(Underlying/$H5)+(RiskFreeRate-DividendYield+0.5*AE5^2)*TimeToExpiration)/(AE5*TimeToExpiration^0.5), 0, 1, TRUE) - 
       $H5*EXP(-RiskFreeRate*TimeToExpiration)*_xlfn.NORM.DIST(AF$2*(LN(Underlying/$H5)+(RiskFreeRate-DividendYield-0.5*AE5^2)*TimeToExpiration)/(AE5*TimeToExpiration^0.5), 0, 1, TRUE)
)</f>
        <v>0.391876224</v>
      </c>
      <c r="AG5" s="40">
        <f t="shared" ref="AG5:AG39" si="15">IF(AF5&gt;$G5, AA5, AE5)</f>
        <v>0.375875</v>
      </c>
      <c r="AH5" s="40">
        <f t="shared" ref="AH5:AH39" si="16">IF(AF5&gt;$G5, AE5, AB5)</f>
        <v>0.5633125</v>
      </c>
      <c r="AI5" s="7">
        <f>AI$2*(Underlying*EXP(-DividendYield*TimeToExpiration)*_xlfn.NORM.DIST(AI$2*(LN(Underlying/$H5)+(RiskFreeRate-DividendYield+0.5*AG5^2)*TimeToExpiration)/(AG5*TimeToExpiration^0.5), 0, 1, TRUE) - 
       $H5*EXP(-RiskFreeRate*TimeToExpiration)*_xlfn.NORM.DIST(AI$2*(LN(Underlying/$H5)+(RiskFreeRate-DividendYield-0.5*AG5^2)*TimeToExpiration)/(AG5*TimeToExpiration^0.5), 0, 1, TRUE)
)</f>
        <v>0.02124210103</v>
      </c>
      <c r="AJ5" s="7">
        <f>AJ$2*(Underlying*EXP(-DividendYield*TimeToExpiration)*_xlfn.NORM.DIST(AJ$2*(LN(Underlying/$H5)+(RiskFreeRate-DividendYield+0.5*AH5^2)*TimeToExpiration)/(AH5*TimeToExpiration^0.5), 0, 1, TRUE) - 
       $H5*EXP(-RiskFreeRate*TimeToExpiration)*_xlfn.NORM.DIST(AJ$2*(LN(Underlying/$H5)+(RiskFreeRate-DividendYield-0.5*AH5^2)*TimeToExpiration)/(AH5*TimeToExpiration^0.5), 0, 1, TRUE)
)</f>
        <v>0.391876224</v>
      </c>
      <c r="AK5" s="40">
        <f t="shared" ref="AK5:AK39" si="17">(AG5+AH5)/2</f>
        <v>0.46959375</v>
      </c>
      <c r="AL5" s="8">
        <f>AL$2*(Underlying*EXP(-DividendYield*TimeToExpiration)*_xlfn.NORM.DIST(AL$2*(LN(Underlying/$H5)+(RiskFreeRate-DividendYield+0.5*AK5^2)*TimeToExpiration)/(AK5*TimeToExpiration^0.5), 0, 1, TRUE) - 
       $H5*EXP(-RiskFreeRate*TimeToExpiration)*_xlfn.NORM.DIST(AL$2*(LN(Underlying/$H5)+(RiskFreeRate-DividendYield-0.5*AK5^2)*TimeToExpiration)/(AK5*TimeToExpiration^0.5), 0, 1, TRUE)
)</f>
        <v>0.1292559077</v>
      </c>
      <c r="AM5" s="40">
        <f t="shared" ref="AM5:AM39" si="18">IF(AL5&gt;$G5, AG5, AK5)</f>
        <v>0.46959375</v>
      </c>
      <c r="AN5" s="40">
        <f t="shared" ref="AN5:AN39" si="19">IF(AL5&gt;$G5, AK5, AH5)</f>
        <v>0.5633125</v>
      </c>
      <c r="AO5" s="7">
        <f>AO$2*(Underlying*EXP(-DividendYield*TimeToExpiration)*_xlfn.NORM.DIST(AO$2*(LN(Underlying/$H5)+(RiskFreeRate-DividendYield+0.5*AM5^2)*TimeToExpiration)/(AM5*TimeToExpiration^0.5), 0, 1, TRUE) - 
       $H5*EXP(-RiskFreeRate*TimeToExpiration)*_xlfn.NORM.DIST(AO$2*(LN(Underlying/$H5)+(RiskFreeRate-DividendYield-0.5*AM5^2)*TimeToExpiration)/(AM5*TimeToExpiration^0.5), 0, 1, TRUE)
)</f>
        <v>0.1292559077</v>
      </c>
      <c r="AP5" s="7">
        <f>AP$2*(Underlying*EXP(-DividendYield*TimeToExpiration)*_xlfn.NORM.DIST(AP$2*(LN(Underlying/$H5)+(RiskFreeRate-DividendYield+0.5*AN5^2)*TimeToExpiration)/(AN5*TimeToExpiration^0.5), 0, 1, TRUE) - 
       $H5*EXP(-RiskFreeRate*TimeToExpiration)*_xlfn.NORM.DIST(AP$2*(LN(Underlying/$H5)+(RiskFreeRate-DividendYield-0.5*AN5^2)*TimeToExpiration)/(AN5*TimeToExpiration^0.5), 0, 1, TRUE)
)</f>
        <v>0.391876224</v>
      </c>
      <c r="AQ5" s="40">
        <f t="shared" ref="AQ5:AQ39" si="20">(AM5+AN5)/2</f>
        <v>0.516453125</v>
      </c>
      <c r="AR5" s="8">
        <f>AR$2*(Underlying*EXP(-DividendYield*TimeToExpiration)*_xlfn.NORM.DIST(AR$2*(LN(Underlying/$H5)+(RiskFreeRate-DividendYield+0.5*AQ5^2)*TimeToExpiration)/(AQ5*TimeToExpiration^0.5), 0, 1, TRUE) - 
       $H5*EXP(-RiskFreeRate*TimeToExpiration)*_xlfn.NORM.DIST(AR$2*(LN(Underlying/$H5)+(RiskFreeRate-DividendYield-0.5*AQ5^2)*TimeToExpiration)/(AQ5*TimeToExpiration^0.5), 0, 1, TRUE)
)</f>
        <v>0.2386802529</v>
      </c>
      <c r="AS5" s="40">
        <f t="shared" ref="AS5:AS39" si="21">IF(AR5&gt;$G5, AM5, AQ5)</f>
        <v>0.516453125</v>
      </c>
      <c r="AT5" s="40">
        <f t="shared" ref="AT5:AT39" si="22">IF(AR5&gt;$G5, AQ5, AN5)</f>
        <v>0.5633125</v>
      </c>
      <c r="AU5" s="7">
        <f>AU$2*(Underlying*EXP(-DividendYield*TimeToExpiration)*_xlfn.NORM.DIST(AU$2*(LN(Underlying/$H5)+(RiskFreeRate-DividendYield+0.5*AS5^2)*TimeToExpiration)/(AS5*TimeToExpiration^0.5), 0, 1, TRUE) - 
       $H5*EXP(-RiskFreeRate*TimeToExpiration)*_xlfn.NORM.DIST(AU$2*(LN(Underlying/$H5)+(RiskFreeRate-DividendYield-0.5*AS5^2)*TimeToExpiration)/(AS5*TimeToExpiration^0.5), 0, 1, TRUE)
)</f>
        <v>0.2386802529</v>
      </c>
      <c r="AV5" s="7">
        <f>AV$2*(Underlying*EXP(-DividendYield*TimeToExpiration)*_xlfn.NORM.DIST(AV$2*(LN(Underlying/$H5)+(RiskFreeRate-DividendYield+0.5*AT5^2)*TimeToExpiration)/(AT5*TimeToExpiration^0.5), 0, 1, TRUE) - 
       $H5*EXP(-RiskFreeRate*TimeToExpiration)*_xlfn.NORM.DIST(AV$2*(LN(Underlying/$H5)+(RiskFreeRate-DividendYield-0.5*AT5^2)*TimeToExpiration)/(AT5*TimeToExpiration^0.5), 0, 1, TRUE)
)</f>
        <v>0.391876224</v>
      </c>
      <c r="AW5" s="40">
        <f t="shared" ref="AW5:AW39" si="23">(AS5+AT5)/2</f>
        <v>0.5398828125</v>
      </c>
      <c r="AX5" s="8">
        <f>AX$2*(Underlying*EXP(-DividendYield*TimeToExpiration)*_xlfn.NORM.DIST(AX$2*(LN(Underlying/$H5)+(RiskFreeRate-DividendYield+0.5*AW5^2)*TimeToExpiration)/(AW5*TimeToExpiration^0.5), 0, 1, TRUE) - 
       $H5*EXP(-RiskFreeRate*TimeToExpiration)*_xlfn.NORM.DIST(AX$2*(LN(Underlying/$H5)+(RiskFreeRate-DividendYield-0.5*AW5^2)*TimeToExpiration)/(AW5*TimeToExpiration^0.5), 0, 1, TRUE)
)</f>
        <v>0.3096496185</v>
      </c>
      <c r="AY5" s="40">
        <f t="shared" ref="AY5:AY39" si="24">IF(AX5&gt;$G5, AS5, AW5)</f>
        <v>0.516453125</v>
      </c>
      <c r="AZ5" s="40">
        <f t="shared" ref="AZ5:AZ39" si="25">IF(AX5&gt;$G5, AW5, AT5)</f>
        <v>0.5398828125</v>
      </c>
      <c r="BA5" s="7">
        <f>BA$2*(Underlying*EXP(-DividendYield*TimeToExpiration)*_xlfn.NORM.DIST(BA$2*(LN(Underlying/$H5)+(RiskFreeRate-DividendYield+0.5*AY5^2)*TimeToExpiration)/(AY5*TimeToExpiration^0.5), 0, 1, TRUE) - 
       $H5*EXP(-RiskFreeRate*TimeToExpiration)*_xlfn.NORM.DIST(BA$2*(LN(Underlying/$H5)+(RiskFreeRate-DividendYield-0.5*AY5^2)*TimeToExpiration)/(AY5*TimeToExpiration^0.5), 0, 1, TRUE)
)</f>
        <v>0.2386802529</v>
      </c>
      <c r="BB5" s="7">
        <f>BB$2*(Underlying*EXP(-DividendYield*TimeToExpiration)*_xlfn.NORM.DIST(BB$2*(LN(Underlying/$H5)+(RiskFreeRate-DividendYield+0.5*AZ5^2)*TimeToExpiration)/(AZ5*TimeToExpiration^0.5), 0, 1, TRUE) - 
       $H5*EXP(-RiskFreeRate*TimeToExpiration)*_xlfn.NORM.DIST(BB$2*(LN(Underlying/$H5)+(RiskFreeRate-DividendYield-0.5*AZ5^2)*TimeToExpiration)/(AZ5*TimeToExpiration^0.5), 0, 1, TRUE)
)</f>
        <v>0.3096496185</v>
      </c>
      <c r="BC5" s="40">
        <f t="shared" ref="BC5:BC39" si="26">(AY5+AZ5)/2</f>
        <v>0.5281679688</v>
      </c>
      <c r="BD5" s="8">
        <f>BD$2*(Underlying*EXP(-DividendYield*TimeToExpiration)*_xlfn.NORM.DIST(BD$2*(LN(Underlying/$H5)+(RiskFreeRate-DividendYield+0.5*BC5^2)*TimeToExpiration)/(BC5*TimeToExpiration^0.5), 0, 1, TRUE) - 
       $H5*EXP(-RiskFreeRate*TimeToExpiration)*_xlfn.NORM.DIST(BD$2*(LN(Underlying/$H5)+(RiskFreeRate-DividendYield-0.5*BC5^2)*TimeToExpiration)/(BC5*TimeToExpiration^0.5), 0, 1, TRUE)
)</f>
        <v>0.2727709601</v>
      </c>
      <c r="BE5" s="40">
        <f t="shared" ref="BE5:BE39" si="27">IF(BD5&gt;$G5, AY5, BC5)</f>
        <v>0.516453125</v>
      </c>
      <c r="BF5" s="40">
        <f t="shared" ref="BF5:BF39" si="28">IF(BD5&gt;$G5, BC5, AZ5)</f>
        <v>0.5281679688</v>
      </c>
      <c r="BG5" s="7">
        <f>BG$2*(Underlying*EXP(-DividendYield*TimeToExpiration)*_xlfn.NORM.DIST(BG$2*(LN(Underlying/$H5)+(RiskFreeRate-DividendYield+0.5*BE5^2)*TimeToExpiration)/(BE5*TimeToExpiration^0.5), 0, 1, TRUE) - 
       $H5*EXP(-RiskFreeRate*TimeToExpiration)*_xlfn.NORM.DIST(BG$2*(LN(Underlying/$H5)+(RiskFreeRate-DividendYield-0.5*BE5^2)*TimeToExpiration)/(BE5*TimeToExpiration^0.5), 0, 1, TRUE)
)</f>
        <v>0.2386802529</v>
      </c>
      <c r="BH5" s="7">
        <f>BH$2*(Underlying*EXP(-DividendYield*TimeToExpiration)*_xlfn.NORM.DIST(BH$2*(LN(Underlying/$H5)+(RiskFreeRate-DividendYield+0.5*BF5^2)*TimeToExpiration)/(BF5*TimeToExpiration^0.5), 0, 1, TRUE) - 
       $H5*EXP(-RiskFreeRate*TimeToExpiration)*_xlfn.NORM.DIST(BH$2*(LN(Underlying/$H5)+(RiskFreeRate-DividendYield-0.5*BF5^2)*TimeToExpiration)/(BF5*TimeToExpiration^0.5), 0, 1, TRUE)
)</f>
        <v>0.2727709601</v>
      </c>
      <c r="BI5" s="40">
        <f t="shared" ref="BI5:BI39" si="29">(BE5+BF5)/2</f>
        <v>0.5223105469</v>
      </c>
      <c r="BJ5" s="8">
        <f>BJ$2*(Underlying*EXP(-DividendYield*TimeToExpiration)*_xlfn.NORM.DIST(BJ$2*(LN(Underlying/$H5)+(RiskFreeRate-DividendYield+0.5*BI5^2)*TimeToExpiration)/(BI5*TimeToExpiration^0.5), 0, 1, TRUE) - 
       $H5*EXP(-RiskFreeRate*TimeToExpiration)*_xlfn.NORM.DIST(BJ$2*(LN(Underlying/$H5)+(RiskFreeRate-DividendYield-0.5*BI5^2)*TimeToExpiration)/(BI5*TimeToExpiration^0.5), 0, 1, TRUE)
)</f>
        <v>0.2553792908</v>
      </c>
      <c r="BK5" s="40">
        <f t="shared" ref="BK5:BK39" si="30">IF(BJ5&gt;$G5, BE5, BI5)</f>
        <v>0.516453125</v>
      </c>
      <c r="BL5" s="40">
        <f t="shared" ref="BL5:BL39" si="31">IF(BJ5&gt;$G5, BI5, BF5)</f>
        <v>0.5223105469</v>
      </c>
      <c r="BM5" s="7">
        <f>BM$2*(Underlying*EXP(-DividendYield*TimeToExpiration)*_xlfn.NORM.DIST(BM$2*(LN(Underlying/$H5)+(RiskFreeRate-DividendYield+0.5*BK5^2)*TimeToExpiration)/(BK5*TimeToExpiration^0.5), 0, 1, TRUE) - 
       $H5*EXP(-RiskFreeRate*TimeToExpiration)*_xlfn.NORM.DIST(BM$2*(LN(Underlying/$H5)+(RiskFreeRate-DividendYield-0.5*BK5^2)*TimeToExpiration)/(BK5*TimeToExpiration^0.5), 0, 1, TRUE)
)</f>
        <v>0.2386802529</v>
      </c>
      <c r="BN5" s="7">
        <f>BN$2*(Underlying*EXP(-DividendYield*TimeToExpiration)*_xlfn.NORM.DIST(BN$2*(LN(Underlying/$H5)+(RiskFreeRate-DividendYield+0.5*BL5^2)*TimeToExpiration)/(BL5*TimeToExpiration^0.5), 0, 1, TRUE) - 
       $H5*EXP(-RiskFreeRate*TimeToExpiration)*_xlfn.NORM.DIST(BN$2*(LN(Underlying/$H5)+(RiskFreeRate-DividendYield-0.5*BL5^2)*TimeToExpiration)/(BL5*TimeToExpiration^0.5), 0, 1, TRUE)
)</f>
        <v>0.2553792908</v>
      </c>
      <c r="BO5" s="40">
        <f t="shared" ref="BO5:BO39" si="32">(BK5+BL5)/2</f>
        <v>0.5193818359</v>
      </c>
      <c r="BP5" s="8">
        <f>BP$2*(Underlying*EXP(-DividendYield*TimeToExpiration)*_xlfn.NORM.DIST(BP$2*(LN(Underlying/$H5)+(RiskFreeRate-DividendYield+0.5*BO5^2)*TimeToExpiration)/(BO5*TimeToExpiration^0.5), 0, 1, TRUE) - 
       $H5*EXP(-RiskFreeRate*TimeToExpiration)*_xlfn.NORM.DIST(BP$2*(LN(Underlying/$H5)+(RiskFreeRate-DividendYield-0.5*BO5^2)*TimeToExpiration)/(BO5*TimeToExpiration^0.5), 0, 1, TRUE)
)</f>
        <v>0.2469435002</v>
      </c>
      <c r="BQ5" s="40">
        <f t="shared" ref="BQ5:BQ39" si="33">IF(BP5&gt;$G5, BK5, BO5)</f>
        <v>0.5193818359</v>
      </c>
      <c r="BR5" s="40">
        <f t="shared" ref="BR5:BR39" si="34">IF(BP5&gt;$G5, BO5, BL5)</f>
        <v>0.5223105469</v>
      </c>
      <c r="BS5" s="7">
        <f>BS$2*(Underlying*EXP(-DividendYield*TimeToExpiration)*_xlfn.NORM.DIST(BS$2*(LN(Underlying/$H5)+(RiskFreeRate-DividendYield+0.5*BQ5^2)*TimeToExpiration)/(BQ5*TimeToExpiration^0.5), 0, 1, TRUE) - 
       $H5*EXP(-RiskFreeRate*TimeToExpiration)*_xlfn.NORM.DIST(BS$2*(LN(Underlying/$H5)+(RiskFreeRate-DividendYield-0.5*BQ5^2)*TimeToExpiration)/(BQ5*TimeToExpiration^0.5), 0, 1, TRUE)
)</f>
        <v>0.2469435002</v>
      </c>
      <c r="BT5" s="7">
        <f>BT$2*(Underlying*EXP(-DividendYield*TimeToExpiration)*_xlfn.NORM.DIST(BT$2*(LN(Underlying/$H5)+(RiskFreeRate-DividendYield+0.5*BR5^2)*TimeToExpiration)/(BR5*TimeToExpiration^0.5), 0, 1, TRUE) - 
       $H5*EXP(-RiskFreeRate*TimeToExpiration)*_xlfn.NORM.DIST(BT$2*(LN(Underlying/$H5)+(RiskFreeRate-DividendYield-0.5*BR5^2)*TimeToExpiration)/(BR5*TimeToExpiration^0.5), 0, 1, TRUE)
)</f>
        <v>0.2553792908</v>
      </c>
      <c r="BU5" s="40">
        <f t="shared" ref="BU5:BU39" si="35">(BQ5+BR5)/2</f>
        <v>0.5208461914</v>
      </c>
      <c r="BV5" s="8">
        <f>BV$2*(Underlying*EXP(-DividendYield*TimeToExpiration)*_xlfn.NORM.DIST(BV$2*(LN(Underlying/$H5)+(RiskFreeRate-DividendYield+0.5*BU5^2)*TimeToExpiration)/(BU5*TimeToExpiration^0.5), 0, 1, TRUE) - 
       $H5*EXP(-RiskFreeRate*TimeToExpiration)*_xlfn.NORM.DIST(BV$2*(LN(Underlying/$H5)+(RiskFreeRate-DividendYield-0.5*BU5^2)*TimeToExpiration)/(BU5*TimeToExpiration^0.5), 0, 1, TRUE)
)</f>
        <v>0.2511397876</v>
      </c>
      <c r="BW5" s="40">
        <f t="shared" ref="BW5:BW39" si="36">IF(BV5&gt;$G5, BQ5, BU5)</f>
        <v>0.5193818359</v>
      </c>
      <c r="BX5" s="40">
        <f t="shared" ref="BX5:BX39" si="37">IF(BV5&gt;$G5, BU5, BR5)</f>
        <v>0.5208461914</v>
      </c>
      <c r="BY5" s="7">
        <f>BY$2*(Underlying*EXP(-DividendYield*TimeToExpiration)*_xlfn.NORM.DIST(BY$2*(LN(Underlying/$H5)+(RiskFreeRate-DividendYield+0.5*BW5^2)*TimeToExpiration)/(BW5*TimeToExpiration^0.5), 0, 1, TRUE) - 
       $H5*EXP(-RiskFreeRate*TimeToExpiration)*_xlfn.NORM.DIST(BY$2*(LN(Underlying/$H5)+(RiskFreeRate-DividendYield-0.5*BW5^2)*TimeToExpiration)/(BW5*TimeToExpiration^0.5), 0, 1, TRUE)
)</f>
        <v>0.2469435002</v>
      </c>
      <c r="BZ5" s="7">
        <f>BZ$2*(Underlying*EXP(-DividendYield*TimeToExpiration)*_xlfn.NORM.DIST(BZ$2*(LN(Underlying/$H5)+(RiskFreeRate-DividendYield+0.5*BX5^2)*TimeToExpiration)/(BX5*TimeToExpiration^0.5), 0, 1, TRUE) - 
       $H5*EXP(-RiskFreeRate*TimeToExpiration)*_xlfn.NORM.DIST(BZ$2*(LN(Underlying/$H5)+(RiskFreeRate-DividendYield-0.5*BX5^2)*TimeToExpiration)/(BX5*TimeToExpiration^0.5), 0, 1, TRUE)
)</f>
        <v>0.2511397876</v>
      </c>
      <c r="CA5" s="40">
        <f t="shared" ref="CA5:CA39" si="38">(BW5+BX5)/2</f>
        <v>0.5201140137</v>
      </c>
      <c r="CB5" s="8">
        <f>CB$2*(Underlying*EXP(-DividendYield*TimeToExpiration)*_xlfn.NORM.DIST(CB$2*(LN(Underlying/$H5)+(RiskFreeRate-DividendYield+0.5*CA5^2)*TimeToExpiration)/(CA5*TimeToExpiration^0.5), 0, 1, TRUE) - 
       $H5*EXP(-RiskFreeRate*TimeToExpiration)*_xlfn.NORM.DIST(CB$2*(LN(Underlying/$H5)+(RiskFreeRate-DividendYield-0.5*CA5^2)*TimeToExpiration)/(CA5*TimeToExpiration^0.5), 0, 1, TRUE)
)</f>
        <v>0.2490362468</v>
      </c>
      <c r="CC5" s="40">
        <f t="shared" ref="CC5:CC39" si="39">IF(CB5&gt;$G5, BW5, CA5)</f>
        <v>0.5201140137</v>
      </c>
      <c r="CD5" s="40">
        <f t="shared" ref="CD5:CD39" si="40">IF(CB5&gt;$G5, CA5, BX5)</f>
        <v>0.5208461914</v>
      </c>
      <c r="CE5" s="7">
        <f>CE$2*(Underlying*EXP(-DividendYield*TimeToExpiration)*_xlfn.NORM.DIST(CE$2*(LN(Underlying/$H5)+(RiskFreeRate-DividendYield+0.5*CC5^2)*TimeToExpiration)/(CC5*TimeToExpiration^0.5), 0, 1, TRUE) - 
       $H5*EXP(-RiskFreeRate*TimeToExpiration)*_xlfn.NORM.DIST(CE$2*(LN(Underlying/$H5)+(RiskFreeRate-DividendYield-0.5*CC5^2)*TimeToExpiration)/(CC5*TimeToExpiration^0.5), 0, 1, TRUE)
)</f>
        <v>0.2490362468</v>
      </c>
      <c r="CF5" s="7">
        <f>CF$2*(Underlying*EXP(-DividendYield*TimeToExpiration)*_xlfn.NORM.DIST(CF$2*(LN(Underlying/$H5)+(RiskFreeRate-DividendYield+0.5*CD5^2)*TimeToExpiration)/(CD5*TimeToExpiration^0.5), 0, 1, TRUE) - 
       $H5*EXP(-RiskFreeRate*TimeToExpiration)*_xlfn.NORM.DIST(CF$2*(LN(Underlying/$H5)+(RiskFreeRate-DividendYield-0.5*CD5^2)*TimeToExpiration)/(CD5*TimeToExpiration^0.5), 0, 1, TRUE)
)</f>
        <v>0.2511397876</v>
      </c>
      <c r="CG5" s="40">
        <f t="shared" ref="CG5:CG39" si="41">(CC5+CD5)/2</f>
        <v>0.5204801025</v>
      </c>
      <c r="CH5" s="8">
        <f>CH$2*(Underlying*EXP(-DividendYield*TimeToExpiration)*_xlfn.NORM.DIST(CH$2*(LN(Underlying/$H5)+(RiskFreeRate-DividendYield+0.5*CG5^2)*TimeToExpiration)/(CG5*TimeToExpiration^0.5), 0, 1, TRUE) - 
       $H5*EXP(-RiskFreeRate*TimeToExpiration)*_xlfn.NORM.DIST(CH$2*(LN(Underlying/$H5)+(RiskFreeRate-DividendYield-0.5*CG5^2)*TimeToExpiration)/(CG5*TimeToExpiration^0.5), 0, 1, TRUE)
)</f>
        <v>0.2500866673</v>
      </c>
      <c r="CI5" s="40">
        <f t="shared" ref="CI5:CI39" si="42">IF(CH5&gt;$G5, CC5, CG5)</f>
        <v>0.5201140137</v>
      </c>
      <c r="CJ5" s="40">
        <f t="shared" ref="CJ5:CJ39" si="43">IF(CH5&gt;$G5, CG5, CD5)</f>
        <v>0.5204801025</v>
      </c>
      <c r="CK5" s="7">
        <f>CK$2*(Underlying*EXP(-DividendYield*TimeToExpiration)*_xlfn.NORM.DIST(CK$2*(LN(Underlying/$H5)+(RiskFreeRate-DividendYield+0.5*CI5^2)*TimeToExpiration)/(CI5*TimeToExpiration^0.5), 0, 1, TRUE) - 
       $H5*EXP(-RiskFreeRate*TimeToExpiration)*_xlfn.NORM.DIST(CK$2*(LN(Underlying/$H5)+(RiskFreeRate-DividendYield-0.5*CI5^2)*TimeToExpiration)/(CI5*TimeToExpiration^0.5), 0, 1, TRUE)
)</f>
        <v>0.2490362468</v>
      </c>
      <c r="CL5" s="7">
        <f>CL$2*(Underlying*EXP(-DividendYield*TimeToExpiration)*_xlfn.NORM.DIST(CL$2*(LN(Underlying/$H5)+(RiskFreeRate-DividendYield+0.5*CJ5^2)*TimeToExpiration)/(CJ5*TimeToExpiration^0.5), 0, 1, TRUE) - 
       $H5*EXP(-RiskFreeRate*TimeToExpiration)*_xlfn.NORM.DIST(CL$2*(LN(Underlying/$H5)+(RiskFreeRate-DividendYield-0.5*CJ5^2)*TimeToExpiration)/(CJ5*TimeToExpiration^0.5), 0, 1, TRUE)
)</f>
        <v>0.2500866673</v>
      </c>
      <c r="CM5" s="40">
        <f t="shared" ref="CM5:CM39" si="44">(CI5+CJ5)/2</f>
        <v>0.5202970581</v>
      </c>
      <c r="CN5" s="8">
        <f>CN$2*(Underlying*EXP(-DividendYield*TimeToExpiration)*_xlfn.NORM.DIST(CN$2*(LN(Underlying/$H5)+(RiskFreeRate-DividendYield+0.5*CM5^2)*TimeToExpiration)/(CM5*TimeToExpiration^0.5), 0, 1, TRUE) - 
       $H5*EXP(-RiskFreeRate*TimeToExpiration)*_xlfn.NORM.DIST(CN$2*(LN(Underlying/$H5)+(RiskFreeRate-DividendYield-0.5*CM5^2)*TimeToExpiration)/(CM5*TimeToExpiration^0.5), 0, 1, TRUE)
)</f>
        <v>0.2495611197</v>
      </c>
      <c r="CO5" s="40">
        <f t="shared" ref="CO5:CO39" si="45">IF(CN5&gt;$G5, CI5, CM5)</f>
        <v>0.5202970581</v>
      </c>
      <c r="CP5" s="40">
        <f t="shared" ref="CP5:CP39" si="46">IF(CN5&gt;$G5, CM5, CJ5)</f>
        <v>0.5204801025</v>
      </c>
      <c r="CQ5" s="7">
        <f>CQ$2*(Underlying*EXP(-DividendYield*TimeToExpiration)*_xlfn.NORM.DIST(CQ$2*(LN(Underlying/$H5)+(RiskFreeRate-DividendYield+0.5*CO5^2)*TimeToExpiration)/(CO5*TimeToExpiration^0.5), 0, 1, TRUE) - 
       $H5*EXP(-RiskFreeRate*TimeToExpiration)*_xlfn.NORM.DIST(CQ$2*(LN(Underlying/$H5)+(RiskFreeRate-DividendYield-0.5*CO5^2)*TimeToExpiration)/(CO5*TimeToExpiration^0.5), 0, 1, TRUE)
)</f>
        <v>0.2495611197</v>
      </c>
      <c r="CR5" s="7">
        <f>CR$2*(Underlying*EXP(-DividendYield*TimeToExpiration)*_xlfn.NORM.DIST(CR$2*(LN(Underlying/$H5)+(RiskFreeRate-DividendYield+0.5*CP5^2)*TimeToExpiration)/(CP5*TimeToExpiration^0.5), 0, 1, TRUE) - 
       $H5*EXP(-RiskFreeRate*TimeToExpiration)*_xlfn.NORM.DIST(CR$2*(LN(Underlying/$H5)+(RiskFreeRate-DividendYield-0.5*CP5^2)*TimeToExpiration)/(CP5*TimeToExpiration^0.5), 0, 1, TRUE)
)</f>
        <v>0.2500866673</v>
      </c>
      <c r="CS5" s="40">
        <f t="shared" ref="CS5:CS39" si="47">(CO5+CP5)/2</f>
        <v>0.5203885803</v>
      </c>
      <c r="CT5" s="8">
        <f>CT$2*(Underlying*EXP(-DividendYield*TimeToExpiration)*_xlfn.NORM.DIST(CT$2*(LN(Underlying/$H5)+(RiskFreeRate-DividendYield+0.5*CS5^2)*TimeToExpiration)/(CS5*TimeToExpiration^0.5), 0, 1, TRUE) - 
       $H5*EXP(-RiskFreeRate*TimeToExpiration)*_xlfn.NORM.DIST(CT$2*(LN(Underlying/$H5)+(RiskFreeRate-DividendYield-0.5*CS5^2)*TimeToExpiration)/(CS5*TimeToExpiration^0.5), 0, 1, TRUE)
)</f>
        <v>0.2498238091</v>
      </c>
      <c r="CU5" s="40">
        <f t="shared" ref="CU5:CU39" si="48">IF(CT5&gt;$G5, CO5, CS5)</f>
        <v>0.5203885803</v>
      </c>
      <c r="CV5" s="40">
        <f t="shared" ref="CV5:CV39" si="49">IF(CT5&gt;$G5, CS5, CP5)</f>
        <v>0.5204801025</v>
      </c>
      <c r="CW5" s="7">
        <f>CW$2*(Underlying*EXP(-DividendYield*TimeToExpiration)*_xlfn.NORM.DIST(CW$2*(LN(Underlying/$H5)+(RiskFreeRate-DividendYield+0.5*CU5^2)*TimeToExpiration)/(CU5*TimeToExpiration^0.5), 0, 1, TRUE) - 
       $H5*EXP(-RiskFreeRate*TimeToExpiration)*_xlfn.NORM.DIST(CW$2*(LN(Underlying/$H5)+(RiskFreeRate-DividendYield-0.5*CU5^2)*TimeToExpiration)/(CU5*TimeToExpiration^0.5), 0, 1, TRUE)
)</f>
        <v>0.2498238091</v>
      </c>
      <c r="CX5" s="7">
        <f>CX$2*(Underlying*EXP(-DividendYield*TimeToExpiration)*_xlfn.NORM.DIST(CX$2*(LN(Underlying/$H5)+(RiskFreeRate-DividendYield+0.5*CV5^2)*TimeToExpiration)/(CV5*TimeToExpiration^0.5), 0, 1, TRUE) - 
       $H5*EXP(-RiskFreeRate*TimeToExpiration)*_xlfn.NORM.DIST(CX$2*(LN(Underlying/$H5)+(RiskFreeRate-DividendYield-0.5*CV5^2)*TimeToExpiration)/(CV5*TimeToExpiration^0.5), 0, 1, TRUE)
)</f>
        <v>0.2500866673</v>
      </c>
      <c r="CY5" s="40">
        <f t="shared" ref="CY5:CY39" si="50">(CU5+CV5)/2</f>
        <v>0.5204343414</v>
      </c>
      <c r="CZ5" s="8">
        <f>CZ$2*(Underlying*EXP(-DividendYield*TimeToExpiration)*_xlfn.NORM.DIST(CZ$2*(LN(Underlying/$H5)+(RiskFreeRate-DividendYield+0.5*CY5^2)*TimeToExpiration)/(CY5*TimeToExpiration^0.5), 0, 1, TRUE) - 
       $H5*EXP(-RiskFreeRate*TimeToExpiration)*_xlfn.NORM.DIST(CZ$2*(LN(Underlying/$H5)+(RiskFreeRate-DividendYield-0.5*CY5^2)*TimeToExpiration)/(CY5*TimeToExpiration^0.5), 0, 1, TRUE)
)</f>
        <v>0.2499552171</v>
      </c>
      <c r="DA5" s="40">
        <f t="shared" ref="DA5:DA39" si="51">IF(CZ5&gt;$G5, CU5, CY5)</f>
        <v>0.5204343414</v>
      </c>
      <c r="DB5" s="40">
        <f t="shared" ref="DB5:DB39" si="52">IF(CZ5&gt;$G5, CY5, CV5)</f>
        <v>0.5204801025</v>
      </c>
      <c r="DC5" s="7">
        <f>DC$2*(Underlying*EXP(-DividendYield*TimeToExpiration)*_xlfn.NORM.DIST(DC$2*(LN(Underlying/$H5)+(RiskFreeRate-DividendYield+0.5*DA5^2)*TimeToExpiration)/(DA5*TimeToExpiration^0.5), 0, 1, TRUE) - 
       $H5*EXP(-RiskFreeRate*TimeToExpiration)*_xlfn.NORM.DIST(DC$2*(LN(Underlying/$H5)+(RiskFreeRate-DividendYield-0.5*DA5^2)*TimeToExpiration)/(DA5*TimeToExpiration^0.5), 0, 1, TRUE)
)</f>
        <v>0.2499552171</v>
      </c>
      <c r="DD5" s="7">
        <f>DD$2*(Underlying*EXP(-DividendYield*TimeToExpiration)*_xlfn.NORM.DIST(DD$2*(LN(Underlying/$H5)+(RiskFreeRate-DividendYield+0.5*DB5^2)*TimeToExpiration)/(DB5*TimeToExpiration^0.5), 0, 1, TRUE) - 
       $H5*EXP(-RiskFreeRate*TimeToExpiration)*_xlfn.NORM.DIST(DD$2*(LN(Underlying/$H5)+(RiskFreeRate-DividendYield-0.5*DB5^2)*TimeToExpiration)/(DB5*TimeToExpiration^0.5), 0, 1, TRUE)
)</f>
        <v>0.2500866673</v>
      </c>
      <c r="DE5" s="40">
        <f t="shared" ref="DE5:DE39" si="53">(DA5+DB5)/2</f>
        <v>0.520457222</v>
      </c>
      <c r="DF5" s="8">
        <f>DF$2*(Underlying*EXP(-DividendYield*TimeToExpiration)*_xlfn.NORM.DIST(DF$2*(LN(Underlying/$H5)+(RiskFreeRate-DividendYield+0.5*DE5^2)*TimeToExpiration)/(DE5*TimeToExpiration^0.5), 0, 1, TRUE) - 
       $H5*EXP(-RiskFreeRate*TimeToExpiration)*_xlfn.NORM.DIST(DF$2*(LN(Underlying/$H5)+(RiskFreeRate-DividendYield-0.5*DE5^2)*TimeToExpiration)/(DE5*TimeToExpiration^0.5), 0, 1, TRUE)
)</f>
        <v>0.250020937</v>
      </c>
    </row>
    <row r="6">
      <c r="A6" s="20">
        <f>'Option Mkt Data'!A6</f>
        <v>297.5</v>
      </c>
      <c r="B6" s="35">
        <f t="shared" ref="B6:C6" si="2">DE6</f>
        <v>0.5036628952</v>
      </c>
      <c r="C6" s="7">
        <f t="shared" si="2"/>
        <v>0.2799290422</v>
      </c>
      <c r="D6" s="7">
        <f t="shared" si="3"/>
        <v>0.00007098875903</v>
      </c>
      <c r="E6" s="9">
        <f t="shared" si="4"/>
        <v>0.0002535312542</v>
      </c>
      <c r="F6" s="36">
        <f>D6/'Option Mkt Data'!M6</f>
        <v>0.003549441501</v>
      </c>
      <c r="G6" s="5">
        <f>'Option Mkt Data'!K6</f>
        <v>0.280000031</v>
      </c>
      <c r="H6" s="33">
        <f>'Option Mkt Data'!A6</f>
        <v>297.5</v>
      </c>
      <c r="I6" s="37">
        <f>MinSolverVola</f>
        <v>0.001</v>
      </c>
      <c r="J6" s="38">
        <f>MaxSolverVola</f>
        <v>3</v>
      </c>
      <c r="K6" s="39">
        <f>K$2*(Underlying*EXP(-DividendYield*TimeToExpiration)*_xlfn.NORM.DIST(K$2*(LN(Underlying/$H6)+(RiskFreeRate-DividendYield+0.5*I6^2)*TimeToExpiration)/(I6*TimeToExpiration^0.5), 0, 1, TRUE) - 
       $H6*EXP(-RiskFreeRate*TimeToExpiration)*_xlfn.NORM.DIST(K$2*(LN(Underlying/$H6)+(RiskFreeRate-DividendYield-0.5*I6^2)*TimeToExpiration)/(I6*TimeToExpiration^0.5), 0, 1, TRUE)
)</f>
        <v>0</v>
      </c>
      <c r="L6" s="7">
        <f>L$2*(Underlying*EXP(-DividendYield*TimeToExpiration)*_xlfn.NORM.DIST(L$2*(LN(Underlying/$H6)+(RiskFreeRate-DividendYield+0.5*J6^2)*TimeToExpiration)/(J6*TimeToExpiration^0.5), 0, 1, TRUE) - 
       $H6*EXP(-RiskFreeRate*TimeToExpiration)*_xlfn.NORM.DIST(L$2*(LN(Underlying/$H6)+(RiskFreeRate-DividendYield-0.5*J6^2)*TimeToExpiration)/(J6*TimeToExpiration^0.5), 0, 1, TRUE)
)</f>
        <v>34.98834771</v>
      </c>
      <c r="M6" s="40">
        <f t="shared" si="5"/>
        <v>1.5005</v>
      </c>
      <c r="N6" s="8">
        <f>N$2*(Underlying*EXP(-DividendYield*TimeToExpiration)*_xlfn.NORM.DIST(N$2*(LN(Underlying/$H6)+(RiskFreeRate-DividendYield+0.5*M6^2)*TimeToExpiration)/(M6*TimeToExpiration^0.5), 0, 1, TRUE) - 
       $H6*EXP(-RiskFreeRate*TimeToExpiration)*_xlfn.NORM.DIST(N$2*(LN(Underlying/$H6)+(RiskFreeRate-DividendYield-0.5*M6^2)*TimeToExpiration)/(M6*TimeToExpiration^0.5), 0, 1, TRUE)
)</f>
        <v>10.91293125</v>
      </c>
      <c r="O6" s="41">
        <f t="shared" si="6"/>
        <v>0.001</v>
      </c>
      <c r="P6" s="40">
        <f t="shared" si="7"/>
        <v>1.5005</v>
      </c>
      <c r="Q6" s="7">
        <f>Q$2*(Underlying*EXP(-DividendYield*TimeToExpiration)*_xlfn.NORM.DIST(Q$2*(LN(Underlying/$H6)+(RiskFreeRate-DividendYield+0.5*O6^2)*TimeToExpiration)/(O6*TimeToExpiration^0.5), 0, 1, TRUE) - 
       $H6*EXP(-RiskFreeRate*TimeToExpiration)*_xlfn.NORM.DIST(Q$2*(LN(Underlying/$H6)+(RiskFreeRate-DividendYield-0.5*O6^2)*TimeToExpiration)/(O6*TimeToExpiration^0.5), 0, 1, TRUE)
)</f>
        <v>0</v>
      </c>
      <c r="R6" s="7">
        <f>R$2*(Underlying*EXP(-DividendYield*TimeToExpiration)*_xlfn.NORM.DIST(R$2*(LN(Underlying/$H6)+(RiskFreeRate-DividendYield+0.5*P6^2)*TimeToExpiration)/(P6*TimeToExpiration^0.5), 0, 1, TRUE) - 
       $H6*EXP(-RiskFreeRate*TimeToExpiration)*_xlfn.NORM.DIST(R$2*(LN(Underlying/$H6)+(RiskFreeRate-DividendYield-0.5*P6^2)*TimeToExpiration)/(P6*TimeToExpiration^0.5), 0, 1, TRUE)
)</f>
        <v>10.91293125</v>
      </c>
      <c r="S6" s="40">
        <f t="shared" si="8"/>
        <v>0.75075</v>
      </c>
      <c r="T6" s="8">
        <f>T$2*(Underlying*EXP(-DividendYield*TimeToExpiration)*_xlfn.NORM.DIST(T$2*(LN(Underlying/$H6)+(RiskFreeRate-DividendYield+0.5*S6^2)*TimeToExpiration)/(S6*TimeToExpiration^0.5), 0, 1, TRUE) - 
       $H6*EXP(-RiskFreeRate*TimeToExpiration)*_xlfn.NORM.DIST(T$2*(LN(Underlying/$H6)+(RiskFreeRate-DividendYield-0.5*S6^2)*TimeToExpiration)/(S6*TimeToExpiration^0.5), 0, 1, TRUE)
)</f>
        <v>1.721097865</v>
      </c>
      <c r="U6" s="41">
        <f t="shared" si="9"/>
        <v>0.001</v>
      </c>
      <c r="V6" s="40">
        <f t="shared" si="10"/>
        <v>0.75075</v>
      </c>
      <c r="W6" s="7">
        <f>W$2*(Underlying*EXP(-DividendYield*TimeToExpiration)*_xlfn.NORM.DIST(W$2*(LN(Underlying/$H6)+(RiskFreeRate-DividendYield+0.5*U6^2)*TimeToExpiration)/(U6*TimeToExpiration^0.5), 0, 1, TRUE) - 
       $H6*EXP(-RiskFreeRate*TimeToExpiration)*_xlfn.NORM.DIST(W$2*(LN(Underlying/$H6)+(RiskFreeRate-DividendYield-0.5*U6^2)*TimeToExpiration)/(U6*TimeToExpiration^0.5), 0, 1, TRUE)
)</f>
        <v>0</v>
      </c>
      <c r="X6" s="7">
        <f>X$2*(Underlying*EXP(-DividendYield*TimeToExpiration)*_xlfn.NORM.DIST(X$2*(LN(Underlying/$H6)+(RiskFreeRate-DividendYield+0.5*V6^2)*TimeToExpiration)/(V6*TimeToExpiration^0.5), 0, 1, TRUE) - 
       $H6*EXP(-RiskFreeRate*TimeToExpiration)*_xlfn.NORM.DIST(X$2*(LN(Underlying/$H6)+(RiskFreeRate-DividendYield-0.5*V6^2)*TimeToExpiration)/(V6*TimeToExpiration^0.5), 0, 1, TRUE)
)</f>
        <v>1.721097865</v>
      </c>
      <c r="Y6" s="40">
        <f t="shared" si="11"/>
        <v>0.375875</v>
      </c>
      <c r="Z6" s="8">
        <f>Z$2*(Underlying*EXP(-DividendYield*TimeToExpiration)*_xlfn.NORM.DIST(Z$2*(LN(Underlying/$H6)+(RiskFreeRate-DividendYield+0.5*Y6^2)*TimeToExpiration)/(Y6*TimeToExpiration^0.5), 0, 1, TRUE) - 
       $H6*EXP(-RiskFreeRate*TimeToExpiration)*_xlfn.NORM.DIST(Z$2*(LN(Underlying/$H6)+(RiskFreeRate-DividendYield-0.5*Y6^2)*TimeToExpiration)/(Y6*TimeToExpiration^0.5), 0, 1, TRUE)
)</f>
        <v>0.03520383989</v>
      </c>
      <c r="AA6" s="40">
        <f t="shared" si="12"/>
        <v>0.375875</v>
      </c>
      <c r="AB6" s="40">
        <f t="shared" si="13"/>
        <v>0.75075</v>
      </c>
      <c r="AC6" s="7">
        <f>AC$2*(Underlying*EXP(-DividendYield*TimeToExpiration)*_xlfn.NORM.DIST(AC$2*(LN(Underlying/$H6)+(RiskFreeRate-DividendYield+0.5*AA6^2)*TimeToExpiration)/(AA6*TimeToExpiration^0.5), 0, 1, TRUE) - 
       $H6*EXP(-RiskFreeRate*TimeToExpiration)*_xlfn.NORM.DIST(AC$2*(LN(Underlying/$H6)+(RiskFreeRate-DividendYield-0.5*AA6^2)*TimeToExpiration)/(AA6*TimeToExpiration^0.5), 0, 1, TRUE)
)</f>
        <v>0.03520383989</v>
      </c>
      <c r="AD6" s="7">
        <f>AD$2*(Underlying*EXP(-DividendYield*TimeToExpiration)*_xlfn.NORM.DIST(AD$2*(LN(Underlying/$H6)+(RiskFreeRate-DividendYield+0.5*AB6^2)*TimeToExpiration)/(AB6*TimeToExpiration^0.5), 0, 1, TRUE) - 
       $H6*EXP(-RiskFreeRate*TimeToExpiration)*_xlfn.NORM.DIST(AD$2*(LN(Underlying/$H6)+(RiskFreeRate-DividendYield-0.5*AB6^2)*TimeToExpiration)/(AB6*TimeToExpiration^0.5), 0, 1, TRUE)
)</f>
        <v>1.721097865</v>
      </c>
      <c r="AE6" s="40">
        <f t="shared" si="14"/>
        <v>0.5633125</v>
      </c>
      <c r="AF6" s="8">
        <f>AF$2*(Underlying*EXP(-DividendYield*TimeToExpiration)*_xlfn.NORM.DIST(AF$2*(LN(Underlying/$H6)+(RiskFreeRate-DividendYield+0.5*AE6^2)*TimeToExpiration)/(AE6*TimeToExpiration^0.5), 0, 1, TRUE) - 
       $H6*EXP(-RiskFreeRate*TimeToExpiration)*_xlfn.NORM.DIST(AF$2*(LN(Underlying/$H6)+(RiskFreeRate-DividendYield-0.5*AE6^2)*TimeToExpiration)/(AE6*TimeToExpiration^0.5), 0, 1, TRUE)
)</f>
        <v>0.5099865894</v>
      </c>
      <c r="AG6" s="40">
        <f t="shared" si="15"/>
        <v>0.375875</v>
      </c>
      <c r="AH6" s="40">
        <f t="shared" si="16"/>
        <v>0.5633125</v>
      </c>
      <c r="AI6" s="7">
        <f>AI$2*(Underlying*EXP(-DividendYield*TimeToExpiration)*_xlfn.NORM.DIST(AI$2*(LN(Underlying/$H6)+(RiskFreeRate-DividendYield+0.5*AG6^2)*TimeToExpiration)/(AG6*TimeToExpiration^0.5), 0, 1, TRUE) - 
       $H6*EXP(-RiskFreeRate*TimeToExpiration)*_xlfn.NORM.DIST(AI$2*(LN(Underlying/$H6)+(RiskFreeRate-DividendYield-0.5*AG6^2)*TimeToExpiration)/(AG6*TimeToExpiration^0.5), 0, 1, TRUE)
)</f>
        <v>0.03520383989</v>
      </c>
      <c r="AJ6" s="7">
        <f>AJ$2*(Underlying*EXP(-DividendYield*TimeToExpiration)*_xlfn.NORM.DIST(AJ$2*(LN(Underlying/$H6)+(RiskFreeRate-DividendYield+0.5*AH6^2)*TimeToExpiration)/(AH6*TimeToExpiration^0.5), 0, 1, TRUE) - 
       $H6*EXP(-RiskFreeRate*TimeToExpiration)*_xlfn.NORM.DIST(AJ$2*(LN(Underlying/$H6)+(RiskFreeRate-DividendYield-0.5*AH6^2)*TimeToExpiration)/(AH6*TimeToExpiration^0.5), 0, 1, TRUE)
)</f>
        <v>0.5099865894</v>
      </c>
      <c r="AK6" s="40">
        <f t="shared" si="17"/>
        <v>0.46959375</v>
      </c>
      <c r="AL6" s="8">
        <f>AL$2*(Underlying*EXP(-DividendYield*TimeToExpiration)*_xlfn.NORM.DIST(AL$2*(LN(Underlying/$H6)+(RiskFreeRate-DividendYield+0.5*AK6^2)*TimeToExpiration)/(AK6*TimeToExpiration^0.5), 0, 1, TRUE) - 
       $H6*EXP(-RiskFreeRate*TimeToExpiration)*_xlfn.NORM.DIST(AL$2*(LN(Underlying/$H6)+(RiskFreeRate-DividendYield-0.5*AK6^2)*TimeToExpiration)/(AK6*TimeToExpiration^0.5), 0, 1, TRUE)
)</f>
        <v>0.1834948145</v>
      </c>
      <c r="AM6" s="40">
        <f t="shared" si="18"/>
        <v>0.46959375</v>
      </c>
      <c r="AN6" s="40">
        <f t="shared" si="19"/>
        <v>0.5633125</v>
      </c>
      <c r="AO6" s="7">
        <f>AO$2*(Underlying*EXP(-DividendYield*TimeToExpiration)*_xlfn.NORM.DIST(AO$2*(LN(Underlying/$H6)+(RiskFreeRate-DividendYield+0.5*AM6^2)*TimeToExpiration)/(AM6*TimeToExpiration^0.5), 0, 1, TRUE) - 
       $H6*EXP(-RiskFreeRate*TimeToExpiration)*_xlfn.NORM.DIST(AO$2*(LN(Underlying/$H6)+(RiskFreeRate-DividendYield-0.5*AM6^2)*TimeToExpiration)/(AM6*TimeToExpiration^0.5), 0, 1, TRUE)
)</f>
        <v>0.1834948145</v>
      </c>
      <c r="AP6" s="7">
        <f>AP$2*(Underlying*EXP(-DividendYield*TimeToExpiration)*_xlfn.NORM.DIST(AP$2*(LN(Underlying/$H6)+(RiskFreeRate-DividendYield+0.5*AN6^2)*TimeToExpiration)/(AN6*TimeToExpiration^0.5), 0, 1, TRUE) - 
       $H6*EXP(-RiskFreeRate*TimeToExpiration)*_xlfn.NORM.DIST(AP$2*(LN(Underlying/$H6)+(RiskFreeRate-DividendYield-0.5*AN6^2)*TimeToExpiration)/(AN6*TimeToExpiration^0.5), 0, 1, TRUE)
)</f>
        <v>0.5099865894</v>
      </c>
      <c r="AQ6" s="40">
        <f t="shared" si="20"/>
        <v>0.516453125</v>
      </c>
      <c r="AR6" s="8">
        <f>AR$2*(Underlying*EXP(-DividendYield*TimeToExpiration)*_xlfn.NORM.DIST(AR$2*(LN(Underlying/$H6)+(RiskFreeRate-DividendYield+0.5*AQ6^2)*TimeToExpiration)/(AQ6*TimeToExpiration^0.5), 0, 1, TRUE) - 
       $H6*EXP(-RiskFreeRate*TimeToExpiration)*_xlfn.NORM.DIST(AR$2*(LN(Underlying/$H6)+(RiskFreeRate-DividendYield-0.5*AQ6^2)*TimeToExpiration)/(AQ6*TimeToExpiration^0.5), 0, 1, TRUE)
)</f>
        <v>0.3226300218</v>
      </c>
      <c r="AS6" s="40">
        <f t="shared" si="21"/>
        <v>0.46959375</v>
      </c>
      <c r="AT6" s="40">
        <f t="shared" si="22"/>
        <v>0.516453125</v>
      </c>
      <c r="AU6" s="7">
        <f>AU$2*(Underlying*EXP(-DividendYield*TimeToExpiration)*_xlfn.NORM.DIST(AU$2*(LN(Underlying/$H6)+(RiskFreeRate-DividendYield+0.5*AS6^2)*TimeToExpiration)/(AS6*TimeToExpiration^0.5), 0, 1, TRUE) - 
       $H6*EXP(-RiskFreeRate*TimeToExpiration)*_xlfn.NORM.DIST(AU$2*(LN(Underlying/$H6)+(RiskFreeRate-DividendYield-0.5*AS6^2)*TimeToExpiration)/(AS6*TimeToExpiration^0.5), 0, 1, TRUE)
)</f>
        <v>0.1834948145</v>
      </c>
      <c r="AV6" s="7">
        <f>AV$2*(Underlying*EXP(-DividendYield*TimeToExpiration)*_xlfn.NORM.DIST(AV$2*(LN(Underlying/$H6)+(RiskFreeRate-DividendYield+0.5*AT6^2)*TimeToExpiration)/(AT6*TimeToExpiration^0.5), 0, 1, TRUE) - 
       $H6*EXP(-RiskFreeRate*TimeToExpiration)*_xlfn.NORM.DIST(AV$2*(LN(Underlying/$H6)+(RiskFreeRate-DividendYield-0.5*AT6^2)*TimeToExpiration)/(AT6*TimeToExpiration^0.5), 0, 1, TRUE)
)</f>
        <v>0.3226300218</v>
      </c>
      <c r="AW6" s="40">
        <f t="shared" si="23"/>
        <v>0.4930234375</v>
      </c>
      <c r="AX6" s="8">
        <f>AX$2*(Underlying*EXP(-DividendYield*TimeToExpiration)*_xlfn.NORM.DIST(AX$2*(LN(Underlying/$H6)+(RiskFreeRate-DividendYield+0.5*AW6^2)*TimeToExpiration)/(AW6*TimeToExpiration^0.5), 0, 1, TRUE) - 
       $H6*EXP(-RiskFreeRate*TimeToExpiration)*_xlfn.NORM.DIST(AX$2*(LN(Underlying/$H6)+(RiskFreeRate-DividendYield-0.5*AW6^2)*TimeToExpiration)/(AW6*TimeToExpiration^0.5), 0, 1, TRUE)
)</f>
        <v>0.2471347908</v>
      </c>
      <c r="AY6" s="40">
        <f t="shared" si="24"/>
        <v>0.4930234375</v>
      </c>
      <c r="AZ6" s="40">
        <f t="shared" si="25"/>
        <v>0.516453125</v>
      </c>
      <c r="BA6" s="7">
        <f>BA$2*(Underlying*EXP(-DividendYield*TimeToExpiration)*_xlfn.NORM.DIST(BA$2*(LN(Underlying/$H6)+(RiskFreeRate-DividendYield+0.5*AY6^2)*TimeToExpiration)/(AY6*TimeToExpiration^0.5), 0, 1, TRUE) - 
       $H6*EXP(-RiskFreeRate*TimeToExpiration)*_xlfn.NORM.DIST(BA$2*(LN(Underlying/$H6)+(RiskFreeRate-DividendYield-0.5*AY6^2)*TimeToExpiration)/(AY6*TimeToExpiration^0.5), 0, 1, TRUE)
)</f>
        <v>0.2471347908</v>
      </c>
      <c r="BB6" s="7">
        <f>BB$2*(Underlying*EXP(-DividendYield*TimeToExpiration)*_xlfn.NORM.DIST(BB$2*(LN(Underlying/$H6)+(RiskFreeRate-DividendYield+0.5*AZ6^2)*TimeToExpiration)/(AZ6*TimeToExpiration^0.5), 0, 1, TRUE) - 
       $H6*EXP(-RiskFreeRate*TimeToExpiration)*_xlfn.NORM.DIST(BB$2*(LN(Underlying/$H6)+(RiskFreeRate-DividendYield-0.5*AZ6^2)*TimeToExpiration)/(AZ6*TimeToExpiration^0.5), 0, 1, TRUE)
)</f>
        <v>0.3226300218</v>
      </c>
      <c r="BC6" s="40">
        <f t="shared" si="26"/>
        <v>0.5047382813</v>
      </c>
      <c r="BD6" s="8">
        <f>BD$2*(Underlying*EXP(-DividendYield*TimeToExpiration)*_xlfn.NORM.DIST(BD$2*(LN(Underlying/$H6)+(RiskFreeRate-DividendYield+0.5*BC6^2)*TimeToExpiration)/(BC6*TimeToExpiration^0.5), 0, 1, TRUE) - 
       $H6*EXP(-RiskFreeRate*TimeToExpiration)*_xlfn.NORM.DIST(BD$2*(LN(Underlying/$H6)+(RiskFreeRate-DividendYield-0.5*BC6^2)*TimeToExpiration)/(BC6*TimeToExpiration^0.5), 0, 1, TRUE)
)</f>
        <v>0.2833810472</v>
      </c>
      <c r="BE6" s="40">
        <f t="shared" si="27"/>
        <v>0.4930234375</v>
      </c>
      <c r="BF6" s="40">
        <f t="shared" si="28"/>
        <v>0.5047382813</v>
      </c>
      <c r="BG6" s="7">
        <f>BG$2*(Underlying*EXP(-DividendYield*TimeToExpiration)*_xlfn.NORM.DIST(BG$2*(LN(Underlying/$H6)+(RiskFreeRate-DividendYield+0.5*BE6^2)*TimeToExpiration)/(BE6*TimeToExpiration^0.5), 0, 1, TRUE) - 
       $H6*EXP(-RiskFreeRate*TimeToExpiration)*_xlfn.NORM.DIST(BG$2*(LN(Underlying/$H6)+(RiskFreeRate-DividendYield-0.5*BE6^2)*TimeToExpiration)/(BE6*TimeToExpiration^0.5), 0, 1, TRUE)
)</f>
        <v>0.2471347908</v>
      </c>
      <c r="BH6" s="7">
        <f>BH$2*(Underlying*EXP(-DividendYield*TimeToExpiration)*_xlfn.NORM.DIST(BH$2*(LN(Underlying/$H6)+(RiskFreeRate-DividendYield+0.5*BF6^2)*TimeToExpiration)/(BF6*TimeToExpiration^0.5), 0, 1, TRUE) - 
       $H6*EXP(-RiskFreeRate*TimeToExpiration)*_xlfn.NORM.DIST(BH$2*(LN(Underlying/$H6)+(RiskFreeRate-DividendYield-0.5*BF6^2)*TimeToExpiration)/(BF6*TimeToExpiration^0.5), 0, 1, TRUE)
)</f>
        <v>0.2833810472</v>
      </c>
      <c r="BI6" s="40">
        <f t="shared" si="29"/>
        <v>0.4988808594</v>
      </c>
      <c r="BJ6" s="8">
        <f>BJ$2*(Underlying*EXP(-DividendYield*TimeToExpiration)*_xlfn.NORM.DIST(BJ$2*(LN(Underlying/$H6)+(RiskFreeRate-DividendYield+0.5*BI6^2)*TimeToExpiration)/(BI6*TimeToExpiration^0.5), 0, 1, TRUE) - 
       $H6*EXP(-RiskFreeRate*TimeToExpiration)*_xlfn.NORM.DIST(BJ$2*(LN(Underlying/$H6)+(RiskFreeRate-DividendYield-0.5*BI6^2)*TimeToExpiration)/(BI6*TimeToExpiration^0.5), 0, 1, TRUE)
)</f>
        <v>0.2648845351</v>
      </c>
      <c r="BK6" s="40">
        <f t="shared" si="30"/>
        <v>0.4988808594</v>
      </c>
      <c r="BL6" s="40">
        <f t="shared" si="31"/>
        <v>0.5047382813</v>
      </c>
      <c r="BM6" s="7">
        <f>BM$2*(Underlying*EXP(-DividendYield*TimeToExpiration)*_xlfn.NORM.DIST(BM$2*(LN(Underlying/$H6)+(RiskFreeRate-DividendYield+0.5*BK6^2)*TimeToExpiration)/(BK6*TimeToExpiration^0.5), 0, 1, TRUE) - 
       $H6*EXP(-RiskFreeRate*TimeToExpiration)*_xlfn.NORM.DIST(BM$2*(LN(Underlying/$H6)+(RiskFreeRate-DividendYield-0.5*BK6^2)*TimeToExpiration)/(BK6*TimeToExpiration^0.5), 0, 1, TRUE)
)</f>
        <v>0.2648845351</v>
      </c>
      <c r="BN6" s="7">
        <f>BN$2*(Underlying*EXP(-DividendYield*TimeToExpiration)*_xlfn.NORM.DIST(BN$2*(LN(Underlying/$H6)+(RiskFreeRate-DividendYield+0.5*BL6^2)*TimeToExpiration)/(BL6*TimeToExpiration^0.5), 0, 1, TRUE) - 
       $H6*EXP(-RiskFreeRate*TimeToExpiration)*_xlfn.NORM.DIST(BN$2*(LN(Underlying/$H6)+(RiskFreeRate-DividendYield-0.5*BL6^2)*TimeToExpiration)/(BL6*TimeToExpiration^0.5), 0, 1, TRUE)
)</f>
        <v>0.2833810472</v>
      </c>
      <c r="BO6" s="40">
        <f t="shared" si="32"/>
        <v>0.5018095703</v>
      </c>
      <c r="BP6" s="8">
        <f>BP$2*(Underlying*EXP(-DividendYield*TimeToExpiration)*_xlfn.NORM.DIST(BP$2*(LN(Underlying/$H6)+(RiskFreeRate-DividendYield+0.5*BO6^2)*TimeToExpiration)/(BO6*TimeToExpiration^0.5), 0, 1, TRUE) - 
       $H6*EXP(-RiskFreeRate*TimeToExpiration)*_xlfn.NORM.DIST(BP$2*(LN(Underlying/$H6)+(RiskFreeRate-DividendYield-0.5*BO6^2)*TimeToExpiration)/(BO6*TimeToExpiration^0.5), 0, 1, TRUE)
)</f>
        <v>0.2740391722</v>
      </c>
      <c r="BQ6" s="40">
        <f t="shared" si="33"/>
        <v>0.5018095703</v>
      </c>
      <c r="BR6" s="40">
        <f t="shared" si="34"/>
        <v>0.5047382813</v>
      </c>
      <c r="BS6" s="7">
        <f>BS$2*(Underlying*EXP(-DividendYield*TimeToExpiration)*_xlfn.NORM.DIST(BS$2*(LN(Underlying/$H6)+(RiskFreeRate-DividendYield+0.5*BQ6^2)*TimeToExpiration)/(BQ6*TimeToExpiration^0.5), 0, 1, TRUE) - 
       $H6*EXP(-RiskFreeRate*TimeToExpiration)*_xlfn.NORM.DIST(BS$2*(LN(Underlying/$H6)+(RiskFreeRate-DividendYield-0.5*BQ6^2)*TimeToExpiration)/(BQ6*TimeToExpiration^0.5), 0, 1, TRUE)
)</f>
        <v>0.2740391722</v>
      </c>
      <c r="BT6" s="7">
        <f>BT$2*(Underlying*EXP(-DividendYield*TimeToExpiration)*_xlfn.NORM.DIST(BT$2*(LN(Underlying/$H6)+(RiskFreeRate-DividendYield+0.5*BR6^2)*TimeToExpiration)/(BR6*TimeToExpiration^0.5), 0, 1, TRUE) - 
       $H6*EXP(-RiskFreeRate*TimeToExpiration)*_xlfn.NORM.DIST(BT$2*(LN(Underlying/$H6)+(RiskFreeRate-DividendYield-0.5*BR6^2)*TimeToExpiration)/(BR6*TimeToExpiration^0.5), 0, 1, TRUE)
)</f>
        <v>0.2833810472</v>
      </c>
      <c r="BU6" s="40">
        <f t="shared" si="35"/>
        <v>0.5032739258</v>
      </c>
      <c r="BV6" s="8">
        <f>BV$2*(Underlying*EXP(-DividendYield*TimeToExpiration)*_xlfn.NORM.DIST(BV$2*(LN(Underlying/$H6)+(RiskFreeRate-DividendYield+0.5*BU6^2)*TimeToExpiration)/(BU6*TimeToExpiration^0.5), 0, 1, TRUE) - 
       $H6*EXP(-RiskFreeRate*TimeToExpiration)*_xlfn.NORM.DIST(BV$2*(LN(Underlying/$H6)+(RiskFreeRate-DividendYield-0.5*BU6^2)*TimeToExpiration)/(BU6*TimeToExpiration^0.5), 0, 1, TRUE)
)</f>
        <v>0.2786866734</v>
      </c>
      <c r="BW6" s="40">
        <f t="shared" si="36"/>
        <v>0.5032739258</v>
      </c>
      <c r="BX6" s="40">
        <f t="shared" si="37"/>
        <v>0.5047382813</v>
      </c>
      <c r="BY6" s="7">
        <f>BY$2*(Underlying*EXP(-DividendYield*TimeToExpiration)*_xlfn.NORM.DIST(BY$2*(LN(Underlying/$H6)+(RiskFreeRate-DividendYield+0.5*BW6^2)*TimeToExpiration)/(BW6*TimeToExpiration^0.5), 0, 1, TRUE) - 
       $H6*EXP(-RiskFreeRate*TimeToExpiration)*_xlfn.NORM.DIST(BY$2*(LN(Underlying/$H6)+(RiskFreeRate-DividendYield-0.5*BW6^2)*TimeToExpiration)/(BW6*TimeToExpiration^0.5), 0, 1, TRUE)
)</f>
        <v>0.2786866734</v>
      </c>
      <c r="BZ6" s="7">
        <f>BZ$2*(Underlying*EXP(-DividendYield*TimeToExpiration)*_xlfn.NORM.DIST(BZ$2*(LN(Underlying/$H6)+(RiskFreeRate-DividendYield+0.5*BX6^2)*TimeToExpiration)/(BX6*TimeToExpiration^0.5), 0, 1, TRUE) - 
       $H6*EXP(-RiskFreeRate*TimeToExpiration)*_xlfn.NORM.DIST(BZ$2*(LN(Underlying/$H6)+(RiskFreeRate-DividendYield-0.5*BX6^2)*TimeToExpiration)/(BX6*TimeToExpiration^0.5), 0, 1, TRUE)
)</f>
        <v>0.2833810472</v>
      </c>
      <c r="CA6" s="40">
        <f t="shared" si="38"/>
        <v>0.5040061035</v>
      </c>
      <c r="CB6" s="8">
        <f>CB$2*(Underlying*EXP(-DividendYield*TimeToExpiration)*_xlfn.NORM.DIST(CB$2*(LN(Underlying/$H6)+(RiskFreeRate-DividendYield+0.5*CA6^2)*TimeToExpiration)/(CA6*TimeToExpiration^0.5), 0, 1, TRUE) - 
       $H6*EXP(-RiskFreeRate*TimeToExpiration)*_xlfn.NORM.DIST(CB$2*(LN(Underlying/$H6)+(RiskFreeRate-DividendYield-0.5*CA6^2)*TimeToExpiration)/(CA6*TimeToExpiration^0.5), 0, 1, TRUE)
)</f>
        <v>0.2810279974</v>
      </c>
      <c r="CC6" s="40">
        <f t="shared" si="39"/>
        <v>0.5032739258</v>
      </c>
      <c r="CD6" s="40">
        <f t="shared" si="40"/>
        <v>0.5040061035</v>
      </c>
      <c r="CE6" s="7">
        <f>CE$2*(Underlying*EXP(-DividendYield*TimeToExpiration)*_xlfn.NORM.DIST(CE$2*(LN(Underlying/$H6)+(RiskFreeRate-DividendYield+0.5*CC6^2)*TimeToExpiration)/(CC6*TimeToExpiration^0.5), 0, 1, TRUE) - 
       $H6*EXP(-RiskFreeRate*TimeToExpiration)*_xlfn.NORM.DIST(CE$2*(LN(Underlying/$H6)+(RiskFreeRate-DividendYield-0.5*CC6^2)*TimeToExpiration)/(CC6*TimeToExpiration^0.5), 0, 1, TRUE)
)</f>
        <v>0.2786866734</v>
      </c>
      <c r="CF6" s="7">
        <f>CF$2*(Underlying*EXP(-DividendYield*TimeToExpiration)*_xlfn.NORM.DIST(CF$2*(LN(Underlying/$H6)+(RiskFreeRate-DividendYield+0.5*CD6^2)*TimeToExpiration)/(CD6*TimeToExpiration^0.5), 0, 1, TRUE) - 
       $H6*EXP(-RiskFreeRate*TimeToExpiration)*_xlfn.NORM.DIST(CF$2*(LN(Underlying/$H6)+(RiskFreeRate-DividendYield-0.5*CD6^2)*TimeToExpiration)/(CD6*TimeToExpiration^0.5), 0, 1, TRUE)
)</f>
        <v>0.2810279974</v>
      </c>
      <c r="CG6" s="40">
        <f t="shared" si="41"/>
        <v>0.5036400146</v>
      </c>
      <c r="CH6" s="8">
        <f>CH$2*(Underlying*EXP(-DividendYield*TimeToExpiration)*_xlfn.NORM.DIST(CH$2*(LN(Underlying/$H6)+(RiskFreeRate-DividendYield+0.5*CG6^2)*TimeToExpiration)/(CG6*TimeToExpiration^0.5), 0, 1, TRUE) - 
       $H6*EXP(-RiskFreeRate*TimeToExpiration)*_xlfn.NORM.DIST(CH$2*(LN(Underlying/$H6)+(RiskFreeRate-DividendYield-0.5*CG6^2)*TimeToExpiration)/(CG6*TimeToExpiration^0.5), 0, 1, TRUE)
)</f>
        <v>0.2798558702</v>
      </c>
      <c r="CI6" s="40">
        <f t="shared" si="42"/>
        <v>0.5036400146</v>
      </c>
      <c r="CJ6" s="40">
        <f t="shared" si="43"/>
        <v>0.5040061035</v>
      </c>
      <c r="CK6" s="7">
        <f>CK$2*(Underlying*EXP(-DividendYield*TimeToExpiration)*_xlfn.NORM.DIST(CK$2*(LN(Underlying/$H6)+(RiskFreeRate-DividendYield+0.5*CI6^2)*TimeToExpiration)/(CI6*TimeToExpiration^0.5), 0, 1, TRUE) - 
       $H6*EXP(-RiskFreeRate*TimeToExpiration)*_xlfn.NORM.DIST(CK$2*(LN(Underlying/$H6)+(RiskFreeRate-DividendYield-0.5*CI6^2)*TimeToExpiration)/(CI6*TimeToExpiration^0.5), 0, 1, TRUE)
)</f>
        <v>0.2798558702</v>
      </c>
      <c r="CL6" s="7">
        <f>CL$2*(Underlying*EXP(-DividendYield*TimeToExpiration)*_xlfn.NORM.DIST(CL$2*(LN(Underlying/$H6)+(RiskFreeRate-DividendYield+0.5*CJ6^2)*TimeToExpiration)/(CJ6*TimeToExpiration^0.5), 0, 1, TRUE) - 
       $H6*EXP(-RiskFreeRate*TimeToExpiration)*_xlfn.NORM.DIST(CL$2*(LN(Underlying/$H6)+(RiskFreeRate-DividendYield-0.5*CJ6^2)*TimeToExpiration)/(CJ6*TimeToExpiration^0.5), 0, 1, TRUE)
)</f>
        <v>0.2810279974</v>
      </c>
      <c r="CM6" s="40">
        <f t="shared" si="44"/>
        <v>0.5038230591</v>
      </c>
      <c r="CN6" s="8">
        <f>CN$2*(Underlying*EXP(-DividendYield*TimeToExpiration)*_xlfn.NORM.DIST(CN$2*(LN(Underlying/$H6)+(RiskFreeRate-DividendYield+0.5*CM6^2)*TimeToExpiration)/(CM6*TimeToExpiration^0.5), 0, 1, TRUE) - 
       $H6*EXP(-RiskFreeRate*TimeToExpiration)*_xlfn.NORM.DIST(CN$2*(LN(Underlying/$H6)+(RiskFreeRate-DividendYield-0.5*CM6^2)*TimeToExpiration)/(CM6*TimeToExpiration^0.5), 0, 1, TRUE)
)</f>
        <v>0.2804415674</v>
      </c>
      <c r="CO6" s="40">
        <f t="shared" si="45"/>
        <v>0.5036400146</v>
      </c>
      <c r="CP6" s="40">
        <f t="shared" si="46"/>
        <v>0.5038230591</v>
      </c>
      <c r="CQ6" s="7">
        <f>CQ$2*(Underlying*EXP(-DividendYield*TimeToExpiration)*_xlfn.NORM.DIST(CQ$2*(LN(Underlying/$H6)+(RiskFreeRate-DividendYield+0.5*CO6^2)*TimeToExpiration)/(CO6*TimeToExpiration^0.5), 0, 1, TRUE) - 
       $H6*EXP(-RiskFreeRate*TimeToExpiration)*_xlfn.NORM.DIST(CQ$2*(LN(Underlying/$H6)+(RiskFreeRate-DividendYield-0.5*CO6^2)*TimeToExpiration)/(CO6*TimeToExpiration^0.5), 0, 1, TRUE)
)</f>
        <v>0.2798558702</v>
      </c>
      <c r="CR6" s="7">
        <f>CR$2*(Underlying*EXP(-DividendYield*TimeToExpiration)*_xlfn.NORM.DIST(CR$2*(LN(Underlying/$H6)+(RiskFreeRate-DividendYield+0.5*CP6^2)*TimeToExpiration)/(CP6*TimeToExpiration^0.5), 0, 1, TRUE) - 
       $H6*EXP(-RiskFreeRate*TimeToExpiration)*_xlfn.NORM.DIST(CR$2*(LN(Underlying/$H6)+(RiskFreeRate-DividendYield-0.5*CP6^2)*TimeToExpiration)/(CP6*TimeToExpiration^0.5), 0, 1, TRUE)
)</f>
        <v>0.2804415674</v>
      </c>
      <c r="CS6" s="40">
        <f t="shared" si="47"/>
        <v>0.5037315369</v>
      </c>
      <c r="CT6" s="8">
        <f>CT$2*(Underlying*EXP(-DividendYield*TimeToExpiration)*_xlfn.NORM.DIST(CT$2*(LN(Underlying/$H6)+(RiskFreeRate-DividendYield+0.5*CS6^2)*TimeToExpiration)/(CS6*TimeToExpiration^0.5), 0, 1, TRUE) - 
       $H6*EXP(-RiskFreeRate*TimeToExpiration)*_xlfn.NORM.DIST(CT$2*(LN(Underlying/$H6)+(RiskFreeRate-DividendYield-0.5*CS6^2)*TimeToExpiration)/(CS6*TimeToExpiration^0.5), 0, 1, TRUE)
)</f>
        <v>0.2801486272</v>
      </c>
      <c r="CU6" s="40">
        <f t="shared" si="48"/>
        <v>0.5036400146</v>
      </c>
      <c r="CV6" s="40">
        <f t="shared" si="49"/>
        <v>0.5037315369</v>
      </c>
      <c r="CW6" s="7">
        <f>CW$2*(Underlying*EXP(-DividendYield*TimeToExpiration)*_xlfn.NORM.DIST(CW$2*(LN(Underlying/$H6)+(RiskFreeRate-DividendYield+0.5*CU6^2)*TimeToExpiration)/(CU6*TimeToExpiration^0.5), 0, 1, TRUE) - 
       $H6*EXP(-RiskFreeRate*TimeToExpiration)*_xlfn.NORM.DIST(CW$2*(LN(Underlying/$H6)+(RiskFreeRate-DividendYield-0.5*CU6^2)*TimeToExpiration)/(CU6*TimeToExpiration^0.5), 0, 1, TRUE)
)</f>
        <v>0.2798558702</v>
      </c>
      <c r="CX6" s="7">
        <f>CX$2*(Underlying*EXP(-DividendYield*TimeToExpiration)*_xlfn.NORM.DIST(CX$2*(LN(Underlying/$H6)+(RiskFreeRate-DividendYield+0.5*CV6^2)*TimeToExpiration)/(CV6*TimeToExpiration^0.5), 0, 1, TRUE) - 
       $H6*EXP(-RiskFreeRate*TimeToExpiration)*_xlfn.NORM.DIST(CX$2*(LN(Underlying/$H6)+(RiskFreeRate-DividendYield-0.5*CV6^2)*TimeToExpiration)/(CV6*TimeToExpiration^0.5), 0, 1, TRUE)
)</f>
        <v>0.2801486272</v>
      </c>
      <c r="CY6" s="40">
        <f t="shared" si="50"/>
        <v>0.5036857758</v>
      </c>
      <c r="CZ6" s="8">
        <f>CZ$2*(Underlying*EXP(-DividendYield*TimeToExpiration)*_xlfn.NORM.DIST(CZ$2*(LN(Underlying/$H6)+(RiskFreeRate-DividendYield+0.5*CY6^2)*TimeToExpiration)/(CY6*TimeToExpiration^0.5), 0, 1, TRUE) - 
       $H6*EXP(-RiskFreeRate*TimeToExpiration)*_xlfn.NORM.DIST(CZ$2*(LN(Underlying/$H6)+(RiskFreeRate-DividendYield-0.5*CY6^2)*TimeToExpiration)/(CY6*TimeToExpiration^0.5), 0, 1, TRUE)
)</f>
        <v>0.2800022258</v>
      </c>
      <c r="DA6" s="40">
        <f t="shared" si="51"/>
        <v>0.5036400146</v>
      </c>
      <c r="DB6" s="40">
        <f t="shared" si="52"/>
        <v>0.5036857758</v>
      </c>
      <c r="DC6" s="7">
        <f>DC$2*(Underlying*EXP(-DividendYield*TimeToExpiration)*_xlfn.NORM.DIST(DC$2*(LN(Underlying/$H6)+(RiskFreeRate-DividendYield+0.5*DA6^2)*TimeToExpiration)/(DA6*TimeToExpiration^0.5), 0, 1, TRUE) - 
       $H6*EXP(-RiskFreeRate*TimeToExpiration)*_xlfn.NORM.DIST(DC$2*(LN(Underlying/$H6)+(RiskFreeRate-DividendYield-0.5*DA6^2)*TimeToExpiration)/(DA6*TimeToExpiration^0.5), 0, 1, TRUE)
)</f>
        <v>0.2798558702</v>
      </c>
      <c r="DD6" s="7">
        <f>DD$2*(Underlying*EXP(-DividendYield*TimeToExpiration)*_xlfn.NORM.DIST(DD$2*(LN(Underlying/$H6)+(RiskFreeRate-DividendYield+0.5*DB6^2)*TimeToExpiration)/(DB6*TimeToExpiration^0.5), 0, 1, TRUE) - 
       $H6*EXP(-RiskFreeRate*TimeToExpiration)*_xlfn.NORM.DIST(DD$2*(LN(Underlying/$H6)+(RiskFreeRate-DividendYield-0.5*DB6^2)*TimeToExpiration)/(DB6*TimeToExpiration^0.5), 0, 1, TRUE)
)</f>
        <v>0.2800022258</v>
      </c>
      <c r="DE6" s="40">
        <f t="shared" si="53"/>
        <v>0.5036628952</v>
      </c>
      <c r="DF6" s="8">
        <f>DF$2*(Underlying*EXP(-DividendYield*TimeToExpiration)*_xlfn.NORM.DIST(DF$2*(LN(Underlying/$H6)+(RiskFreeRate-DividendYield+0.5*DE6^2)*TimeToExpiration)/(DE6*TimeToExpiration^0.5), 0, 1, TRUE) - 
       $H6*EXP(-RiskFreeRate*TimeToExpiration)*_xlfn.NORM.DIST(DF$2*(LN(Underlying/$H6)+(RiskFreeRate-DividendYield-0.5*DE6^2)*TimeToExpiration)/(DE6*TimeToExpiration^0.5), 0, 1, TRUE)
)</f>
        <v>0.2799290422</v>
      </c>
    </row>
    <row r="7">
      <c r="A7" s="20">
        <f>'Option Mkt Data'!A7</f>
        <v>300</v>
      </c>
      <c r="B7" s="35">
        <f t="shared" ref="B7:C7" si="54">DE7</f>
        <v>0.4870058517</v>
      </c>
      <c r="C7" s="7">
        <f t="shared" si="54"/>
        <v>0.3149572325</v>
      </c>
      <c r="D7" s="7">
        <f t="shared" si="3"/>
        <v>0.00004276499936</v>
      </c>
      <c r="E7" s="9">
        <f t="shared" si="4"/>
        <v>0.0001357619038</v>
      </c>
      <c r="F7" s="36">
        <f>D7/'Option Mkt Data'!M7</f>
        <v>0.004276503785</v>
      </c>
      <c r="G7" s="5">
        <f>'Option Mkt Data'!K7</f>
        <v>0.3149999975</v>
      </c>
      <c r="H7" s="33">
        <f>'Option Mkt Data'!A7</f>
        <v>300</v>
      </c>
      <c r="I7" s="37">
        <f>MinSolverVola</f>
        <v>0.001</v>
      </c>
      <c r="J7" s="38">
        <f>MaxSolverVola</f>
        <v>3</v>
      </c>
      <c r="K7" s="39">
        <f>K$2*(Underlying*EXP(-DividendYield*TimeToExpiration)*_xlfn.NORM.DIST(K$2*(LN(Underlying/$H7)+(RiskFreeRate-DividendYield+0.5*I7^2)*TimeToExpiration)/(I7*TimeToExpiration^0.5), 0, 1, TRUE) - 
       $H7*EXP(-RiskFreeRate*TimeToExpiration)*_xlfn.NORM.DIST(K$2*(LN(Underlying/$H7)+(RiskFreeRate-DividendYield-0.5*I7^2)*TimeToExpiration)/(I7*TimeToExpiration^0.5), 0, 1, TRUE)
)</f>
        <v>0</v>
      </c>
      <c r="L7" s="7">
        <f>L$2*(Underlying*EXP(-DividendYield*TimeToExpiration)*_xlfn.NORM.DIST(L$2*(LN(Underlying/$H7)+(RiskFreeRate-DividendYield+0.5*J7^2)*TimeToExpiration)/(J7*TimeToExpiration^0.5), 0, 1, TRUE) - 
       $H7*EXP(-RiskFreeRate*TimeToExpiration)*_xlfn.NORM.DIST(L$2*(LN(Underlying/$H7)+(RiskFreeRate-DividendYield-0.5*J7^2)*TimeToExpiration)/(J7*TimeToExpiration^0.5), 0, 1, TRUE)
)</f>
        <v>36.148089</v>
      </c>
      <c r="M7" s="40">
        <f t="shared" si="5"/>
        <v>1.5005</v>
      </c>
      <c r="N7" s="8">
        <f>N$2*(Underlying*EXP(-DividendYield*TimeToExpiration)*_xlfn.NORM.DIST(N$2*(LN(Underlying/$H7)+(RiskFreeRate-DividendYield+0.5*M7^2)*TimeToExpiration)/(M7*TimeToExpiration^0.5), 0, 1, TRUE) - 
       $H7*EXP(-RiskFreeRate*TimeToExpiration)*_xlfn.NORM.DIST(N$2*(LN(Underlying/$H7)+(RiskFreeRate-DividendYield-0.5*M7^2)*TimeToExpiration)/(M7*TimeToExpiration^0.5), 0, 1, TRUE)
)</f>
        <v>11.68613444</v>
      </c>
      <c r="O7" s="41">
        <f t="shared" si="6"/>
        <v>0.001</v>
      </c>
      <c r="P7" s="40">
        <f t="shared" si="7"/>
        <v>1.5005</v>
      </c>
      <c r="Q7" s="7">
        <f>Q$2*(Underlying*EXP(-DividendYield*TimeToExpiration)*_xlfn.NORM.DIST(Q$2*(LN(Underlying/$H7)+(RiskFreeRate-DividendYield+0.5*O7^2)*TimeToExpiration)/(O7*TimeToExpiration^0.5), 0, 1, TRUE) - 
       $H7*EXP(-RiskFreeRate*TimeToExpiration)*_xlfn.NORM.DIST(Q$2*(LN(Underlying/$H7)+(RiskFreeRate-DividendYield-0.5*O7^2)*TimeToExpiration)/(O7*TimeToExpiration^0.5), 0, 1, TRUE)
)</f>
        <v>0</v>
      </c>
      <c r="R7" s="7">
        <f>R$2*(Underlying*EXP(-DividendYield*TimeToExpiration)*_xlfn.NORM.DIST(R$2*(LN(Underlying/$H7)+(RiskFreeRate-DividendYield+0.5*P7^2)*TimeToExpiration)/(P7*TimeToExpiration^0.5), 0, 1, TRUE) - 
       $H7*EXP(-RiskFreeRate*TimeToExpiration)*_xlfn.NORM.DIST(R$2*(LN(Underlying/$H7)+(RiskFreeRate-DividendYield-0.5*P7^2)*TimeToExpiration)/(P7*TimeToExpiration^0.5), 0, 1, TRUE)
)</f>
        <v>11.68613444</v>
      </c>
      <c r="S7" s="40">
        <f t="shared" si="8"/>
        <v>0.75075</v>
      </c>
      <c r="T7" s="8">
        <f>T$2*(Underlying*EXP(-DividendYield*TimeToExpiration)*_xlfn.NORM.DIST(T$2*(LN(Underlying/$H7)+(RiskFreeRate-DividendYield+0.5*S7^2)*TimeToExpiration)/(S7*TimeToExpiration^0.5), 0, 1, TRUE) - 
       $H7*EXP(-RiskFreeRate*TimeToExpiration)*_xlfn.NORM.DIST(T$2*(LN(Underlying/$H7)+(RiskFreeRate-DividendYield-0.5*S7^2)*TimeToExpiration)/(S7*TimeToExpiration^0.5), 0, 1, TRUE)
)</f>
        <v>2.032314553</v>
      </c>
      <c r="U7" s="41">
        <f t="shared" si="9"/>
        <v>0.001</v>
      </c>
      <c r="V7" s="40">
        <f t="shared" si="10"/>
        <v>0.75075</v>
      </c>
      <c r="W7" s="7">
        <f>W$2*(Underlying*EXP(-DividendYield*TimeToExpiration)*_xlfn.NORM.DIST(W$2*(LN(Underlying/$H7)+(RiskFreeRate-DividendYield+0.5*U7^2)*TimeToExpiration)/(U7*TimeToExpiration^0.5), 0, 1, TRUE) - 
       $H7*EXP(-RiskFreeRate*TimeToExpiration)*_xlfn.NORM.DIST(W$2*(LN(Underlying/$H7)+(RiskFreeRate-DividendYield-0.5*U7^2)*TimeToExpiration)/(U7*TimeToExpiration^0.5), 0, 1, TRUE)
)</f>
        <v>0</v>
      </c>
      <c r="X7" s="7">
        <f>X$2*(Underlying*EXP(-DividendYield*TimeToExpiration)*_xlfn.NORM.DIST(X$2*(LN(Underlying/$H7)+(RiskFreeRate-DividendYield+0.5*V7^2)*TimeToExpiration)/(V7*TimeToExpiration^0.5), 0, 1, TRUE) - 
       $H7*EXP(-RiskFreeRate*TimeToExpiration)*_xlfn.NORM.DIST(X$2*(LN(Underlying/$H7)+(RiskFreeRate-DividendYield-0.5*V7^2)*TimeToExpiration)/(V7*TimeToExpiration^0.5), 0, 1, TRUE)
)</f>
        <v>2.032314553</v>
      </c>
      <c r="Y7" s="40">
        <f t="shared" si="11"/>
        <v>0.375875</v>
      </c>
      <c r="Z7" s="8">
        <f>Z$2*(Underlying*EXP(-DividendYield*TimeToExpiration)*_xlfn.NORM.DIST(Z$2*(LN(Underlying/$H7)+(RiskFreeRate-DividendYield+0.5*Y7^2)*TimeToExpiration)/(Y7*TimeToExpiration^0.5), 0, 1, TRUE) - 
       $H7*EXP(-RiskFreeRate*TimeToExpiration)*_xlfn.NORM.DIST(Z$2*(LN(Underlying/$H7)+(RiskFreeRate-DividendYield-0.5*Y7^2)*TimeToExpiration)/(Y7*TimeToExpiration^0.5), 0, 1, TRUE)
)</f>
        <v>0.05687513196</v>
      </c>
      <c r="AA7" s="40">
        <f t="shared" si="12"/>
        <v>0.375875</v>
      </c>
      <c r="AB7" s="40">
        <f t="shared" si="13"/>
        <v>0.75075</v>
      </c>
      <c r="AC7" s="7">
        <f>AC$2*(Underlying*EXP(-DividendYield*TimeToExpiration)*_xlfn.NORM.DIST(AC$2*(LN(Underlying/$H7)+(RiskFreeRate-DividendYield+0.5*AA7^2)*TimeToExpiration)/(AA7*TimeToExpiration^0.5), 0, 1, TRUE) - 
       $H7*EXP(-RiskFreeRate*TimeToExpiration)*_xlfn.NORM.DIST(AC$2*(LN(Underlying/$H7)+(RiskFreeRate-DividendYield-0.5*AA7^2)*TimeToExpiration)/(AA7*TimeToExpiration^0.5), 0, 1, TRUE)
)</f>
        <v>0.05687513196</v>
      </c>
      <c r="AD7" s="7">
        <f>AD$2*(Underlying*EXP(-DividendYield*TimeToExpiration)*_xlfn.NORM.DIST(AD$2*(LN(Underlying/$H7)+(RiskFreeRate-DividendYield+0.5*AB7^2)*TimeToExpiration)/(AB7*TimeToExpiration^0.5), 0, 1, TRUE) - 
       $H7*EXP(-RiskFreeRate*TimeToExpiration)*_xlfn.NORM.DIST(AD$2*(LN(Underlying/$H7)+(RiskFreeRate-DividendYield-0.5*AB7^2)*TimeToExpiration)/(AB7*TimeToExpiration^0.5), 0, 1, TRUE)
)</f>
        <v>2.032314553</v>
      </c>
      <c r="AE7" s="40">
        <f t="shared" si="14"/>
        <v>0.5633125</v>
      </c>
      <c r="AF7" s="8">
        <f>AF$2*(Underlying*EXP(-DividendYield*TimeToExpiration)*_xlfn.NORM.DIST(AF$2*(LN(Underlying/$H7)+(RiskFreeRate-DividendYield+0.5*AE7^2)*TimeToExpiration)/(AE7*TimeToExpiration^0.5), 0, 1, TRUE) - 
       $H7*EXP(-RiskFreeRate*TimeToExpiration)*_xlfn.NORM.DIST(AF$2*(LN(Underlying/$H7)+(RiskFreeRate-DividendYield-0.5*AE7^2)*TimeToExpiration)/(AE7*TimeToExpiration^0.5), 0, 1, TRUE)
)</f>
        <v>0.6564464738</v>
      </c>
      <c r="AG7" s="40">
        <f t="shared" si="15"/>
        <v>0.375875</v>
      </c>
      <c r="AH7" s="40">
        <f t="shared" si="16"/>
        <v>0.5633125</v>
      </c>
      <c r="AI7" s="7">
        <f>AI$2*(Underlying*EXP(-DividendYield*TimeToExpiration)*_xlfn.NORM.DIST(AI$2*(LN(Underlying/$H7)+(RiskFreeRate-DividendYield+0.5*AG7^2)*TimeToExpiration)/(AG7*TimeToExpiration^0.5), 0, 1, TRUE) - 
       $H7*EXP(-RiskFreeRate*TimeToExpiration)*_xlfn.NORM.DIST(AI$2*(LN(Underlying/$H7)+(RiskFreeRate-DividendYield-0.5*AG7^2)*TimeToExpiration)/(AG7*TimeToExpiration^0.5), 0, 1, TRUE)
)</f>
        <v>0.05687513196</v>
      </c>
      <c r="AJ7" s="7">
        <f>AJ$2*(Underlying*EXP(-DividendYield*TimeToExpiration)*_xlfn.NORM.DIST(AJ$2*(LN(Underlying/$H7)+(RiskFreeRate-DividendYield+0.5*AH7^2)*TimeToExpiration)/(AH7*TimeToExpiration^0.5), 0, 1, TRUE) - 
       $H7*EXP(-RiskFreeRate*TimeToExpiration)*_xlfn.NORM.DIST(AJ$2*(LN(Underlying/$H7)+(RiskFreeRate-DividendYield-0.5*AH7^2)*TimeToExpiration)/(AH7*TimeToExpiration^0.5), 0, 1, TRUE)
)</f>
        <v>0.6564464738</v>
      </c>
      <c r="AK7" s="40">
        <f t="shared" si="17"/>
        <v>0.46959375</v>
      </c>
      <c r="AL7" s="8">
        <f>AL$2*(Underlying*EXP(-DividendYield*TimeToExpiration)*_xlfn.NORM.DIST(AL$2*(LN(Underlying/$H7)+(RiskFreeRate-DividendYield+0.5*AK7^2)*TimeToExpiration)/(AK7*TimeToExpiration^0.5), 0, 1, TRUE) - 
       $H7*EXP(-RiskFreeRate*TimeToExpiration)*_xlfn.NORM.DIST(AL$2*(LN(Underlying/$H7)+(RiskFreeRate-DividendYield-0.5*AK7^2)*TimeToExpiration)/(AK7*TimeToExpiration^0.5), 0, 1, TRUE)
)</f>
        <v>0.2563581843</v>
      </c>
      <c r="AM7" s="40">
        <f t="shared" si="18"/>
        <v>0.46959375</v>
      </c>
      <c r="AN7" s="40">
        <f t="shared" si="19"/>
        <v>0.5633125</v>
      </c>
      <c r="AO7" s="7">
        <f>AO$2*(Underlying*EXP(-DividendYield*TimeToExpiration)*_xlfn.NORM.DIST(AO$2*(LN(Underlying/$H7)+(RiskFreeRate-DividendYield+0.5*AM7^2)*TimeToExpiration)/(AM7*TimeToExpiration^0.5), 0, 1, TRUE) - 
       $H7*EXP(-RiskFreeRate*TimeToExpiration)*_xlfn.NORM.DIST(AO$2*(LN(Underlying/$H7)+(RiskFreeRate-DividendYield-0.5*AM7^2)*TimeToExpiration)/(AM7*TimeToExpiration^0.5), 0, 1, TRUE)
)</f>
        <v>0.2563581843</v>
      </c>
      <c r="AP7" s="7">
        <f>AP$2*(Underlying*EXP(-DividendYield*TimeToExpiration)*_xlfn.NORM.DIST(AP$2*(LN(Underlying/$H7)+(RiskFreeRate-DividendYield+0.5*AN7^2)*TimeToExpiration)/(AN7*TimeToExpiration^0.5), 0, 1, TRUE) - 
       $H7*EXP(-RiskFreeRate*TimeToExpiration)*_xlfn.NORM.DIST(AP$2*(LN(Underlying/$H7)+(RiskFreeRate-DividendYield-0.5*AN7^2)*TimeToExpiration)/(AN7*TimeToExpiration^0.5), 0, 1, TRUE)
)</f>
        <v>0.6564464738</v>
      </c>
      <c r="AQ7" s="40">
        <f t="shared" si="20"/>
        <v>0.516453125</v>
      </c>
      <c r="AR7" s="8">
        <f>AR$2*(Underlying*EXP(-DividendYield*TimeToExpiration)*_xlfn.NORM.DIST(AR$2*(LN(Underlying/$H7)+(RiskFreeRate-DividendYield+0.5*AQ7^2)*TimeToExpiration)/(AQ7*TimeToExpiration^0.5), 0, 1, TRUE) - 
       $H7*EXP(-RiskFreeRate*TimeToExpiration)*_xlfn.NORM.DIST(AR$2*(LN(Underlying/$H7)+(RiskFreeRate-DividendYield-0.5*AQ7^2)*TimeToExpiration)/(AQ7*TimeToExpiration^0.5), 0, 1, TRUE)
)</f>
        <v>0.4304151951</v>
      </c>
      <c r="AS7" s="40">
        <f t="shared" si="21"/>
        <v>0.46959375</v>
      </c>
      <c r="AT7" s="40">
        <f t="shared" si="22"/>
        <v>0.516453125</v>
      </c>
      <c r="AU7" s="7">
        <f>AU$2*(Underlying*EXP(-DividendYield*TimeToExpiration)*_xlfn.NORM.DIST(AU$2*(LN(Underlying/$H7)+(RiskFreeRate-DividendYield+0.5*AS7^2)*TimeToExpiration)/(AS7*TimeToExpiration^0.5), 0, 1, TRUE) - 
       $H7*EXP(-RiskFreeRate*TimeToExpiration)*_xlfn.NORM.DIST(AU$2*(LN(Underlying/$H7)+(RiskFreeRate-DividendYield-0.5*AS7^2)*TimeToExpiration)/(AS7*TimeToExpiration^0.5), 0, 1, TRUE)
)</f>
        <v>0.2563581843</v>
      </c>
      <c r="AV7" s="7">
        <f>AV$2*(Underlying*EXP(-DividendYield*TimeToExpiration)*_xlfn.NORM.DIST(AV$2*(LN(Underlying/$H7)+(RiskFreeRate-DividendYield+0.5*AT7^2)*TimeToExpiration)/(AT7*TimeToExpiration^0.5), 0, 1, TRUE) - 
       $H7*EXP(-RiskFreeRate*TimeToExpiration)*_xlfn.NORM.DIST(AV$2*(LN(Underlying/$H7)+(RiskFreeRate-DividendYield-0.5*AT7^2)*TimeToExpiration)/(AT7*TimeToExpiration^0.5), 0, 1, TRUE)
)</f>
        <v>0.4304151951</v>
      </c>
      <c r="AW7" s="40">
        <f t="shared" si="23"/>
        <v>0.4930234375</v>
      </c>
      <c r="AX7" s="8">
        <f>AX$2*(Underlying*EXP(-DividendYield*TimeToExpiration)*_xlfn.NORM.DIST(AX$2*(LN(Underlying/$H7)+(RiskFreeRate-DividendYield+0.5*AW7^2)*TimeToExpiration)/(AW7*TimeToExpiration^0.5), 0, 1, TRUE) - 
       $H7*EXP(-RiskFreeRate*TimeToExpiration)*_xlfn.NORM.DIST(AX$2*(LN(Underlying/$H7)+(RiskFreeRate-DividendYield-0.5*AW7^2)*TimeToExpiration)/(AW7*TimeToExpiration^0.5), 0, 1, TRUE)
)</f>
        <v>0.3368754389</v>
      </c>
      <c r="AY7" s="40">
        <f t="shared" si="24"/>
        <v>0.46959375</v>
      </c>
      <c r="AZ7" s="40">
        <f t="shared" si="25"/>
        <v>0.4930234375</v>
      </c>
      <c r="BA7" s="7">
        <f>BA$2*(Underlying*EXP(-DividendYield*TimeToExpiration)*_xlfn.NORM.DIST(BA$2*(LN(Underlying/$H7)+(RiskFreeRate-DividendYield+0.5*AY7^2)*TimeToExpiration)/(AY7*TimeToExpiration^0.5), 0, 1, TRUE) - 
       $H7*EXP(-RiskFreeRate*TimeToExpiration)*_xlfn.NORM.DIST(BA$2*(LN(Underlying/$H7)+(RiskFreeRate-DividendYield-0.5*AY7^2)*TimeToExpiration)/(AY7*TimeToExpiration^0.5), 0, 1, TRUE)
)</f>
        <v>0.2563581843</v>
      </c>
      <c r="BB7" s="7">
        <f>BB$2*(Underlying*EXP(-DividendYield*TimeToExpiration)*_xlfn.NORM.DIST(BB$2*(LN(Underlying/$H7)+(RiskFreeRate-DividendYield+0.5*AZ7^2)*TimeToExpiration)/(AZ7*TimeToExpiration^0.5), 0, 1, TRUE) - 
       $H7*EXP(-RiskFreeRate*TimeToExpiration)*_xlfn.NORM.DIST(BB$2*(LN(Underlying/$H7)+(RiskFreeRate-DividendYield-0.5*AZ7^2)*TimeToExpiration)/(AZ7*TimeToExpiration^0.5), 0, 1, TRUE)
)</f>
        <v>0.3368754389</v>
      </c>
      <c r="BC7" s="40">
        <f t="shared" si="26"/>
        <v>0.4813085938</v>
      </c>
      <c r="BD7" s="8">
        <f>BD$2*(Underlying*EXP(-DividendYield*TimeToExpiration)*_xlfn.NORM.DIST(BD$2*(LN(Underlying/$H7)+(RiskFreeRate-DividendYield+0.5*BC7^2)*TimeToExpiration)/(BC7*TimeToExpiration^0.5), 0, 1, TRUE) - 
       $H7*EXP(-RiskFreeRate*TimeToExpiration)*_xlfn.NORM.DIST(BD$2*(LN(Underlying/$H7)+(RiskFreeRate-DividendYield-0.5*BC7^2)*TimeToExpiration)/(BC7*TimeToExpiration^0.5), 0, 1, TRUE)
)</f>
        <v>0.2949965101</v>
      </c>
      <c r="BE7" s="40">
        <f t="shared" si="27"/>
        <v>0.4813085938</v>
      </c>
      <c r="BF7" s="40">
        <f t="shared" si="28"/>
        <v>0.4930234375</v>
      </c>
      <c r="BG7" s="7">
        <f>BG$2*(Underlying*EXP(-DividendYield*TimeToExpiration)*_xlfn.NORM.DIST(BG$2*(LN(Underlying/$H7)+(RiskFreeRate-DividendYield+0.5*BE7^2)*TimeToExpiration)/(BE7*TimeToExpiration^0.5), 0, 1, TRUE) - 
       $H7*EXP(-RiskFreeRate*TimeToExpiration)*_xlfn.NORM.DIST(BG$2*(LN(Underlying/$H7)+(RiskFreeRate-DividendYield-0.5*BE7^2)*TimeToExpiration)/(BE7*TimeToExpiration^0.5), 0, 1, TRUE)
)</f>
        <v>0.2949965101</v>
      </c>
      <c r="BH7" s="7">
        <f>BH$2*(Underlying*EXP(-DividendYield*TimeToExpiration)*_xlfn.NORM.DIST(BH$2*(LN(Underlying/$H7)+(RiskFreeRate-DividendYield+0.5*BF7^2)*TimeToExpiration)/(BF7*TimeToExpiration^0.5), 0, 1, TRUE) - 
       $H7*EXP(-RiskFreeRate*TimeToExpiration)*_xlfn.NORM.DIST(BH$2*(LN(Underlying/$H7)+(RiskFreeRate-DividendYield-0.5*BF7^2)*TimeToExpiration)/(BF7*TimeToExpiration^0.5), 0, 1, TRUE)
)</f>
        <v>0.3368754389</v>
      </c>
      <c r="BI7" s="40">
        <f t="shared" si="29"/>
        <v>0.4871660156</v>
      </c>
      <c r="BJ7" s="8">
        <f>BJ$2*(Underlying*EXP(-DividendYield*TimeToExpiration)*_xlfn.NORM.DIST(BJ$2*(LN(Underlying/$H7)+(RiskFreeRate-DividendYield+0.5*BI7^2)*TimeToExpiration)/(BI7*TimeToExpiration^0.5), 0, 1, TRUE) - 
       $H7*EXP(-RiskFreeRate*TimeToExpiration)*_xlfn.NORM.DIST(BJ$2*(LN(Underlying/$H7)+(RiskFreeRate-DividendYield-0.5*BI7^2)*TimeToExpiration)/(BI7*TimeToExpiration^0.5), 0, 1, TRUE)
)</f>
        <v>0.3155294819</v>
      </c>
      <c r="BK7" s="40">
        <f t="shared" si="30"/>
        <v>0.4813085938</v>
      </c>
      <c r="BL7" s="40">
        <f t="shared" si="31"/>
        <v>0.4871660156</v>
      </c>
      <c r="BM7" s="7">
        <f>BM$2*(Underlying*EXP(-DividendYield*TimeToExpiration)*_xlfn.NORM.DIST(BM$2*(LN(Underlying/$H7)+(RiskFreeRate-DividendYield+0.5*BK7^2)*TimeToExpiration)/(BK7*TimeToExpiration^0.5), 0, 1, TRUE) - 
       $H7*EXP(-RiskFreeRate*TimeToExpiration)*_xlfn.NORM.DIST(BM$2*(LN(Underlying/$H7)+(RiskFreeRate-DividendYield-0.5*BK7^2)*TimeToExpiration)/(BK7*TimeToExpiration^0.5), 0, 1, TRUE)
)</f>
        <v>0.2949965101</v>
      </c>
      <c r="BN7" s="7">
        <f>BN$2*(Underlying*EXP(-DividendYield*TimeToExpiration)*_xlfn.NORM.DIST(BN$2*(LN(Underlying/$H7)+(RiskFreeRate-DividendYield+0.5*BL7^2)*TimeToExpiration)/(BL7*TimeToExpiration^0.5), 0, 1, TRUE) - 
       $H7*EXP(-RiskFreeRate*TimeToExpiration)*_xlfn.NORM.DIST(BN$2*(LN(Underlying/$H7)+(RiskFreeRate-DividendYield-0.5*BL7^2)*TimeToExpiration)/(BL7*TimeToExpiration^0.5), 0, 1, TRUE)
)</f>
        <v>0.3155294819</v>
      </c>
      <c r="BO7" s="40">
        <f t="shared" si="32"/>
        <v>0.4842373047</v>
      </c>
      <c r="BP7" s="8">
        <f>BP$2*(Underlying*EXP(-DividendYield*TimeToExpiration)*_xlfn.NORM.DIST(BP$2*(LN(Underlying/$H7)+(RiskFreeRate-DividendYield+0.5*BO7^2)*TimeToExpiration)/(BO7*TimeToExpiration^0.5), 0, 1, TRUE) - 
       $H7*EXP(-RiskFreeRate*TimeToExpiration)*_xlfn.NORM.DIST(BP$2*(LN(Underlying/$H7)+(RiskFreeRate-DividendYield-0.5*BO7^2)*TimeToExpiration)/(BO7*TimeToExpiration^0.5), 0, 1, TRUE)
)</f>
        <v>0.3051615184</v>
      </c>
      <c r="BQ7" s="40">
        <f t="shared" si="33"/>
        <v>0.4842373047</v>
      </c>
      <c r="BR7" s="40">
        <f t="shared" si="34"/>
        <v>0.4871660156</v>
      </c>
      <c r="BS7" s="7">
        <f>BS$2*(Underlying*EXP(-DividendYield*TimeToExpiration)*_xlfn.NORM.DIST(BS$2*(LN(Underlying/$H7)+(RiskFreeRate-DividendYield+0.5*BQ7^2)*TimeToExpiration)/(BQ7*TimeToExpiration^0.5), 0, 1, TRUE) - 
       $H7*EXP(-RiskFreeRate*TimeToExpiration)*_xlfn.NORM.DIST(BS$2*(LN(Underlying/$H7)+(RiskFreeRate-DividendYield-0.5*BQ7^2)*TimeToExpiration)/(BQ7*TimeToExpiration^0.5), 0, 1, TRUE)
)</f>
        <v>0.3051615184</v>
      </c>
      <c r="BT7" s="7">
        <f>BT$2*(Underlying*EXP(-DividendYield*TimeToExpiration)*_xlfn.NORM.DIST(BT$2*(LN(Underlying/$H7)+(RiskFreeRate-DividendYield+0.5*BR7^2)*TimeToExpiration)/(BR7*TimeToExpiration^0.5), 0, 1, TRUE) - 
       $H7*EXP(-RiskFreeRate*TimeToExpiration)*_xlfn.NORM.DIST(BT$2*(LN(Underlying/$H7)+(RiskFreeRate-DividendYield-0.5*BR7^2)*TimeToExpiration)/(BR7*TimeToExpiration^0.5), 0, 1, TRUE)
)</f>
        <v>0.3155294819</v>
      </c>
      <c r="BU7" s="40">
        <f t="shared" si="35"/>
        <v>0.4857016602</v>
      </c>
      <c r="BV7" s="8">
        <f>BV$2*(Underlying*EXP(-DividendYield*TimeToExpiration)*_xlfn.NORM.DIST(BV$2*(LN(Underlying/$H7)+(RiskFreeRate-DividendYield+0.5*BU7^2)*TimeToExpiration)/(BU7*TimeToExpiration^0.5), 0, 1, TRUE) - 
       $H7*EXP(-RiskFreeRate*TimeToExpiration)*_xlfn.NORM.DIST(BV$2*(LN(Underlying/$H7)+(RiskFreeRate-DividendYield-0.5*BU7^2)*TimeToExpiration)/(BU7*TimeToExpiration^0.5), 0, 1, TRUE)
)</f>
        <v>0.3103201106</v>
      </c>
      <c r="BW7" s="40">
        <f t="shared" si="36"/>
        <v>0.4857016602</v>
      </c>
      <c r="BX7" s="40">
        <f t="shared" si="37"/>
        <v>0.4871660156</v>
      </c>
      <c r="BY7" s="7">
        <f>BY$2*(Underlying*EXP(-DividendYield*TimeToExpiration)*_xlfn.NORM.DIST(BY$2*(LN(Underlying/$H7)+(RiskFreeRate-DividendYield+0.5*BW7^2)*TimeToExpiration)/(BW7*TimeToExpiration^0.5), 0, 1, TRUE) - 
       $H7*EXP(-RiskFreeRate*TimeToExpiration)*_xlfn.NORM.DIST(BY$2*(LN(Underlying/$H7)+(RiskFreeRate-DividendYield-0.5*BW7^2)*TimeToExpiration)/(BW7*TimeToExpiration^0.5), 0, 1, TRUE)
)</f>
        <v>0.3103201106</v>
      </c>
      <c r="BZ7" s="7">
        <f>BZ$2*(Underlying*EXP(-DividendYield*TimeToExpiration)*_xlfn.NORM.DIST(BZ$2*(LN(Underlying/$H7)+(RiskFreeRate-DividendYield+0.5*BX7^2)*TimeToExpiration)/(BX7*TimeToExpiration^0.5), 0, 1, TRUE) - 
       $H7*EXP(-RiskFreeRate*TimeToExpiration)*_xlfn.NORM.DIST(BZ$2*(LN(Underlying/$H7)+(RiskFreeRate-DividendYield-0.5*BX7^2)*TimeToExpiration)/(BX7*TimeToExpiration^0.5), 0, 1, TRUE)
)</f>
        <v>0.3155294819</v>
      </c>
      <c r="CA7" s="40">
        <f t="shared" si="38"/>
        <v>0.4864338379</v>
      </c>
      <c r="CB7" s="8">
        <f>CB$2*(Underlying*EXP(-DividendYield*TimeToExpiration)*_xlfn.NORM.DIST(CB$2*(LN(Underlying/$H7)+(RiskFreeRate-DividendYield+0.5*CA7^2)*TimeToExpiration)/(CA7*TimeToExpiration^0.5), 0, 1, TRUE) - 
       $H7*EXP(-RiskFreeRate*TimeToExpiration)*_xlfn.NORM.DIST(CB$2*(LN(Underlying/$H7)+(RiskFreeRate-DividendYield-0.5*CA7^2)*TimeToExpiration)/(CA7*TimeToExpiration^0.5), 0, 1, TRUE)
)</f>
        <v>0.3129184465</v>
      </c>
      <c r="CC7" s="40">
        <f t="shared" si="39"/>
        <v>0.4864338379</v>
      </c>
      <c r="CD7" s="40">
        <f t="shared" si="40"/>
        <v>0.4871660156</v>
      </c>
      <c r="CE7" s="7">
        <f>CE$2*(Underlying*EXP(-DividendYield*TimeToExpiration)*_xlfn.NORM.DIST(CE$2*(LN(Underlying/$H7)+(RiskFreeRate-DividendYield+0.5*CC7^2)*TimeToExpiration)/(CC7*TimeToExpiration^0.5), 0, 1, TRUE) - 
       $H7*EXP(-RiskFreeRate*TimeToExpiration)*_xlfn.NORM.DIST(CE$2*(LN(Underlying/$H7)+(RiskFreeRate-DividendYield-0.5*CC7^2)*TimeToExpiration)/(CC7*TimeToExpiration^0.5), 0, 1, TRUE)
)</f>
        <v>0.3129184465</v>
      </c>
      <c r="CF7" s="7">
        <f>CF$2*(Underlying*EXP(-DividendYield*TimeToExpiration)*_xlfn.NORM.DIST(CF$2*(LN(Underlying/$H7)+(RiskFreeRate-DividendYield+0.5*CD7^2)*TimeToExpiration)/(CD7*TimeToExpiration^0.5), 0, 1, TRUE) - 
       $H7*EXP(-RiskFreeRate*TimeToExpiration)*_xlfn.NORM.DIST(CF$2*(LN(Underlying/$H7)+(RiskFreeRate-DividendYield-0.5*CD7^2)*TimeToExpiration)/(CD7*TimeToExpiration^0.5), 0, 1, TRUE)
)</f>
        <v>0.3155294819</v>
      </c>
      <c r="CG7" s="40">
        <f t="shared" si="41"/>
        <v>0.4867999268</v>
      </c>
      <c r="CH7" s="8">
        <f>CH$2*(Underlying*EXP(-DividendYield*TimeToExpiration)*_xlfn.NORM.DIST(CH$2*(LN(Underlying/$H7)+(RiskFreeRate-DividendYield+0.5*CG7^2)*TimeToExpiration)/(CG7*TimeToExpiration^0.5), 0, 1, TRUE) - 
       $H7*EXP(-RiskFreeRate*TimeToExpiration)*_xlfn.NORM.DIST(CH$2*(LN(Underlying/$H7)+(RiskFreeRate-DividendYield-0.5*CG7^2)*TimeToExpiration)/(CG7*TimeToExpiration^0.5), 0, 1, TRUE)
)</f>
        <v>0.3142223765</v>
      </c>
      <c r="CI7" s="40">
        <f t="shared" si="42"/>
        <v>0.4867999268</v>
      </c>
      <c r="CJ7" s="40">
        <f t="shared" si="43"/>
        <v>0.4871660156</v>
      </c>
      <c r="CK7" s="7">
        <f>CK$2*(Underlying*EXP(-DividendYield*TimeToExpiration)*_xlfn.NORM.DIST(CK$2*(LN(Underlying/$H7)+(RiskFreeRate-DividendYield+0.5*CI7^2)*TimeToExpiration)/(CI7*TimeToExpiration^0.5), 0, 1, TRUE) - 
       $H7*EXP(-RiskFreeRate*TimeToExpiration)*_xlfn.NORM.DIST(CK$2*(LN(Underlying/$H7)+(RiskFreeRate-DividendYield-0.5*CI7^2)*TimeToExpiration)/(CI7*TimeToExpiration^0.5), 0, 1, TRUE)
)</f>
        <v>0.3142223765</v>
      </c>
      <c r="CL7" s="7">
        <f>CL$2*(Underlying*EXP(-DividendYield*TimeToExpiration)*_xlfn.NORM.DIST(CL$2*(LN(Underlying/$H7)+(RiskFreeRate-DividendYield+0.5*CJ7^2)*TimeToExpiration)/(CJ7*TimeToExpiration^0.5), 0, 1, TRUE) - 
       $H7*EXP(-RiskFreeRate*TimeToExpiration)*_xlfn.NORM.DIST(CL$2*(LN(Underlying/$H7)+(RiskFreeRate-DividendYield-0.5*CJ7^2)*TimeToExpiration)/(CJ7*TimeToExpiration^0.5), 0, 1, TRUE)
)</f>
        <v>0.3155294819</v>
      </c>
      <c r="CM7" s="40">
        <f t="shared" si="44"/>
        <v>0.4869829712</v>
      </c>
      <c r="CN7" s="8">
        <f>CN$2*(Underlying*EXP(-DividendYield*TimeToExpiration)*_xlfn.NORM.DIST(CN$2*(LN(Underlying/$H7)+(RiskFreeRate-DividendYield+0.5*CM7^2)*TimeToExpiration)/(CM7*TimeToExpiration^0.5), 0, 1, TRUE) - 
       $H7*EXP(-RiskFreeRate*TimeToExpiration)*_xlfn.NORM.DIST(CN$2*(LN(Underlying/$H7)+(RiskFreeRate-DividendYield-0.5*CM7^2)*TimeToExpiration)/(CM7*TimeToExpiration^0.5), 0, 1, TRUE)
)</f>
        <v>0.3148755322</v>
      </c>
      <c r="CO7" s="40">
        <f t="shared" si="45"/>
        <v>0.4869829712</v>
      </c>
      <c r="CP7" s="40">
        <f t="shared" si="46"/>
        <v>0.4871660156</v>
      </c>
      <c r="CQ7" s="7">
        <f>CQ$2*(Underlying*EXP(-DividendYield*TimeToExpiration)*_xlfn.NORM.DIST(CQ$2*(LN(Underlying/$H7)+(RiskFreeRate-DividendYield+0.5*CO7^2)*TimeToExpiration)/(CO7*TimeToExpiration^0.5), 0, 1, TRUE) - 
       $H7*EXP(-RiskFreeRate*TimeToExpiration)*_xlfn.NORM.DIST(CQ$2*(LN(Underlying/$H7)+(RiskFreeRate-DividendYield-0.5*CO7^2)*TimeToExpiration)/(CO7*TimeToExpiration^0.5), 0, 1, TRUE)
)</f>
        <v>0.3148755322</v>
      </c>
      <c r="CR7" s="7">
        <f>CR$2*(Underlying*EXP(-DividendYield*TimeToExpiration)*_xlfn.NORM.DIST(CR$2*(LN(Underlying/$H7)+(RiskFreeRate-DividendYield+0.5*CP7^2)*TimeToExpiration)/(CP7*TimeToExpiration^0.5), 0, 1, TRUE) - 
       $H7*EXP(-RiskFreeRate*TimeToExpiration)*_xlfn.NORM.DIST(CR$2*(LN(Underlying/$H7)+(RiskFreeRate-DividendYield-0.5*CP7^2)*TimeToExpiration)/(CP7*TimeToExpiration^0.5), 0, 1, TRUE)
)</f>
        <v>0.3155294819</v>
      </c>
      <c r="CS7" s="40">
        <f t="shared" si="47"/>
        <v>0.4870744934</v>
      </c>
      <c r="CT7" s="8">
        <f>CT$2*(Underlying*EXP(-DividendYield*TimeToExpiration)*_xlfn.NORM.DIST(CT$2*(LN(Underlying/$H7)+(RiskFreeRate-DividendYield+0.5*CS7^2)*TimeToExpiration)/(CS7*TimeToExpiration^0.5), 0, 1, TRUE) - 
       $H7*EXP(-RiskFreeRate*TimeToExpiration)*_xlfn.NORM.DIST(CT$2*(LN(Underlying/$H7)+(RiskFreeRate-DividendYield-0.5*CS7^2)*TimeToExpiration)/(CS7*TimeToExpiration^0.5), 0, 1, TRUE)
)</f>
        <v>0.3152024078</v>
      </c>
      <c r="CU7" s="40">
        <f t="shared" si="48"/>
        <v>0.4869829712</v>
      </c>
      <c r="CV7" s="40">
        <f t="shared" si="49"/>
        <v>0.4870744934</v>
      </c>
      <c r="CW7" s="7">
        <f>CW$2*(Underlying*EXP(-DividendYield*TimeToExpiration)*_xlfn.NORM.DIST(CW$2*(LN(Underlying/$H7)+(RiskFreeRate-DividendYield+0.5*CU7^2)*TimeToExpiration)/(CU7*TimeToExpiration^0.5), 0, 1, TRUE) - 
       $H7*EXP(-RiskFreeRate*TimeToExpiration)*_xlfn.NORM.DIST(CW$2*(LN(Underlying/$H7)+(RiskFreeRate-DividendYield-0.5*CU7^2)*TimeToExpiration)/(CU7*TimeToExpiration^0.5), 0, 1, TRUE)
)</f>
        <v>0.3148755322</v>
      </c>
      <c r="CX7" s="7">
        <f>CX$2*(Underlying*EXP(-DividendYield*TimeToExpiration)*_xlfn.NORM.DIST(CX$2*(LN(Underlying/$H7)+(RiskFreeRate-DividendYield+0.5*CV7^2)*TimeToExpiration)/(CV7*TimeToExpiration^0.5), 0, 1, TRUE) - 
       $H7*EXP(-RiskFreeRate*TimeToExpiration)*_xlfn.NORM.DIST(CX$2*(LN(Underlying/$H7)+(RiskFreeRate-DividendYield-0.5*CV7^2)*TimeToExpiration)/(CV7*TimeToExpiration^0.5), 0, 1, TRUE)
)</f>
        <v>0.3152024078</v>
      </c>
      <c r="CY7" s="40">
        <f t="shared" si="50"/>
        <v>0.4870287323</v>
      </c>
      <c r="CZ7" s="8">
        <f>CZ$2*(Underlying*EXP(-DividendYield*TimeToExpiration)*_xlfn.NORM.DIST(CZ$2*(LN(Underlying/$H7)+(RiskFreeRate-DividendYield+0.5*CY7^2)*TimeToExpiration)/(CY7*TimeToExpiration^0.5), 0, 1, TRUE) - 
       $H7*EXP(-RiskFreeRate*TimeToExpiration)*_xlfn.NORM.DIST(CZ$2*(LN(Underlying/$H7)+(RiskFreeRate-DividendYield-0.5*CY7^2)*TimeToExpiration)/(CY7*TimeToExpiration^0.5), 0, 1, TRUE)
)</f>
        <v>0.3150389452</v>
      </c>
      <c r="DA7" s="40">
        <f t="shared" si="51"/>
        <v>0.4869829712</v>
      </c>
      <c r="DB7" s="40">
        <f t="shared" si="52"/>
        <v>0.4870287323</v>
      </c>
      <c r="DC7" s="7">
        <f>DC$2*(Underlying*EXP(-DividendYield*TimeToExpiration)*_xlfn.NORM.DIST(DC$2*(LN(Underlying/$H7)+(RiskFreeRate-DividendYield+0.5*DA7^2)*TimeToExpiration)/(DA7*TimeToExpiration^0.5), 0, 1, TRUE) - 
       $H7*EXP(-RiskFreeRate*TimeToExpiration)*_xlfn.NORM.DIST(DC$2*(LN(Underlying/$H7)+(RiskFreeRate-DividendYield-0.5*DA7^2)*TimeToExpiration)/(DA7*TimeToExpiration^0.5), 0, 1, TRUE)
)</f>
        <v>0.3148755322</v>
      </c>
      <c r="DD7" s="7">
        <f>DD$2*(Underlying*EXP(-DividendYield*TimeToExpiration)*_xlfn.NORM.DIST(DD$2*(LN(Underlying/$H7)+(RiskFreeRate-DividendYield+0.5*DB7^2)*TimeToExpiration)/(DB7*TimeToExpiration^0.5), 0, 1, TRUE) - 
       $H7*EXP(-RiskFreeRate*TimeToExpiration)*_xlfn.NORM.DIST(DD$2*(LN(Underlying/$H7)+(RiskFreeRate-DividendYield-0.5*DB7^2)*TimeToExpiration)/(DB7*TimeToExpiration^0.5), 0, 1, TRUE)
)</f>
        <v>0.3150389452</v>
      </c>
      <c r="DE7" s="40">
        <f t="shared" si="53"/>
        <v>0.4870058517</v>
      </c>
      <c r="DF7" s="8">
        <f>DF$2*(Underlying*EXP(-DividendYield*TimeToExpiration)*_xlfn.NORM.DIST(DF$2*(LN(Underlying/$H7)+(RiskFreeRate-DividendYield+0.5*DE7^2)*TimeToExpiration)/(DE7*TimeToExpiration^0.5), 0, 1, TRUE) - 
       $H7*EXP(-RiskFreeRate*TimeToExpiration)*_xlfn.NORM.DIST(DF$2*(LN(Underlying/$H7)+(RiskFreeRate-DividendYield-0.5*DE7^2)*TimeToExpiration)/(DE7*TimeToExpiration^0.5), 0, 1, TRUE)
)</f>
        <v>0.3149572325</v>
      </c>
    </row>
    <row r="8">
      <c r="A8" s="20">
        <f>'Option Mkt Data'!A8</f>
        <v>302.5</v>
      </c>
      <c r="B8" s="35">
        <f t="shared" ref="B8:C8" si="55">DE8</f>
        <v>0.4726826248</v>
      </c>
      <c r="C8" s="7">
        <f t="shared" si="55"/>
        <v>0.3650577523</v>
      </c>
      <c r="D8" s="7">
        <f t="shared" si="3"/>
        <v>0.00005774277535</v>
      </c>
      <c r="E8" s="9">
        <f t="shared" si="4"/>
        <v>0.0001581993804</v>
      </c>
      <c r="F8" s="36">
        <f>D8/'Option Mkt Data'!M8</f>
        <v>0.005774282732</v>
      </c>
      <c r="G8" s="5">
        <f>'Option Mkt Data'!K8</f>
        <v>0.3650000095</v>
      </c>
      <c r="H8" s="33">
        <f>'Option Mkt Data'!A8</f>
        <v>302.5</v>
      </c>
      <c r="I8" s="37">
        <f>MinSolverVola</f>
        <v>0.001</v>
      </c>
      <c r="J8" s="38">
        <f>MaxSolverVola</f>
        <v>3</v>
      </c>
      <c r="K8" s="39">
        <f>K$2*(Underlying*EXP(-DividendYield*TimeToExpiration)*_xlfn.NORM.DIST(K$2*(LN(Underlying/$H8)+(RiskFreeRate-DividendYield+0.5*I8^2)*TimeToExpiration)/(I8*TimeToExpiration^0.5), 0, 1, TRUE) - 
       $H8*EXP(-RiskFreeRate*TimeToExpiration)*_xlfn.NORM.DIST(K$2*(LN(Underlying/$H8)+(RiskFreeRate-DividendYield-0.5*I8^2)*TimeToExpiration)/(I8*TimeToExpiration^0.5), 0, 1, TRUE)
)</f>
        <v>0</v>
      </c>
      <c r="L8" s="7">
        <f>L$2*(Underlying*EXP(-DividendYield*TimeToExpiration)*_xlfn.NORM.DIST(L$2*(LN(Underlying/$H8)+(RiskFreeRate-DividendYield+0.5*J8^2)*TimeToExpiration)/(J8*TimeToExpiration^0.5), 0, 1, TRUE) - 
       $H8*EXP(-RiskFreeRate*TimeToExpiration)*_xlfn.NORM.DIST(L$2*(LN(Underlying/$H8)+(RiskFreeRate-DividendYield-0.5*J8^2)*TimeToExpiration)/(J8*TimeToExpiration^0.5), 0, 1, TRUE)
)</f>
        <v>37.32734145</v>
      </c>
      <c r="M8" s="40">
        <f t="shared" si="5"/>
        <v>1.5005</v>
      </c>
      <c r="N8" s="8">
        <f>N$2*(Underlying*EXP(-DividendYield*TimeToExpiration)*_xlfn.NORM.DIST(N$2*(LN(Underlying/$H8)+(RiskFreeRate-DividendYield+0.5*M8^2)*TimeToExpiration)/(M8*TimeToExpiration^0.5), 0, 1, TRUE) - 
       $H8*EXP(-RiskFreeRate*TimeToExpiration)*_xlfn.NORM.DIST(N$2*(LN(Underlying/$H8)+(RiskFreeRate-DividendYield-0.5*M8^2)*TimeToExpiration)/(M8*TimeToExpiration^0.5), 0, 1, TRUE)
)</f>
        <v>12.49425178</v>
      </c>
      <c r="O8" s="41">
        <f t="shared" si="6"/>
        <v>0.001</v>
      </c>
      <c r="P8" s="40">
        <f t="shared" si="7"/>
        <v>1.5005</v>
      </c>
      <c r="Q8" s="7">
        <f>Q$2*(Underlying*EXP(-DividendYield*TimeToExpiration)*_xlfn.NORM.DIST(Q$2*(LN(Underlying/$H8)+(RiskFreeRate-DividendYield+0.5*O8^2)*TimeToExpiration)/(O8*TimeToExpiration^0.5), 0, 1, TRUE) - 
       $H8*EXP(-RiskFreeRate*TimeToExpiration)*_xlfn.NORM.DIST(Q$2*(LN(Underlying/$H8)+(RiskFreeRate-DividendYield-0.5*O8^2)*TimeToExpiration)/(O8*TimeToExpiration^0.5), 0, 1, TRUE)
)</f>
        <v>0</v>
      </c>
      <c r="R8" s="7">
        <f>R$2*(Underlying*EXP(-DividendYield*TimeToExpiration)*_xlfn.NORM.DIST(R$2*(LN(Underlying/$H8)+(RiskFreeRate-DividendYield+0.5*P8^2)*TimeToExpiration)/(P8*TimeToExpiration^0.5), 0, 1, TRUE) - 
       $H8*EXP(-RiskFreeRate*TimeToExpiration)*_xlfn.NORM.DIST(R$2*(LN(Underlying/$H8)+(RiskFreeRate-DividendYield-0.5*P8^2)*TimeToExpiration)/(P8*TimeToExpiration^0.5), 0, 1, TRUE)
)</f>
        <v>12.49425178</v>
      </c>
      <c r="S8" s="40">
        <f t="shared" si="8"/>
        <v>0.75075</v>
      </c>
      <c r="T8" s="8">
        <f>T$2*(Underlying*EXP(-DividendYield*TimeToExpiration)*_xlfn.NORM.DIST(T$2*(LN(Underlying/$H8)+(RiskFreeRate-DividendYield+0.5*S8^2)*TimeToExpiration)/(S8*TimeToExpiration^0.5), 0, 1, TRUE) - 
       $H8*EXP(-RiskFreeRate*TimeToExpiration)*_xlfn.NORM.DIST(T$2*(LN(Underlying/$H8)+(RiskFreeRate-DividendYield-0.5*S8^2)*TimeToExpiration)/(S8*TimeToExpiration^0.5), 0, 1, TRUE)
)</f>
        <v>2.385619305</v>
      </c>
      <c r="U8" s="41">
        <f t="shared" si="9"/>
        <v>0.001</v>
      </c>
      <c r="V8" s="40">
        <f t="shared" si="10"/>
        <v>0.75075</v>
      </c>
      <c r="W8" s="7">
        <f>W$2*(Underlying*EXP(-DividendYield*TimeToExpiration)*_xlfn.NORM.DIST(W$2*(LN(Underlying/$H8)+(RiskFreeRate-DividendYield+0.5*U8^2)*TimeToExpiration)/(U8*TimeToExpiration^0.5), 0, 1, TRUE) - 
       $H8*EXP(-RiskFreeRate*TimeToExpiration)*_xlfn.NORM.DIST(W$2*(LN(Underlying/$H8)+(RiskFreeRate-DividendYield-0.5*U8^2)*TimeToExpiration)/(U8*TimeToExpiration^0.5), 0, 1, TRUE)
)</f>
        <v>0</v>
      </c>
      <c r="X8" s="7">
        <f>X$2*(Underlying*EXP(-DividendYield*TimeToExpiration)*_xlfn.NORM.DIST(X$2*(LN(Underlying/$H8)+(RiskFreeRate-DividendYield+0.5*V8^2)*TimeToExpiration)/(V8*TimeToExpiration^0.5), 0, 1, TRUE) - 
       $H8*EXP(-RiskFreeRate*TimeToExpiration)*_xlfn.NORM.DIST(X$2*(LN(Underlying/$H8)+(RiskFreeRate-DividendYield-0.5*V8^2)*TimeToExpiration)/(V8*TimeToExpiration^0.5), 0, 1, TRUE)
)</f>
        <v>2.385619305</v>
      </c>
      <c r="Y8" s="40">
        <f t="shared" si="11"/>
        <v>0.375875</v>
      </c>
      <c r="Z8" s="8">
        <f>Z$2*(Underlying*EXP(-DividendYield*TimeToExpiration)*_xlfn.NORM.DIST(Z$2*(LN(Underlying/$H8)+(RiskFreeRate-DividendYield+0.5*Y8^2)*TimeToExpiration)/(Y8*TimeToExpiration^0.5), 0, 1, TRUE) - 
       $H8*EXP(-RiskFreeRate*TimeToExpiration)*_xlfn.NORM.DIST(Z$2*(LN(Underlying/$H8)+(RiskFreeRate-DividendYield-0.5*Y8^2)*TimeToExpiration)/(Y8*TimeToExpiration^0.5), 0, 1, TRUE)
)</f>
        <v>0.08965168303</v>
      </c>
      <c r="AA8" s="40">
        <f t="shared" si="12"/>
        <v>0.375875</v>
      </c>
      <c r="AB8" s="40">
        <f t="shared" si="13"/>
        <v>0.75075</v>
      </c>
      <c r="AC8" s="7">
        <f>AC$2*(Underlying*EXP(-DividendYield*TimeToExpiration)*_xlfn.NORM.DIST(AC$2*(LN(Underlying/$H8)+(RiskFreeRate-DividendYield+0.5*AA8^2)*TimeToExpiration)/(AA8*TimeToExpiration^0.5), 0, 1, TRUE) - 
       $H8*EXP(-RiskFreeRate*TimeToExpiration)*_xlfn.NORM.DIST(AC$2*(LN(Underlying/$H8)+(RiskFreeRate-DividendYield-0.5*AA8^2)*TimeToExpiration)/(AA8*TimeToExpiration^0.5), 0, 1, TRUE)
)</f>
        <v>0.08965168303</v>
      </c>
      <c r="AD8" s="7">
        <f>AD$2*(Underlying*EXP(-DividendYield*TimeToExpiration)*_xlfn.NORM.DIST(AD$2*(LN(Underlying/$H8)+(RiskFreeRate-DividendYield+0.5*AB8^2)*TimeToExpiration)/(AB8*TimeToExpiration^0.5), 0, 1, TRUE) - 
       $H8*EXP(-RiskFreeRate*TimeToExpiration)*_xlfn.NORM.DIST(AD$2*(LN(Underlying/$H8)+(RiskFreeRate-DividendYield-0.5*AB8^2)*TimeToExpiration)/(AB8*TimeToExpiration^0.5), 0, 1, TRUE)
)</f>
        <v>2.385619305</v>
      </c>
      <c r="AE8" s="40">
        <f t="shared" si="14"/>
        <v>0.5633125</v>
      </c>
      <c r="AF8" s="8">
        <f>AF$2*(Underlying*EXP(-DividendYield*TimeToExpiration)*_xlfn.NORM.DIST(AF$2*(LN(Underlying/$H8)+(RiskFreeRate-DividendYield+0.5*AE8^2)*TimeToExpiration)/(AE8*TimeToExpiration^0.5), 0, 1, TRUE) - 
       $H8*EXP(-RiskFreeRate*TimeToExpiration)*_xlfn.NORM.DIST(AF$2*(LN(Underlying/$H8)+(RiskFreeRate-DividendYield-0.5*AE8^2)*TimeToExpiration)/(AE8*TimeToExpiration^0.5), 0, 1, TRUE)
)</f>
        <v>0.8360407181</v>
      </c>
      <c r="AG8" s="40">
        <f t="shared" si="15"/>
        <v>0.375875</v>
      </c>
      <c r="AH8" s="40">
        <f t="shared" si="16"/>
        <v>0.5633125</v>
      </c>
      <c r="AI8" s="7">
        <f>AI$2*(Underlying*EXP(-DividendYield*TimeToExpiration)*_xlfn.NORM.DIST(AI$2*(LN(Underlying/$H8)+(RiskFreeRate-DividendYield+0.5*AG8^2)*TimeToExpiration)/(AG8*TimeToExpiration^0.5), 0, 1, TRUE) - 
       $H8*EXP(-RiskFreeRate*TimeToExpiration)*_xlfn.NORM.DIST(AI$2*(LN(Underlying/$H8)+(RiskFreeRate-DividendYield-0.5*AG8^2)*TimeToExpiration)/(AG8*TimeToExpiration^0.5), 0, 1, TRUE)
)</f>
        <v>0.08965168303</v>
      </c>
      <c r="AJ8" s="7">
        <f>AJ$2*(Underlying*EXP(-DividendYield*TimeToExpiration)*_xlfn.NORM.DIST(AJ$2*(LN(Underlying/$H8)+(RiskFreeRate-DividendYield+0.5*AH8^2)*TimeToExpiration)/(AH8*TimeToExpiration^0.5), 0, 1, TRUE) - 
       $H8*EXP(-RiskFreeRate*TimeToExpiration)*_xlfn.NORM.DIST(AJ$2*(LN(Underlying/$H8)+(RiskFreeRate-DividendYield-0.5*AH8^2)*TimeToExpiration)/(AH8*TimeToExpiration^0.5), 0, 1, TRUE)
)</f>
        <v>0.8360407181</v>
      </c>
      <c r="AK8" s="40">
        <f t="shared" si="17"/>
        <v>0.46959375</v>
      </c>
      <c r="AL8" s="8">
        <f>AL$2*(Underlying*EXP(-DividendYield*TimeToExpiration)*_xlfn.NORM.DIST(AL$2*(LN(Underlying/$H8)+(RiskFreeRate-DividendYield+0.5*AK8^2)*TimeToExpiration)/(AK8*TimeToExpiration^0.5), 0, 1, TRUE) - 
       $H8*EXP(-RiskFreeRate*TimeToExpiration)*_xlfn.NORM.DIST(AL$2*(LN(Underlying/$H8)+(RiskFreeRate-DividendYield-0.5*AK8^2)*TimeToExpiration)/(AK8*TimeToExpiration^0.5), 0, 1, TRUE)
)</f>
        <v>0.3526556104</v>
      </c>
      <c r="AM8" s="40">
        <f t="shared" si="18"/>
        <v>0.46959375</v>
      </c>
      <c r="AN8" s="40">
        <f t="shared" si="19"/>
        <v>0.5633125</v>
      </c>
      <c r="AO8" s="7">
        <f>AO$2*(Underlying*EXP(-DividendYield*TimeToExpiration)*_xlfn.NORM.DIST(AO$2*(LN(Underlying/$H8)+(RiskFreeRate-DividendYield+0.5*AM8^2)*TimeToExpiration)/(AM8*TimeToExpiration^0.5), 0, 1, TRUE) - 
       $H8*EXP(-RiskFreeRate*TimeToExpiration)*_xlfn.NORM.DIST(AO$2*(LN(Underlying/$H8)+(RiskFreeRate-DividendYield-0.5*AM8^2)*TimeToExpiration)/(AM8*TimeToExpiration^0.5), 0, 1, TRUE)
)</f>
        <v>0.3526556104</v>
      </c>
      <c r="AP8" s="7">
        <f>AP$2*(Underlying*EXP(-DividendYield*TimeToExpiration)*_xlfn.NORM.DIST(AP$2*(LN(Underlying/$H8)+(RiskFreeRate-DividendYield+0.5*AN8^2)*TimeToExpiration)/(AN8*TimeToExpiration^0.5), 0, 1, TRUE) - 
       $H8*EXP(-RiskFreeRate*TimeToExpiration)*_xlfn.NORM.DIST(AP$2*(LN(Underlying/$H8)+(RiskFreeRate-DividendYield-0.5*AN8^2)*TimeToExpiration)/(AN8*TimeToExpiration^0.5), 0, 1, TRUE)
)</f>
        <v>0.8360407181</v>
      </c>
      <c r="AQ8" s="40">
        <f t="shared" si="20"/>
        <v>0.516453125</v>
      </c>
      <c r="AR8" s="8">
        <f>AR$2*(Underlying*EXP(-DividendYield*TimeToExpiration)*_xlfn.NORM.DIST(AR$2*(LN(Underlying/$H8)+(RiskFreeRate-DividendYield+0.5*AQ8^2)*TimeToExpiration)/(AQ8*TimeToExpiration^0.5), 0, 1, TRUE) - 
       $H8*EXP(-RiskFreeRate*TimeToExpiration)*_xlfn.NORM.DIST(AR$2*(LN(Underlying/$H8)+(RiskFreeRate-DividendYield-0.5*AQ8^2)*TimeToExpiration)/(AQ8*TimeToExpiration^0.5), 0, 1, TRUE)
)</f>
        <v>0.5669613852</v>
      </c>
      <c r="AS8" s="40">
        <f t="shared" si="21"/>
        <v>0.46959375</v>
      </c>
      <c r="AT8" s="40">
        <f t="shared" si="22"/>
        <v>0.516453125</v>
      </c>
      <c r="AU8" s="7">
        <f>AU$2*(Underlying*EXP(-DividendYield*TimeToExpiration)*_xlfn.NORM.DIST(AU$2*(LN(Underlying/$H8)+(RiskFreeRate-DividendYield+0.5*AS8^2)*TimeToExpiration)/(AS8*TimeToExpiration^0.5), 0, 1, TRUE) - 
       $H8*EXP(-RiskFreeRate*TimeToExpiration)*_xlfn.NORM.DIST(AU$2*(LN(Underlying/$H8)+(RiskFreeRate-DividendYield-0.5*AS8^2)*TimeToExpiration)/(AS8*TimeToExpiration^0.5), 0, 1, TRUE)
)</f>
        <v>0.3526556104</v>
      </c>
      <c r="AV8" s="7">
        <f>AV$2*(Underlying*EXP(-DividendYield*TimeToExpiration)*_xlfn.NORM.DIST(AV$2*(LN(Underlying/$H8)+(RiskFreeRate-DividendYield+0.5*AT8^2)*TimeToExpiration)/(AT8*TimeToExpiration^0.5), 0, 1, TRUE) - 
       $H8*EXP(-RiskFreeRate*TimeToExpiration)*_xlfn.NORM.DIST(AV$2*(LN(Underlying/$H8)+(RiskFreeRate-DividendYield-0.5*AT8^2)*TimeToExpiration)/(AT8*TimeToExpiration^0.5), 0, 1, TRUE)
)</f>
        <v>0.5669613852</v>
      </c>
      <c r="AW8" s="40">
        <f t="shared" si="23"/>
        <v>0.4930234375</v>
      </c>
      <c r="AX8" s="8">
        <f>AX$2*(Underlying*EXP(-DividendYield*TimeToExpiration)*_xlfn.NORM.DIST(AX$2*(LN(Underlying/$H8)+(RiskFreeRate-DividendYield+0.5*AW8^2)*TimeToExpiration)/(AW8*TimeToExpiration^0.5), 0, 1, TRUE) - 
       $H8*EXP(-RiskFreeRate*TimeToExpiration)*_xlfn.NORM.DIST(AX$2*(LN(Underlying/$H8)+(RiskFreeRate-DividendYield-0.5*AW8^2)*TimeToExpiration)/(AW8*TimeToExpiration^0.5), 0, 1, TRUE)
)</f>
        <v>0.4528257834</v>
      </c>
      <c r="AY8" s="40">
        <f t="shared" si="24"/>
        <v>0.46959375</v>
      </c>
      <c r="AZ8" s="40">
        <f t="shared" si="25"/>
        <v>0.4930234375</v>
      </c>
      <c r="BA8" s="7">
        <f>BA$2*(Underlying*EXP(-DividendYield*TimeToExpiration)*_xlfn.NORM.DIST(BA$2*(LN(Underlying/$H8)+(RiskFreeRate-DividendYield+0.5*AY8^2)*TimeToExpiration)/(AY8*TimeToExpiration^0.5), 0, 1, TRUE) - 
       $H8*EXP(-RiskFreeRate*TimeToExpiration)*_xlfn.NORM.DIST(BA$2*(LN(Underlying/$H8)+(RiskFreeRate-DividendYield-0.5*AY8^2)*TimeToExpiration)/(AY8*TimeToExpiration^0.5), 0, 1, TRUE)
)</f>
        <v>0.3526556104</v>
      </c>
      <c r="BB8" s="7">
        <f>BB$2*(Underlying*EXP(-DividendYield*TimeToExpiration)*_xlfn.NORM.DIST(BB$2*(LN(Underlying/$H8)+(RiskFreeRate-DividendYield+0.5*AZ8^2)*TimeToExpiration)/(AZ8*TimeToExpiration^0.5), 0, 1, TRUE) - 
       $H8*EXP(-RiskFreeRate*TimeToExpiration)*_xlfn.NORM.DIST(BB$2*(LN(Underlying/$H8)+(RiskFreeRate-DividendYield-0.5*AZ8^2)*TimeToExpiration)/(AZ8*TimeToExpiration^0.5), 0, 1, TRUE)
)</f>
        <v>0.4528257834</v>
      </c>
      <c r="BC8" s="40">
        <f t="shared" si="26"/>
        <v>0.4813085938</v>
      </c>
      <c r="BD8" s="8">
        <f>BD$2*(Underlying*EXP(-DividendYield*TimeToExpiration)*_xlfn.NORM.DIST(BD$2*(LN(Underlying/$H8)+(RiskFreeRate-DividendYield+0.5*BC8^2)*TimeToExpiration)/(BC8*TimeToExpiration^0.5), 0, 1, TRUE) - 
       $H8*EXP(-RiskFreeRate*TimeToExpiration)*_xlfn.NORM.DIST(BD$2*(LN(Underlying/$H8)+(RiskFreeRate-DividendYield-0.5*BC8^2)*TimeToExpiration)/(BC8*TimeToExpiration^0.5), 0, 1, TRUE)
)</f>
        <v>0.4009857965</v>
      </c>
      <c r="BE8" s="40">
        <f t="shared" si="27"/>
        <v>0.46959375</v>
      </c>
      <c r="BF8" s="40">
        <f t="shared" si="28"/>
        <v>0.4813085938</v>
      </c>
      <c r="BG8" s="7">
        <f>BG$2*(Underlying*EXP(-DividendYield*TimeToExpiration)*_xlfn.NORM.DIST(BG$2*(LN(Underlying/$H8)+(RiskFreeRate-DividendYield+0.5*BE8^2)*TimeToExpiration)/(BE8*TimeToExpiration^0.5), 0, 1, TRUE) - 
       $H8*EXP(-RiskFreeRate*TimeToExpiration)*_xlfn.NORM.DIST(BG$2*(LN(Underlying/$H8)+(RiskFreeRate-DividendYield-0.5*BE8^2)*TimeToExpiration)/(BE8*TimeToExpiration^0.5), 0, 1, TRUE)
)</f>
        <v>0.3526556104</v>
      </c>
      <c r="BH8" s="7">
        <f>BH$2*(Underlying*EXP(-DividendYield*TimeToExpiration)*_xlfn.NORM.DIST(BH$2*(LN(Underlying/$H8)+(RiskFreeRate-DividendYield+0.5*BF8^2)*TimeToExpiration)/(BF8*TimeToExpiration^0.5), 0, 1, TRUE) - 
       $H8*EXP(-RiskFreeRate*TimeToExpiration)*_xlfn.NORM.DIST(BH$2*(LN(Underlying/$H8)+(RiskFreeRate-DividendYield-0.5*BF8^2)*TimeToExpiration)/(BF8*TimeToExpiration^0.5), 0, 1, TRUE)
)</f>
        <v>0.4009857965</v>
      </c>
      <c r="BI8" s="40">
        <f t="shared" si="29"/>
        <v>0.4754511719</v>
      </c>
      <c r="BJ8" s="8">
        <f>BJ$2*(Underlying*EXP(-DividendYield*TimeToExpiration)*_xlfn.NORM.DIST(BJ$2*(LN(Underlying/$H8)+(RiskFreeRate-DividendYield+0.5*BI8^2)*TimeToExpiration)/(BI8*TimeToExpiration^0.5), 0, 1, TRUE) - 
       $H8*EXP(-RiskFreeRate*TimeToExpiration)*_xlfn.NORM.DIST(BJ$2*(LN(Underlying/$H8)+(RiskFreeRate-DividendYield-0.5*BI8^2)*TimeToExpiration)/(BI8*TimeToExpiration^0.5), 0, 1, TRUE)
)</f>
        <v>0.3763814256</v>
      </c>
      <c r="BK8" s="40">
        <f t="shared" si="30"/>
        <v>0.46959375</v>
      </c>
      <c r="BL8" s="40">
        <f t="shared" si="31"/>
        <v>0.4754511719</v>
      </c>
      <c r="BM8" s="7">
        <f>BM$2*(Underlying*EXP(-DividendYield*TimeToExpiration)*_xlfn.NORM.DIST(BM$2*(LN(Underlying/$H8)+(RiskFreeRate-DividendYield+0.5*BK8^2)*TimeToExpiration)/(BK8*TimeToExpiration^0.5), 0, 1, TRUE) - 
       $H8*EXP(-RiskFreeRate*TimeToExpiration)*_xlfn.NORM.DIST(BM$2*(LN(Underlying/$H8)+(RiskFreeRate-DividendYield-0.5*BK8^2)*TimeToExpiration)/(BK8*TimeToExpiration^0.5), 0, 1, TRUE)
)</f>
        <v>0.3526556104</v>
      </c>
      <c r="BN8" s="7">
        <f>BN$2*(Underlying*EXP(-DividendYield*TimeToExpiration)*_xlfn.NORM.DIST(BN$2*(LN(Underlying/$H8)+(RiskFreeRate-DividendYield+0.5*BL8^2)*TimeToExpiration)/(BL8*TimeToExpiration^0.5), 0, 1, TRUE) - 
       $H8*EXP(-RiskFreeRate*TimeToExpiration)*_xlfn.NORM.DIST(BN$2*(LN(Underlying/$H8)+(RiskFreeRate-DividendYield-0.5*BL8^2)*TimeToExpiration)/(BL8*TimeToExpiration^0.5), 0, 1, TRUE)
)</f>
        <v>0.3763814256</v>
      </c>
      <c r="BO8" s="40">
        <f t="shared" si="32"/>
        <v>0.4725224609</v>
      </c>
      <c r="BP8" s="8">
        <f>BP$2*(Underlying*EXP(-DividendYield*TimeToExpiration)*_xlfn.NORM.DIST(BP$2*(LN(Underlying/$H8)+(RiskFreeRate-DividendYield+0.5*BO8^2)*TimeToExpiration)/(BO8*TimeToExpiration^0.5), 0, 1, TRUE) - 
       $H8*EXP(-RiskFreeRate*TimeToExpiration)*_xlfn.NORM.DIST(BP$2*(LN(Underlying/$H8)+(RiskFreeRate-DividendYield-0.5*BO8^2)*TimeToExpiration)/(BO8*TimeToExpiration^0.5), 0, 1, TRUE)
)</f>
        <v>0.3644086708</v>
      </c>
      <c r="BQ8" s="40">
        <f t="shared" si="33"/>
        <v>0.4725224609</v>
      </c>
      <c r="BR8" s="40">
        <f t="shared" si="34"/>
        <v>0.4754511719</v>
      </c>
      <c r="BS8" s="7">
        <f>BS$2*(Underlying*EXP(-DividendYield*TimeToExpiration)*_xlfn.NORM.DIST(BS$2*(LN(Underlying/$H8)+(RiskFreeRate-DividendYield+0.5*BQ8^2)*TimeToExpiration)/(BQ8*TimeToExpiration^0.5), 0, 1, TRUE) - 
       $H8*EXP(-RiskFreeRate*TimeToExpiration)*_xlfn.NORM.DIST(BS$2*(LN(Underlying/$H8)+(RiskFreeRate-DividendYield-0.5*BQ8^2)*TimeToExpiration)/(BQ8*TimeToExpiration^0.5), 0, 1, TRUE)
)</f>
        <v>0.3644086708</v>
      </c>
      <c r="BT8" s="7">
        <f>BT$2*(Underlying*EXP(-DividendYield*TimeToExpiration)*_xlfn.NORM.DIST(BT$2*(LN(Underlying/$H8)+(RiskFreeRate-DividendYield+0.5*BR8^2)*TimeToExpiration)/(BR8*TimeToExpiration^0.5), 0, 1, TRUE) - 
       $H8*EXP(-RiskFreeRate*TimeToExpiration)*_xlfn.NORM.DIST(BT$2*(LN(Underlying/$H8)+(RiskFreeRate-DividendYield-0.5*BR8^2)*TimeToExpiration)/(BR8*TimeToExpiration^0.5), 0, 1, TRUE)
)</f>
        <v>0.3763814256</v>
      </c>
      <c r="BU8" s="40">
        <f t="shared" si="35"/>
        <v>0.4739868164</v>
      </c>
      <c r="BV8" s="8">
        <f>BV$2*(Underlying*EXP(-DividendYield*TimeToExpiration)*_xlfn.NORM.DIST(BV$2*(LN(Underlying/$H8)+(RiskFreeRate-DividendYield+0.5*BU8^2)*TimeToExpiration)/(BU8*TimeToExpiration^0.5), 0, 1, TRUE) - 
       $H8*EXP(-RiskFreeRate*TimeToExpiration)*_xlfn.NORM.DIST(BV$2*(LN(Underlying/$H8)+(RiskFreeRate-DividendYield-0.5*BU8^2)*TimeToExpiration)/(BU8*TimeToExpiration^0.5), 0, 1, TRUE)
)</f>
        <v>0.3703675879</v>
      </c>
      <c r="BW8" s="40">
        <f t="shared" si="36"/>
        <v>0.4725224609</v>
      </c>
      <c r="BX8" s="40">
        <f t="shared" si="37"/>
        <v>0.4739868164</v>
      </c>
      <c r="BY8" s="7">
        <f>BY$2*(Underlying*EXP(-DividendYield*TimeToExpiration)*_xlfn.NORM.DIST(BY$2*(LN(Underlying/$H8)+(RiskFreeRate-DividendYield+0.5*BW8^2)*TimeToExpiration)/(BW8*TimeToExpiration^0.5), 0, 1, TRUE) - 
       $H8*EXP(-RiskFreeRate*TimeToExpiration)*_xlfn.NORM.DIST(BY$2*(LN(Underlying/$H8)+(RiskFreeRate-DividendYield-0.5*BW8^2)*TimeToExpiration)/(BW8*TimeToExpiration^0.5), 0, 1, TRUE)
)</f>
        <v>0.3644086708</v>
      </c>
      <c r="BZ8" s="7">
        <f>BZ$2*(Underlying*EXP(-DividendYield*TimeToExpiration)*_xlfn.NORM.DIST(BZ$2*(LN(Underlying/$H8)+(RiskFreeRate-DividendYield+0.5*BX8^2)*TimeToExpiration)/(BX8*TimeToExpiration^0.5), 0, 1, TRUE) - 
       $H8*EXP(-RiskFreeRate*TimeToExpiration)*_xlfn.NORM.DIST(BZ$2*(LN(Underlying/$H8)+(RiskFreeRate-DividendYield-0.5*BX8^2)*TimeToExpiration)/(BX8*TimeToExpiration^0.5), 0, 1, TRUE)
)</f>
        <v>0.3703675879</v>
      </c>
      <c r="CA8" s="40">
        <f t="shared" si="38"/>
        <v>0.4732546387</v>
      </c>
      <c r="CB8" s="8">
        <f>CB$2*(Underlying*EXP(-DividendYield*TimeToExpiration)*_xlfn.NORM.DIST(CB$2*(LN(Underlying/$H8)+(RiskFreeRate-DividendYield+0.5*CA8^2)*TimeToExpiration)/(CA8*TimeToExpiration^0.5), 0, 1, TRUE) - 
       $H8*EXP(-RiskFreeRate*TimeToExpiration)*_xlfn.NORM.DIST(CB$2*(LN(Underlying/$H8)+(RiskFreeRate-DividendYield-0.5*CA8^2)*TimeToExpiration)/(CA8*TimeToExpiration^0.5), 0, 1, TRUE)
)</f>
        <v>0.367381264</v>
      </c>
      <c r="CC8" s="40">
        <f t="shared" si="39"/>
        <v>0.4725224609</v>
      </c>
      <c r="CD8" s="40">
        <f t="shared" si="40"/>
        <v>0.4732546387</v>
      </c>
      <c r="CE8" s="7">
        <f>CE$2*(Underlying*EXP(-DividendYield*TimeToExpiration)*_xlfn.NORM.DIST(CE$2*(LN(Underlying/$H8)+(RiskFreeRate-DividendYield+0.5*CC8^2)*TimeToExpiration)/(CC8*TimeToExpiration^0.5), 0, 1, TRUE) - 
       $H8*EXP(-RiskFreeRate*TimeToExpiration)*_xlfn.NORM.DIST(CE$2*(LN(Underlying/$H8)+(RiskFreeRate-DividendYield-0.5*CC8^2)*TimeToExpiration)/(CC8*TimeToExpiration^0.5), 0, 1, TRUE)
)</f>
        <v>0.3644086708</v>
      </c>
      <c r="CF8" s="7">
        <f>CF$2*(Underlying*EXP(-DividendYield*TimeToExpiration)*_xlfn.NORM.DIST(CF$2*(LN(Underlying/$H8)+(RiskFreeRate-DividendYield+0.5*CD8^2)*TimeToExpiration)/(CD8*TimeToExpiration^0.5), 0, 1, TRUE) - 
       $H8*EXP(-RiskFreeRate*TimeToExpiration)*_xlfn.NORM.DIST(CF$2*(LN(Underlying/$H8)+(RiskFreeRate-DividendYield-0.5*CD8^2)*TimeToExpiration)/(CD8*TimeToExpiration^0.5), 0, 1, TRUE)
)</f>
        <v>0.367381264</v>
      </c>
      <c r="CG8" s="40">
        <f t="shared" si="41"/>
        <v>0.4728885498</v>
      </c>
      <c r="CH8" s="8">
        <f>CH$2*(Underlying*EXP(-DividendYield*TimeToExpiration)*_xlfn.NORM.DIST(CH$2*(LN(Underlying/$H8)+(RiskFreeRate-DividendYield+0.5*CG8^2)*TimeToExpiration)/(CG8*TimeToExpiration^0.5), 0, 1, TRUE) - 
       $H8*EXP(-RiskFreeRate*TimeToExpiration)*_xlfn.NORM.DIST(CH$2*(LN(Underlying/$H8)+(RiskFreeRate-DividendYield-0.5*CG8^2)*TimeToExpiration)/(CG8*TimeToExpiration^0.5), 0, 1, TRUE)
)</f>
        <v>0.365893251</v>
      </c>
      <c r="CI8" s="40">
        <f t="shared" si="42"/>
        <v>0.4725224609</v>
      </c>
      <c r="CJ8" s="40">
        <f t="shared" si="43"/>
        <v>0.4728885498</v>
      </c>
      <c r="CK8" s="7">
        <f>CK$2*(Underlying*EXP(-DividendYield*TimeToExpiration)*_xlfn.NORM.DIST(CK$2*(LN(Underlying/$H8)+(RiskFreeRate-DividendYield+0.5*CI8^2)*TimeToExpiration)/(CI8*TimeToExpiration^0.5), 0, 1, TRUE) - 
       $H8*EXP(-RiskFreeRate*TimeToExpiration)*_xlfn.NORM.DIST(CK$2*(LN(Underlying/$H8)+(RiskFreeRate-DividendYield-0.5*CI8^2)*TimeToExpiration)/(CI8*TimeToExpiration^0.5), 0, 1, TRUE)
)</f>
        <v>0.3644086708</v>
      </c>
      <c r="CL8" s="7">
        <f>CL$2*(Underlying*EXP(-DividendYield*TimeToExpiration)*_xlfn.NORM.DIST(CL$2*(LN(Underlying/$H8)+(RiskFreeRate-DividendYield+0.5*CJ8^2)*TimeToExpiration)/(CJ8*TimeToExpiration^0.5), 0, 1, TRUE) - 
       $H8*EXP(-RiskFreeRate*TimeToExpiration)*_xlfn.NORM.DIST(CL$2*(LN(Underlying/$H8)+(RiskFreeRate-DividendYield-0.5*CJ8^2)*TimeToExpiration)/(CJ8*TimeToExpiration^0.5), 0, 1, TRUE)
)</f>
        <v>0.365893251</v>
      </c>
      <c r="CM8" s="40">
        <f t="shared" si="44"/>
        <v>0.4727055054</v>
      </c>
      <c r="CN8" s="8">
        <f>CN$2*(Underlying*EXP(-DividendYield*TimeToExpiration)*_xlfn.NORM.DIST(CN$2*(LN(Underlying/$H8)+(RiskFreeRate-DividendYield+0.5*CM8^2)*TimeToExpiration)/(CM8*TimeToExpiration^0.5), 0, 1, TRUE) - 
       $H8*EXP(-RiskFreeRate*TimeToExpiration)*_xlfn.NORM.DIST(CN$2*(LN(Underlying/$H8)+(RiskFreeRate-DividendYield-0.5*CM8^2)*TimeToExpiration)/(CM8*TimeToExpiration^0.5), 0, 1, TRUE)
)</f>
        <v>0.3651505318</v>
      </c>
      <c r="CO8" s="40">
        <f t="shared" si="45"/>
        <v>0.4725224609</v>
      </c>
      <c r="CP8" s="40">
        <f t="shared" si="46"/>
        <v>0.4727055054</v>
      </c>
      <c r="CQ8" s="7">
        <f>CQ$2*(Underlying*EXP(-DividendYield*TimeToExpiration)*_xlfn.NORM.DIST(CQ$2*(LN(Underlying/$H8)+(RiskFreeRate-DividendYield+0.5*CO8^2)*TimeToExpiration)/(CO8*TimeToExpiration^0.5), 0, 1, TRUE) - 
       $H8*EXP(-RiskFreeRate*TimeToExpiration)*_xlfn.NORM.DIST(CQ$2*(LN(Underlying/$H8)+(RiskFreeRate-DividendYield-0.5*CO8^2)*TimeToExpiration)/(CO8*TimeToExpiration^0.5), 0, 1, TRUE)
)</f>
        <v>0.3644086708</v>
      </c>
      <c r="CR8" s="7">
        <f>CR$2*(Underlying*EXP(-DividendYield*TimeToExpiration)*_xlfn.NORM.DIST(CR$2*(LN(Underlying/$H8)+(RiskFreeRate-DividendYield+0.5*CP8^2)*TimeToExpiration)/(CP8*TimeToExpiration^0.5), 0, 1, TRUE) - 
       $H8*EXP(-RiskFreeRate*TimeToExpiration)*_xlfn.NORM.DIST(CR$2*(LN(Underlying/$H8)+(RiskFreeRate-DividendYield-0.5*CP8^2)*TimeToExpiration)/(CP8*TimeToExpiration^0.5), 0, 1, TRUE)
)</f>
        <v>0.3651505318</v>
      </c>
      <c r="CS8" s="40">
        <f t="shared" si="47"/>
        <v>0.4726139832</v>
      </c>
      <c r="CT8" s="8">
        <f>CT$2*(Underlying*EXP(-DividendYield*TimeToExpiration)*_xlfn.NORM.DIST(CT$2*(LN(Underlying/$H8)+(RiskFreeRate-DividendYield+0.5*CS8^2)*TimeToExpiration)/(CS8*TimeToExpiration^0.5), 0, 1, TRUE) - 
       $H8*EXP(-RiskFreeRate*TimeToExpiration)*_xlfn.NORM.DIST(CT$2*(LN(Underlying/$H8)+(RiskFreeRate-DividendYield-0.5*CS8^2)*TimeToExpiration)/(CS8*TimeToExpiration^0.5), 0, 1, TRUE)
)</f>
        <v>0.3647794941</v>
      </c>
      <c r="CU8" s="40">
        <f t="shared" si="48"/>
        <v>0.4726139832</v>
      </c>
      <c r="CV8" s="40">
        <f t="shared" si="49"/>
        <v>0.4727055054</v>
      </c>
      <c r="CW8" s="7">
        <f>CW$2*(Underlying*EXP(-DividendYield*TimeToExpiration)*_xlfn.NORM.DIST(CW$2*(LN(Underlying/$H8)+(RiskFreeRate-DividendYield+0.5*CU8^2)*TimeToExpiration)/(CU8*TimeToExpiration^0.5), 0, 1, TRUE) - 
       $H8*EXP(-RiskFreeRate*TimeToExpiration)*_xlfn.NORM.DIST(CW$2*(LN(Underlying/$H8)+(RiskFreeRate-DividendYield-0.5*CU8^2)*TimeToExpiration)/(CU8*TimeToExpiration^0.5), 0, 1, TRUE)
)</f>
        <v>0.3647794941</v>
      </c>
      <c r="CX8" s="7">
        <f>CX$2*(Underlying*EXP(-DividendYield*TimeToExpiration)*_xlfn.NORM.DIST(CX$2*(LN(Underlying/$H8)+(RiskFreeRate-DividendYield+0.5*CV8^2)*TimeToExpiration)/(CV8*TimeToExpiration^0.5), 0, 1, TRUE) - 
       $H8*EXP(-RiskFreeRate*TimeToExpiration)*_xlfn.NORM.DIST(CX$2*(LN(Underlying/$H8)+(RiskFreeRate-DividendYield-0.5*CV8^2)*TimeToExpiration)/(CV8*TimeToExpiration^0.5), 0, 1, TRUE)
)</f>
        <v>0.3651505318</v>
      </c>
      <c r="CY8" s="40">
        <f t="shared" si="50"/>
        <v>0.4726597443</v>
      </c>
      <c r="CZ8" s="8">
        <f>CZ$2*(Underlying*EXP(-DividendYield*TimeToExpiration)*_xlfn.NORM.DIST(CZ$2*(LN(Underlying/$H8)+(RiskFreeRate-DividendYield+0.5*CY8^2)*TimeToExpiration)/(CY8*TimeToExpiration^0.5), 0, 1, TRUE) - 
       $H8*EXP(-RiskFreeRate*TimeToExpiration)*_xlfn.NORM.DIST(CZ$2*(LN(Underlying/$H8)+(RiskFreeRate-DividendYield-0.5*CY8^2)*TimeToExpiration)/(CY8*TimeToExpiration^0.5), 0, 1, TRUE)
)</f>
        <v>0.3649649861</v>
      </c>
      <c r="DA8" s="40">
        <f t="shared" si="51"/>
        <v>0.4726597443</v>
      </c>
      <c r="DB8" s="40">
        <f t="shared" si="52"/>
        <v>0.4727055054</v>
      </c>
      <c r="DC8" s="7">
        <f>DC$2*(Underlying*EXP(-DividendYield*TimeToExpiration)*_xlfn.NORM.DIST(DC$2*(LN(Underlying/$H8)+(RiskFreeRate-DividendYield+0.5*DA8^2)*TimeToExpiration)/(DA8*TimeToExpiration^0.5), 0, 1, TRUE) - 
       $H8*EXP(-RiskFreeRate*TimeToExpiration)*_xlfn.NORM.DIST(DC$2*(LN(Underlying/$H8)+(RiskFreeRate-DividendYield-0.5*DA8^2)*TimeToExpiration)/(DA8*TimeToExpiration^0.5), 0, 1, TRUE)
)</f>
        <v>0.3649649861</v>
      </c>
      <c r="DD8" s="7">
        <f>DD$2*(Underlying*EXP(-DividendYield*TimeToExpiration)*_xlfn.NORM.DIST(DD$2*(LN(Underlying/$H8)+(RiskFreeRate-DividendYield+0.5*DB8^2)*TimeToExpiration)/(DB8*TimeToExpiration^0.5), 0, 1, TRUE) - 
       $H8*EXP(-RiskFreeRate*TimeToExpiration)*_xlfn.NORM.DIST(DD$2*(LN(Underlying/$H8)+(RiskFreeRate-DividendYield-0.5*DB8^2)*TimeToExpiration)/(DB8*TimeToExpiration^0.5), 0, 1, TRUE)
)</f>
        <v>0.3651505318</v>
      </c>
      <c r="DE8" s="40">
        <f t="shared" si="53"/>
        <v>0.4726826248</v>
      </c>
      <c r="DF8" s="8">
        <f>DF$2*(Underlying*EXP(-DividendYield*TimeToExpiration)*_xlfn.NORM.DIST(DF$2*(LN(Underlying/$H8)+(RiskFreeRate-DividendYield+0.5*DE8^2)*TimeToExpiration)/(DE8*TimeToExpiration^0.5), 0, 1, TRUE) - 
       $H8*EXP(-RiskFreeRate*TimeToExpiration)*_xlfn.NORM.DIST(DF$2*(LN(Underlying/$H8)+(RiskFreeRate-DividendYield-0.5*DE8^2)*TimeToExpiration)/(DE8*TimeToExpiration^0.5), 0, 1, TRUE)
)</f>
        <v>0.3650577523</v>
      </c>
    </row>
    <row r="9">
      <c r="A9" s="20">
        <f>'Option Mkt Data'!A9</f>
        <v>305</v>
      </c>
      <c r="B9" s="35">
        <f t="shared" ref="B9:C9" si="56">DE9</f>
        <v>0.4584966812</v>
      </c>
      <c r="C9" s="7">
        <f t="shared" si="56"/>
        <v>0.4250750394</v>
      </c>
      <c r="D9" s="7">
        <f t="shared" si="3"/>
        <v>0.00007502742556</v>
      </c>
      <c r="E9" s="9">
        <f t="shared" si="4"/>
        <v>0.000176535114</v>
      </c>
      <c r="F9" s="36">
        <f>D9/'Option Mkt Data'!M9</f>
        <v>0.007502750058</v>
      </c>
      <c r="G9" s="5">
        <f>'Option Mkt Data'!K9</f>
        <v>0.425000012</v>
      </c>
      <c r="H9" s="33">
        <f>'Option Mkt Data'!A9</f>
        <v>305</v>
      </c>
      <c r="I9" s="37">
        <f>MinSolverVola</f>
        <v>0.001</v>
      </c>
      <c r="J9" s="38">
        <f>MaxSolverVola</f>
        <v>3</v>
      </c>
      <c r="K9" s="39">
        <f>K$2*(Underlying*EXP(-DividendYield*TimeToExpiration)*_xlfn.NORM.DIST(K$2*(LN(Underlying/$H9)+(RiskFreeRate-DividendYield+0.5*I9^2)*TimeToExpiration)/(I9*TimeToExpiration^0.5), 0, 1, TRUE) - 
       $H9*EXP(-RiskFreeRate*TimeToExpiration)*_xlfn.NORM.DIST(K$2*(LN(Underlying/$H9)+(RiskFreeRate-DividendYield-0.5*I9^2)*TimeToExpiration)/(I9*TimeToExpiration^0.5), 0, 1, TRUE)
)</f>
        <v>0</v>
      </c>
      <c r="L9" s="7">
        <f>L$2*(Underlying*EXP(-DividendYield*TimeToExpiration)*_xlfn.NORM.DIST(L$2*(LN(Underlying/$H9)+(RiskFreeRate-DividendYield+0.5*J9^2)*TimeToExpiration)/(J9*TimeToExpiration^0.5), 0, 1, TRUE) - 
       $H9*EXP(-RiskFreeRate*TimeToExpiration)*_xlfn.NORM.DIST(L$2*(LN(Underlying/$H9)+(RiskFreeRate-DividendYield-0.5*J9^2)*TimeToExpiration)/(J9*TimeToExpiration^0.5), 0, 1, TRUE)
)</f>
        <v>38.52597034</v>
      </c>
      <c r="M9" s="40">
        <f t="shared" si="5"/>
        <v>1.5005</v>
      </c>
      <c r="N9" s="8">
        <f>N$2*(Underlying*EXP(-DividendYield*TimeToExpiration)*_xlfn.NORM.DIST(N$2*(LN(Underlying/$H9)+(RiskFreeRate-DividendYield+0.5*M9^2)*TimeToExpiration)/(M9*TimeToExpiration^0.5), 0, 1, TRUE) - 
       $H9*EXP(-RiskFreeRate*TimeToExpiration)*_xlfn.NORM.DIST(N$2*(LN(Underlying/$H9)+(RiskFreeRate-DividendYield-0.5*M9^2)*TimeToExpiration)/(M9*TimeToExpiration^0.5), 0, 1, TRUE)
)</f>
        <v>13.33762042</v>
      </c>
      <c r="O9" s="41">
        <f t="shared" si="6"/>
        <v>0.001</v>
      </c>
      <c r="P9" s="40">
        <f t="shared" si="7"/>
        <v>1.5005</v>
      </c>
      <c r="Q9" s="7">
        <f>Q$2*(Underlying*EXP(-DividendYield*TimeToExpiration)*_xlfn.NORM.DIST(Q$2*(LN(Underlying/$H9)+(RiskFreeRate-DividendYield+0.5*O9^2)*TimeToExpiration)/(O9*TimeToExpiration^0.5), 0, 1, TRUE) - 
       $H9*EXP(-RiskFreeRate*TimeToExpiration)*_xlfn.NORM.DIST(Q$2*(LN(Underlying/$H9)+(RiskFreeRate-DividendYield-0.5*O9^2)*TimeToExpiration)/(O9*TimeToExpiration^0.5), 0, 1, TRUE)
)</f>
        <v>0</v>
      </c>
      <c r="R9" s="7">
        <f>R$2*(Underlying*EXP(-DividendYield*TimeToExpiration)*_xlfn.NORM.DIST(R$2*(LN(Underlying/$H9)+(RiskFreeRate-DividendYield+0.5*P9^2)*TimeToExpiration)/(P9*TimeToExpiration^0.5), 0, 1, TRUE) - 
       $H9*EXP(-RiskFreeRate*TimeToExpiration)*_xlfn.NORM.DIST(R$2*(LN(Underlying/$H9)+(RiskFreeRate-DividendYield-0.5*P9^2)*TimeToExpiration)/(P9*TimeToExpiration^0.5), 0, 1, TRUE)
)</f>
        <v>13.33762042</v>
      </c>
      <c r="S9" s="40">
        <f t="shared" si="8"/>
        <v>0.75075</v>
      </c>
      <c r="T9" s="8">
        <f>T$2*(Underlying*EXP(-DividendYield*TimeToExpiration)*_xlfn.NORM.DIST(T$2*(LN(Underlying/$H9)+(RiskFreeRate-DividendYield+0.5*S9^2)*TimeToExpiration)/(S9*TimeToExpiration^0.5), 0, 1, TRUE) - 
       $H9*EXP(-RiskFreeRate*TimeToExpiration)*_xlfn.NORM.DIST(T$2*(LN(Underlying/$H9)+(RiskFreeRate-DividendYield-0.5*S9^2)*TimeToExpiration)/(S9*TimeToExpiration^0.5), 0, 1, TRUE)
)</f>
        <v>2.784317135</v>
      </c>
      <c r="U9" s="41">
        <f t="shared" si="9"/>
        <v>0.001</v>
      </c>
      <c r="V9" s="40">
        <f t="shared" si="10"/>
        <v>0.75075</v>
      </c>
      <c r="W9" s="7">
        <f>W$2*(Underlying*EXP(-DividendYield*TimeToExpiration)*_xlfn.NORM.DIST(W$2*(LN(Underlying/$H9)+(RiskFreeRate-DividendYield+0.5*U9^2)*TimeToExpiration)/(U9*TimeToExpiration^0.5), 0, 1, TRUE) - 
       $H9*EXP(-RiskFreeRate*TimeToExpiration)*_xlfn.NORM.DIST(W$2*(LN(Underlying/$H9)+(RiskFreeRate-DividendYield-0.5*U9^2)*TimeToExpiration)/(U9*TimeToExpiration^0.5), 0, 1, TRUE)
)</f>
        <v>0</v>
      </c>
      <c r="X9" s="7">
        <f>X$2*(Underlying*EXP(-DividendYield*TimeToExpiration)*_xlfn.NORM.DIST(X$2*(LN(Underlying/$H9)+(RiskFreeRate-DividendYield+0.5*V9^2)*TimeToExpiration)/(V9*TimeToExpiration^0.5), 0, 1, TRUE) - 
       $H9*EXP(-RiskFreeRate*TimeToExpiration)*_xlfn.NORM.DIST(X$2*(LN(Underlying/$H9)+(RiskFreeRate-DividendYield-0.5*V9^2)*TimeToExpiration)/(V9*TimeToExpiration^0.5), 0, 1, TRUE)
)</f>
        <v>2.784317135</v>
      </c>
      <c r="Y9" s="40">
        <f t="shared" si="11"/>
        <v>0.375875</v>
      </c>
      <c r="Z9" s="8">
        <f>Z$2*(Underlying*EXP(-DividendYield*TimeToExpiration)*_xlfn.NORM.DIST(Z$2*(LN(Underlying/$H9)+(RiskFreeRate-DividendYield+0.5*Y9^2)*TimeToExpiration)/(Y9*TimeToExpiration^0.5), 0, 1, TRUE) - 
       $H9*EXP(-RiskFreeRate*TimeToExpiration)*_xlfn.NORM.DIST(Z$2*(LN(Underlying/$H9)+(RiskFreeRate-DividendYield-0.5*Y9^2)*TimeToExpiration)/(Y9*TimeToExpiration^0.5), 0, 1, TRUE)
)</f>
        <v>0.1379931493</v>
      </c>
      <c r="AA9" s="40">
        <f t="shared" si="12"/>
        <v>0.375875</v>
      </c>
      <c r="AB9" s="40">
        <f t="shared" si="13"/>
        <v>0.75075</v>
      </c>
      <c r="AC9" s="7">
        <f>AC$2*(Underlying*EXP(-DividendYield*TimeToExpiration)*_xlfn.NORM.DIST(AC$2*(LN(Underlying/$H9)+(RiskFreeRate-DividendYield+0.5*AA9^2)*TimeToExpiration)/(AA9*TimeToExpiration^0.5), 0, 1, TRUE) - 
       $H9*EXP(-RiskFreeRate*TimeToExpiration)*_xlfn.NORM.DIST(AC$2*(LN(Underlying/$H9)+(RiskFreeRate-DividendYield-0.5*AA9^2)*TimeToExpiration)/(AA9*TimeToExpiration^0.5), 0, 1, TRUE)
)</f>
        <v>0.1379931493</v>
      </c>
      <c r="AD9" s="7">
        <f>AD$2*(Underlying*EXP(-DividendYield*TimeToExpiration)*_xlfn.NORM.DIST(AD$2*(LN(Underlying/$H9)+(RiskFreeRate-DividendYield+0.5*AB9^2)*TimeToExpiration)/(AB9*TimeToExpiration^0.5), 0, 1, TRUE) - 
       $H9*EXP(-RiskFreeRate*TimeToExpiration)*_xlfn.NORM.DIST(AD$2*(LN(Underlying/$H9)+(RiskFreeRate-DividendYield-0.5*AB9^2)*TimeToExpiration)/(AB9*TimeToExpiration^0.5), 0, 1, TRUE)
)</f>
        <v>2.784317135</v>
      </c>
      <c r="AE9" s="40">
        <f t="shared" si="14"/>
        <v>0.5633125</v>
      </c>
      <c r="AF9" s="8">
        <f>AF$2*(Underlying*EXP(-DividendYield*TimeToExpiration)*_xlfn.NORM.DIST(AF$2*(LN(Underlying/$H9)+(RiskFreeRate-DividendYield+0.5*AE9^2)*TimeToExpiration)/(AE9*TimeToExpiration^0.5), 0, 1, TRUE) - 
       $H9*EXP(-RiskFreeRate*TimeToExpiration)*_xlfn.NORM.DIST(AF$2*(LN(Underlying/$H9)+(RiskFreeRate-DividendYield-0.5*AE9^2)*TimeToExpiration)/(AE9*TimeToExpiration^0.5), 0, 1, TRUE)
)</f>
        <v>1.053893543</v>
      </c>
      <c r="AG9" s="40">
        <f t="shared" si="15"/>
        <v>0.375875</v>
      </c>
      <c r="AH9" s="40">
        <f t="shared" si="16"/>
        <v>0.5633125</v>
      </c>
      <c r="AI9" s="7">
        <f>AI$2*(Underlying*EXP(-DividendYield*TimeToExpiration)*_xlfn.NORM.DIST(AI$2*(LN(Underlying/$H9)+(RiskFreeRate-DividendYield+0.5*AG9^2)*TimeToExpiration)/(AG9*TimeToExpiration^0.5), 0, 1, TRUE) - 
       $H9*EXP(-RiskFreeRate*TimeToExpiration)*_xlfn.NORM.DIST(AI$2*(LN(Underlying/$H9)+(RiskFreeRate-DividendYield-0.5*AG9^2)*TimeToExpiration)/(AG9*TimeToExpiration^0.5), 0, 1, TRUE)
)</f>
        <v>0.1379931493</v>
      </c>
      <c r="AJ9" s="7">
        <f>AJ$2*(Underlying*EXP(-DividendYield*TimeToExpiration)*_xlfn.NORM.DIST(AJ$2*(LN(Underlying/$H9)+(RiskFreeRate-DividendYield+0.5*AH9^2)*TimeToExpiration)/(AH9*TimeToExpiration^0.5), 0, 1, TRUE) - 
       $H9*EXP(-RiskFreeRate*TimeToExpiration)*_xlfn.NORM.DIST(AJ$2*(LN(Underlying/$H9)+(RiskFreeRate-DividendYield-0.5*AH9^2)*TimeToExpiration)/(AH9*TimeToExpiration^0.5), 0, 1, TRUE)
)</f>
        <v>1.053893543</v>
      </c>
      <c r="AK9" s="40">
        <f t="shared" si="17"/>
        <v>0.46959375</v>
      </c>
      <c r="AL9" s="8">
        <f>AL$2*(Underlying*EXP(-DividendYield*TimeToExpiration)*_xlfn.NORM.DIST(AL$2*(LN(Underlying/$H9)+(RiskFreeRate-DividendYield+0.5*AK9^2)*TimeToExpiration)/(AK9*TimeToExpiration^0.5), 0, 1, TRUE) - 
       $H9*EXP(-RiskFreeRate*TimeToExpiration)*_xlfn.NORM.DIST(AL$2*(LN(Underlying/$H9)+(RiskFreeRate-DividendYield-0.5*AK9^2)*TimeToExpiration)/(AK9*TimeToExpiration^0.5), 0, 1, TRUE)
)</f>
        <v>0.47792639</v>
      </c>
      <c r="AM9" s="40">
        <f t="shared" si="18"/>
        <v>0.375875</v>
      </c>
      <c r="AN9" s="40">
        <f t="shared" si="19"/>
        <v>0.46959375</v>
      </c>
      <c r="AO9" s="7">
        <f>AO$2*(Underlying*EXP(-DividendYield*TimeToExpiration)*_xlfn.NORM.DIST(AO$2*(LN(Underlying/$H9)+(RiskFreeRate-DividendYield+0.5*AM9^2)*TimeToExpiration)/(AM9*TimeToExpiration^0.5), 0, 1, TRUE) - 
       $H9*EXP(-RiskFreeRate*TimeToExpiration)*_xlfn.NORM.DIST(AO$2*(LN(Underlying/$H9)+(RiskFreeRate-DividendYield-0.5*AM9^2)*TimeToExpiration)/(AM9*TimeToExpiration^0.5), 0, 1, TRUE)
)</f>
        <v>0.1379931493</v>
      </c>
      <c r="AP9" s="7">
        <f>AP$2*(Underlying*EXP(-DividendYield*TimeToExpiration)*_xlfn.NORM.DIST(AP$2*(LN(Underlying/$H9)+(RiskFreeRate-DividendYield+0.5*AN9^2)*TimeToExpiration)/(AN9*TimeToExpiration^0.5), 0, 1, TRUE) - 
       $H9*EXP(-RiskFreeRate*TimeToExpiration)*_xlfn.NORM.DIST(AP$2*(LN(Underlying/$H9)+(RiskFreeRate-DividendYield-0.5*AN9^2)*TimeToExpiration)/(AN9*TimeToExpiration^0.5), 0, 1, TRUE)
)</f>
        <v>0.47792639</v>
      </c>
      <c r="AQ9" s="40">
        <f t="shared" si="20"/>
        <v>0.422734375</v>
      </c>
      <c r="AR9" s="8">
        <f>AR$2*(Underlying*EXP(-DividendYield*TimeToExpiration)*_xlfn.NORM.DIST(AR$2*(LN(Underlying/$H9)+(RiskFreeRate-DividendYield+0.5*AQ9^2)*TimeToExpiration)/(AQ9*TimeToExpiration^0.5), 0, 1, TRUE) - 
       $H9*EXP(-RiskFreeRate*TimeToExpiration)*_xlfn.NORM.DIST(AR$2*(LN(Underlying/$H9)+(RiskFreeRate-DividendYield-0.5*AQ9^2)*TimeToExpiration)/(AQ9*TimeToExpiration^0.5), 0, 1, TRUE)
)</f>
        <v>0.277873585</v>
      </c>
      <c r="AS9" s="40">
        <f t="shared" si="21"/>
        <v>0.422734375</v>
      </c>
      <c r="AT9" s="40">
        <f t="shared" si="22"/>
        <v>0.46959375</v>
      </c>
      <c r="AU9" s="7">
        <f>AU$2*(Underlying*EXP(-DividendYield*TimeToExpiration)*_xlfn.NORM.DIST(AU$2*(LN(Underlying/$H9)+(RiskFreeRate-DividendYield+0.5*AS9^2)*TimeToExpiration)/(AS9*TimeToExpiration^0.5), 0, 1, TRUE) - 
       $H9*EXP(-RiskFreeRate*TimeToExpiration)*_xlfn.NORM.DIST(AU$2*(LN(Underlying/$H9)+(RiskFreeRate-DividendYield-0.5*AS9^2)*TimeToExpiration)/(AS9*TimeToExpiration^0.5), 0, 1, TRUE)
)</f>
        <v>0.277873585</v>
      </c>
      <c r="AV9" s="7">
        <f>AV$2*(Underlying*EXP(-DividendYield*TimeToExpiration)*_xlfn.NORM.DIST(AV$2*(LN(Underlying/$H9)+(RiskFreeRate-DividendYield+0.5*AT9^2)*TimeToExpiration)/(AT9*TimeToExpiration^0.5), 0, 1, TRUE) - 
       $H9*EXP(-RiskFreeRate*TimeToExpiration)*_xlfn.NORM.DIST(AV$2*(LN(Underlying/$H9)+(RiskFreeRate-DividendYield-0.5*AT9^2)*TimeToExpiration)/(AT9*TimeToExpiration^0.5), 0, 1, TRUE)
)</f>
        <v>0.47792639</v>
      </c>
      <c r="AW9" s="40">
        <f t="shared" si="23"/>
        <v>0.4461640625</v>
      </c>
      <c r="AX9" s="8">
        <f>AX$2*(Underlying*EXP(-DividendYield*TimeToExpiration)*_xlfn.NORM.DIST(AX$2*(LN(Underlying/$H9)+(RiskFreeRate-DividendYield+0.5*AW9^2)*TimeToExpiration)/(AW9*TimeToExpiration^0.5), 0, 1, TRUE) - 
       $H9*EXP(-RiskFreeRate*TimeToExpiration)*_xlfn.NORM.DIST(AX$2*(LN(Underlying/$H9)+(RiskFreeRate-DividendYield-0.5*AW9^2)*TimeToExpiration)/(AW9*TimeToExpiration^0.5), 0, 1, TRUE)
)</f>
        <v>0.3703158504</v>
      </c>
      <c r="AY9" s="40">
        <f t="shared" si="24"/>
        <v>0.4461640625</v>
      </c>
      <c r="AZ9" s="40">
        <f t="shared" si="25"/>
        <v>0.46959375</v>
      </c>
      <c r="BA9" s="7">
        <f>BA$2*(Underlying*EXP(-DividendYield*TimeToExpiration)*_xlfn.NORM.DIST(BA$2*(LN(Underlying/$H9)+(RiskFreeRate-DividendYield+0.5*AY9^2)*TimeToExpiration)/(AY9*TimeToExpiration^0.5), 0, 1, TRUE) - 
       $H9*EXP(-RiskFreeRate*TimeToExpiration)*_xlfn.NORM.DIST(BA$2*(LN(Underlying/$H9)+(RiskFreeRate-DividendYield-0.5*AY9^2)*TimeToExpiration)/(AY9*TimeToExpiration^0.5), 0, 1, TRUE)
)</f>
        <v>0.3703158504</v>
      </c>
      <c r="BB9" s="7">
        <f>BB$2*(Underlying*EXP(-DividendYield*TimeToExpiration)*_xlfn.NORM.DIST(BB$2*(LN(Underlying/$H9)+(RiskFreeRate-DividendYield+0.5*AZ9^2)*TimeToExpiration)/(AZ9*TimeToExpiration^0.5), 0, 1, TRUE) - 
       $H9*EXP(-RiskFreeRate*TimeToExpiration)*_xlfn.NORM.DIST(BB$2*(LN(Underlying/$H9)+(RiskFreeRate-DividendYield-0.5*AZ9^2)*TimeToExpiration)/(AZ9*TimeToExpiration^0.5), 0, 1, TRUE)
)</f>
        <v>0.47792639</v>
      </c>
      <c r="BC9" s="40">
        <f t="shared" si="26"/>
        <v>0.4578789063</v>
      </c>
      <c r="BD9" s="8">
        <f>BD$2*(Underlying*EXP(-DividendYield*TimeToExpiration)*_xlfn.NORM.DIST(BD$2*(LN(Underlying/$H9)+(RiskFreeRate-DividendYield+0.5*BC9^2)*TimeToExpiration)/(BC9*TimeToExpiration^0.5), 0, 1, TRUE) - 
       $H9*EXP(-RiskFreeRate*TimeToExpiration)*_xlfn.NORM.DIST(BD$2*(LN(Underlying/$H9)+(RiskFreeRate-DividendYield-0.5*BC9^2)*TimeToExpiration)/(BC9*TimeToExpiration^0.5), 0, 1, TRUE)
)</f>
        <v>0.4222321811</v>
      </c>
      <c r="BE9" s="40">
        <f t="shared" si="27"/>
        <v>0.4578789063</v>
      </c>
      <c r="BF9" s="40">
        <f t="shared" si="28"/>
        <v>0.46959375</v>
      </c>
      <c r="BG9" s="7">
        <f>BG$2*(Underlying*EXP(-DividendYield*TimeToExpiration)*_xlfn.NORM.DIST(BG$2*(LN(Underlying/$H9)+(RiskFreeRate-DividendYield+0.5*BE9^2)*TimeToExpiration)/(BE9*TimeToExpiration^0.5), 0, 1, TRUE) - 
       $H9*EXP(-RiskFreeRate*TimeToExpiration)*_xlfn.NORM.DIST(BG$2*(LN(Underlying/$H9)+(RiskFreeRate-DividendYield-0.5*BE9^2)*TimeToExpiration)/(BE9*TimeToExpiration^0.5), 0, 1, TRUE)
)</f>
        <v>0.4222321811</v>
      </c>
      <c r="BH9" s="7">
        <f>BH$2*(Underlying*EXP(-DividendYield*TimeToExpiration)*_xlfn.NORM.DIST(BH$2*(LN(Underlying/$H9)+(RiskFreeRate-DividendYield+0.5*BF9^2)*TimeToExpiration)/(BF9*TimeToExpiration^0.5), 0, 1, TRUE) - 
       $H9*EXP(-RiskFreeRate*TimeToExpiration)*_xlfn.NORM.DIST(BH$2*(LN(Underlying/$H9)+(RiskFreeRate-DividendYield-0.5*BF9^2)*TimeToExpiration)/(BF9*TimeToExpiration^0.5), 0, 1, TRUE)
)</f>
        <v>0.47792639</v>
      </c>
      <c r="BI9" s="40">
        <f t="shared" si="29"/>
        <v>0.4637363281</v>
      </c>
      <c r="BJ9" s="8">
        <f>BJ$2*(Underlying*EXP(-DividendYield*TimeToExpiration)*_xlfn.NORM.DIST(BJ$2*(LN(Underlying/$H9)+(RiskFreeRate-DividendYield+0.5*BI9^2)*TimeToExpiration)/(BI9*TimeToExpiration^0.5), 0, 1, TRUE) - 
       $H9*EXP(-RiskFreeRate*TimeToExpiration)*_xlfn.NORM.DIST(BJ$2*(LN(Underlying/$H9)+(RiskFreeRate-DividendYield-0.5*BI9^2)*TimeToExpiration)/(BI9*TimeToExpiration^0.5), 0, 1, TRUE)
)</f>
        <v>0.449608694</v>
      </c>
      <c r="BK9" s="40">
        <f t="shared" si="30"/>
        <v>0.4578789063</v>
      </c>
      <c r="BL9" s="40">
        <f t="shared" si="31"/>
        <v>0.4637363281</v>
      </c>
      <c r="BM9" s="7">
        <f>BM$2*(Underlying*EXP(-DividendYield*TimeToExpiration)*_xlfn.NORM.DIST(BM$2*(LN(Underlying/$H9)+(RiskFreeRate-DividendYield+0.5*BK9^2)*TimeToExpiration)/(BK9*TimeToExpiration^0.5), 0, 1, TRUE) - 
       $H9*EXP(-RiskFreeRate*TimeToExpiration)*_xlfn.NORM.DIST(BM$2*(LN(Underlying/$H9)+(RiskFreeRate-DividendYield-0.5*BK9^2)*TimeToExpiration)/(BK9*TimeToExpiration^0.5), 0, 1, TRUE)
)</f>
        <v>0.4222321811</v>
      </c>
      <c r="BN9" s="7">
        <f>BN$2*(Underlying*EXP(-DividendYield*TimeToExpiration)*_xlfn.NORM.DIST(BN$2*(LN(Underlying/$H9)+(RiskFreeRate-DividendYield+0.5*BL9^2)*TimeToExpiration)/(BL9*TimeToExpiration^0.5), 0, 1, TRUE) - 
       $H9*EXP(-RiskFreeRate*TimeToExpiration)*_xlfn.NORM.DIST(BN$2*(LN(Underlying/$H9)+(RiskFreeRate-DividendYield-0.5*BL9^2)*TimeToExpiration)/(BL9*TimeToExpiration^0.5), 0, 1, TRUE)
)</f>
        <v>0.449608694</v>
      </c>
      <c r="BO9" s="40">
        <f t="shared" si="32"/>
        <v>0.4608076172</v>
      </c>
      <c r="BP9" s="8">
        <f>BP$2*(Underlying*EXP(-DividendYield*TimeToExpiration)*_xlfn.NORM.DIST(BP$2*(LN(Underlying/$H9)+(RiskFreeRate-DividendYield+0.5*BO9^2)*TimeToExpiration)/(BO9*TimeToExpiration^0.5), 0, 1, TRUE) - 
       $H9*EXP(-RiskFreeRate*TimeToExpiration)*_xlfn.NORM.DIST(BP$2*(LN(Underlying/$H9)+(RiskFreeRate-DividendYield-0.5*BO9^2)*TimeToExpiration)/(BO9*TimeToExpiration^0.5), 0, 1, TRUE)
)</f>
        <v>0.4358025537</v>
      </c>
      <c r="BQ9" s="40">
        <f t="shared" si="33"/>
        <v>0.4578789063</v>
      </c>
      <c r="BR9" s="40">
        <f t="shared" si="34"/>
        <v>0.4608076172</v>
      </c>
      <c r="BS9" s="7">
        <f>BS$2*(Underlying*EXP(-DividendYield*TimeToExpiration)*_xlfn.NORM.DIST(BS$2*(LN(Underlying/$H9)+(RiskFreeRate-DividendYield+0.5*BQ9^2)*TimeToExpiration)/(BQ9*TimeToExpiration^0.5), 0, 1, TRUE) - 
       $H9*EXP(-RiskFreeRate*TimeToExpiration)*_xlfn.NORM.DIST(BS$2*(LN(Underlying/$H9)+(RiskFreeRate-DividendYield-0.5*BQ9^2)*TimeToExpiration)/(BQ9*TimeToExpiration^0.5), 0, 1, TRUE)
)</f>
        <v>0.4222321811</v>
      </c>
      <c r="BT9" s="7">
        <f>BT$2*(Underlying*EXP(-DividendYield*TimeToExpiration)*_xlfn.NORM.DIST(BT$2*(LN(Underlying/$H9)+(RiskFreeRate-DividendYield+0.5*BR9^2)*TimeToExpiration)/(BR9*TimeToExpiration^0.5), 0, 1, TRUE) - 
       $H9*EXP(-RiskFreeRate*TimeToExpiration)*_xlfn.NORM.DIST(BT$2*(LN(Underlying/$H9)+(RiskFreeRate-DividendYield-0.5*BR9^2)*TimeToExpiration)/(BR9*TimeToExpiration^0.5), 0, 1, TRUE)
)</f>
        <v>0.4358025537</v>
      </c>
      <c r="BU9" s="40">
        <f t="shared" si="35"/>
        <v>0.4593432617</v>
      </c>
      <c r="BV9" s="8">
        <f>BV$2*(Underlying*EXP(-DividendYield*TimeToExpiration)*_xlfn.NORM.DIST(BV$2*(LN(Underlying/$H9)+(RiskFreeRate-DividendYield+0.5*BU9^2)*TimeToExpiration)/(BU9*TimeToExpiration^0.5), 0, 1, TRUE) - 
       $H9*EXP(-RiskFreeRate*TimeToExpiration)*_xlfn.NORM.DIST(BV$2*(LN(Underlying/$H9)+(RiskFreeRate-DividendYield-0.5*BU9^2)*TimeToExpiration)/(BU9*TimeToExpiration^0.5), 0, 1, TRUE)
)</f>
        <v>0.4289878695</v>
      </c>
      <c r="BW9" s="40">
        <f t="shared" si="36"/>
        <v>0.4578789063</v>
      </c>
      <c r="BX9" s="40">
        <f t="shared" si="37"/>
        <v>0.4593432617</v>
      </c>
      <c r="BY9" s="7">
        <f>BY$2*(Underlying*EXP(-DividendYield*TimeToExpiration)*_xlfn.NORM.DIST(BY$2*(LN(Underlying/$H9)+(RiskFreeRate-DividendYield+0.5*BW9^2)*TimeToExpiration)/(BW9*TimeToExpiration^0.5), 0, 1, TRUE) - 
       $H9*EXP(-RiskFreeRate*TimeToExpiration)*_xlfn.NORM.DIST(BY$2*(LN(Underlying/$H9)+(RiskFreeRate-DividendYield-0.5*BW9^2)*TimeToExpiration)/(BW9*TimeToExpiration^0.5), 0, 1, TRUE)
)</f>
        <v>0.4222321811</v>
      </c>
      <c r="BZ9" s="7">
        <f>BZ$2*(Underlying*EXP(-DividendYield*TimeToExpiration)*_xlfn.NORM.DIST(BZ$2*(LN(Underlying/$H9)+(RiskFreeRate-DividendYield+0.5*BX9^2)*TimeToExpiration)/(BX9*TimeToExpiration^0.5), 0, 1, TRUE) - 
       $H9*EXP(-RiskFreeRate*TimeToExpiration)*_xlfn.NORM.DIST(BZ$2*(LN(Underlying/$H9)+(RiskFreeRate-DividendYield-0.5*BX9^2)*TimeToExpiration)/(BX9*TimeToExpiration^0.5), 0, 1, TRUE)
)</f>
        <v>0.4289878695</v>
      </c>
      <c r="CA9" s="40">
        <f t="shared" si="38"/>
        <v>0.458611084</v>
      </c>
      <c r="CB9" s="8">
        <f>CB$2*(Underlying*EXP(-DividendYield*TimeToExpiration)*_xlfn.NORM.DIST(CB$2*(LN(Underlying/$H9)+(RiskFreeRate-DividendYield+0.5*CA9^2)*TimeToExpiration)/(CA9*TimeToExpiration^0.5), 0, 1, TRUE) - 
       $H9*EXP(-RiskFreeRate*TimeToExpiration)*_xlfn.NORM.DIST(CB$2*(LN(Underlying/$H9)+(RiskFreeRate-DividendYield-0.5*CA9^2)*TimeToExpiration)/(CA9*TimeToExpiration^0.5), 0, 1, TRUE)
)</f>
        <v>0.4256026476</v>
      </c>
      <c r="CC9" s="40">
        <f t="shared" si="39"/>
        <v>0.4578789063</v>
      </c>
      <c r="CD9" s="40">
        <f t="shared" si="40"/>
        <v>0.458611084</v>
      </c>
      <c r="CE9" s="7">
        <f>CE$2*(Underlying*EXP(-DividendYield*TimeToExpiration)*_xlfn.NORM.DIST(CE$2*(LN(Underlying/$H9)+(RiskFreeRate-DividendYield+0.5*CC9^2)*TimeToExpiration)/(CC9*TimeToExpiration^0.5), 0, 1, TRUE) - 
       $H9*EXP(-RiskFreeRate*TimeToExpiration)*_xlfn.NORM.DIST(CE$2*(LN(Underlying/$H9)+(RiskFreeRate-DividendYield-0.5*CC9^2)*TimeToExpiration)/(CC9*TimeToExpiration^0.5), 0, 1, TRUE)
)</f>
        <v>0.4222321811</v>
      </c>
      <c r="CF9" s="7">
        <f>CF$2*(Underlying*EXP(-DividendYield*TimeToExpiration)*_xlfn.NORM.DIST(CF$2*(LN(Underlying/$H9)+(RiskFreeRate-DividendYield+0.5*CD9^2)*TimeToExpiration)/(CD9*TimeToExpiration^0.5), 0, 1, TRUE) - 
       $H9*EXP(-RiskFreeRate*TimeToExpiration)*_xlfn.NORM.DIST(CF$2*(LN(Underlying/$H9)+(RiskFreeRate-DividendYield-0.5*CD9^2)*TimeToExpiration)/(CD9*TimeToExpiration^0.5), 0, 1, TRUE)
)</f>
        <v>0.4256026476</v>
      </c>
      <c r="CG9" s="40">
        <f t="shared" si="41"/>
        <v>0.4582449951</v>
      </c>
      <c r="CH9" s="8">
        <f>CH$2*(Underlying*EXP(-DividendYield*TimeToExpiration)*_xlfn.NORM.DIST(CH$2*(LN(Underlying/$H9)+(RiskFreeRate-DividendYield+0.5*CG9^2)*TimeToExpiration)/(CG9*TimeToExpiration^0.5), 0, 1, TRUE) - 
       $H9*EXP(-RiskFreeRate*TimeToExpiration)*_xlfn.NORM.DIST(CH$2*(LN(Underlying/$H9)+(RiskFreeRate-DividendYield-0.5*CG9^2)*TimeToExpiration)/(CG9*TimeToExpiration^0.5), 0, 1, TRUE)
)</f>
        <v>0.4239155695</v>
      </c>
      <c r="CI9" s="40">
        <f t="shared" si="42"/>
        <v>0.4582449951</v>
      </c>
      <c r="CJ9" s="40">
        <f t="shared" si="43"/>
        <v>0.458611084</v>
      </c>
      <c r="CK9" s="7">
        <f>CK$2*(Underlying*EXP(-DividendYield*TimeToExpiration)*_xlfn.NORM.DIST(CK$2*(LN(Underlying/$H9)+(RiskFreeRate-DividendYield+0.5*CI9^2)*TimeToExpiration)/(CI9*TimeToExpiration^0.5), 0, 1, TRUE) - 
       $H9*EXP(-RiskFreeRate*TimeToExpiration)*_xlfn.NORM.DIST(CK$2*(LN(Underlying/$H9)+(RiskFreeRate-DividendYield-0.5*CI9^2)*TimeToExpiration)/(CI9*TimeToExpiration^0.5), 0, 1, TRUE)
)</f>
        <v>0.4239155695</v>
      </c>
      <c r="CL9" s="7">
        <f>CL$2*(Underlying*EXP(-DividendYield*TimeToExpiration)*_xlfn.NORM.DIST(CL$2*(LN(Underlying/$H9)+(RiskFreeRate-DividendYield+0.5*CJ9^2)*TimeToExpiration)/(CJ9*TimeToExpiration^0.5), 0, 1, TRUE) - 
       $H9*EXP(-RiskFreeRate*TimeToExpiration)*_xlfn.NORM.DIST(CL$2*(LN(Underlying/$H9)+(RiskFreeRate-DividendYield-0.5*CJ9^2)*TimeToExpiration)/(CJ9*TimeToExpiration^0.5), 0, 1, TRUE)
)</f>
        <v>0.4256026476</v>
      </c>
      <c r="CM9" s="40">
        <f t="shared" si="44"/>
        <v>0.4584280396</v>
      </c>
      <c r="CN9" s="8">
        <f>CN$2*(Underlying*EXP(-DividendYield*TimeToExpiration)*_xlfn.NORM.DIST(CN$2*(LN(Underlying/$H9)+(RiskFreeRate-DividendYield+0.5*CM9^2)*TimeToExpiration)/(CM9*TimeToExpiration^0.5), 0, 1, TRUE) - 
       $H9*EXP(-RiskFreeRate*TimeToExpiration)*_xlfn.NORM.DIST(CN$2*(LN(Underlying/$H9)+(RiskFreeRate-DividendYield-0.5*CM9^2)*TimeToExpiration)/(CM9*TimeToExpiration^0.5), 0, 1, TRUE)
)</f>
        <v>0.4247586474</v>
      </c>
      <c r="CO9" s="40">
        <f t="shared" si="45"/>
        <v>0.4584280396</v>
      </c>
      <c r="CP9" s="40">
        <f t="shared" si="46"/>
        <v>0.458611084</v>
      </c>
      <c r="CQ9" s="7">
        <f>CQ$2*(Underlying*EXP(-DividendYield*TimeToExpiration)*_xlfn.NORM.DIST(CQ$2*(LN(Underlying/$H9)+(RiskFreeRate-DividendYield+0.5*CO9^2)*TimeToExpiration)/(CO9*TimeToExpiration^0.5), 0, 1, TRUE) - 
       $H9*EXP(-RiskFreeRate*TimeToExpiration)*_xlfn.NORM.DIST(CQ$2*(LN(Underlying/$H9)+(RiskFreeRate-DividendYield-0.5*CO9^2)*TimeToExpiration)/(CO9*TimeToExpiration^0.5), 0, 1, TRUE)
)</f>
        <v>0.4247586474</v>
      </c>
      <c r="CR9" s="7">
        <f>CR$2*(Underlying*EXP(-DividendYield*TimeToExpiration)*_xlfn.NORM.DIST(CR$2*(LN(Underlying/$H9)+(RiskFreeRate-DividendYield+0.5*CP9^2)*TimeToExpiration)/(CP9*TimeToExpiration^0.5), 0, 1, TRUE) - 
       $H9*EXP(-RiskFreeRate*TimeToExpiration)*_xlfn.NORM.DIST(CR$2*(LN(Underlying/$H9)+(RiskFreeRate-DividendYield-0.5*CP9^2)*TimeToExpiration)/(CP9*TimeToExpiration^0.5), 0, 1, TRUE)
)</f>
        <v>0.4256026476</v>
      </c>
      <c r="CS9" s="40">
        <f t="shared" si="47"/>
        <v>0.4585195618</v>
      </c>
      <c r="CT9" s="8">
        <f>CT$2*(Underlying*EXP(-DividendYield*TimeToExpiration)*_xlfn.NORM.DIST(CT$2*(LN(Underlying/$H9)+(RiskFreeRate-DividendYield+0.5*CS9^2)*TimeToExpiration)/(CS9*TimeToExpiration^0.5), 0, 1, TRUE) - 
       $H9*EXP(-RiskFreeRate*TimeToExpiration)*_xlfn.NORM.DIST(CT$2*(LN(Underlying/$H9)+(RiskFreeRate-DividendYield-0.5*CS9^2)*TimeToExpiration)/(CS9*TimeToExpiration^0.5), 0, 1, TRUE)
)</f>
        <v>0.4251805322</v>
      </c>
      <c r="CU9" s="40">
        <f t="shared" si="48"/>
        <v>0.4584280396</v>
      </c>
      <c r="CV9" s="40">
        <f t="shared" si="49"/>
        <v>0.4585195618</v>
      </c>
      <c r="CW9" s="7">
        <f>CW$2*(Underlying*EXP(-DividendYield*TimeToExpiration)*_xlfn.NORM.DIST(CW$2*(LN(Underlying/$H9)+(RiskFreeRate-DividendYield+0.5*CU9^2)*TimeToExpiration)/(CU9*TimeToExpiration^0.5), 0, 1, TRUE) - 
       $H9*EXP(-RiskFreeRate*TimeToExpiration)*_xlfn.NORM.DIST(CW$2*(LN(Underlying/$H9)+(RiskFreeRate-DividendYield-0.5*CU9^2)*TimeToExpiration)/(CU9*TimeToExpiration^0.5), 0, 1, TRUE)
)</f>
        <v>0.4247586474</v>
      </c>
      <c r="CX9" s="7">
        <f>CX$2*(Underlying*EXP(-DividendYield*TimeToExpiration)*_xlfn.NORM.DIST(CX$2*(LN(Underlying/$H9)+(RiskFreeRate-DividendYield+0.5*CV9^2)*TimeToExpiration)/(CV9*TimeToExpiration^0.5), 0, 1, TRUE) - 
       $H9*EXP(-RiskFreeRate*TimeToExpiration)*_xlfn.NORM.DIST(CX$2*(LN(Underlying/$H9)+(RiskFreeRate-DividendYield-0.5*CV9^2)*TimeToExpiration)/(CV9*TimeToExpiration^0.5), 0, 1, TRUE)
)</f>
        <v>0.4251805322</v>
      </c>
      <c r="CY9" s="40">
        <f t="shared" si="50"/>
        <v>0.4584738007</v>
      </c>
      <c r="CZ9" s="8">
        <f>CZ$2*(Underlying*EXP(-DividendYield*TimeToExpiration)*_xlfn.NORM.DIST(CZ$2*(LN(Underlying/$H9)+(RiskFreeRate-DividendYield+0.5*CY9^2)*TimeToExpiration)/(CY9*TimeToExpiration^0.5), 0, 1, TRUE) - 
       $H9*EXP(-RiskFreeRate*TimeToExpiration)*_xlfn.NORM.DIST(CZ$2*(LN(Underlying/$H9)+(RiskFreeRate-DividendYield-0.5*CY9^2)*TimeToExpiration)/(CY9*TimeToExpiration^0.5), 0, 1, TRUE)
)</f>
        <v>0.424969561</v>
      </c>
      <c r="DA9" s="40">
        <f t="shared" si="51"/>
        <v>0.4584738007</v>
      </c>
      <c r="DB9" s="40">
        <f t="shared" si="52"/>
        <v>0.4585195618</v>
      </c>
      <c r="DC9" s="7">
        <f>DC$2*(Underlying*EXP(-DividendYield*TimeToExpiration)*_xlfn.NORM.DIST(DC$2*(LN(Underlying/$H9)+(RiskFreeRate-DividendYield+0.5*DA9^2)*TimeToExpiration)/(DA9*TimeToExpiration^0.5), 0, 1, TRUE) - 
       $H9*EXP(-RiskFreeRate*TimeToExpiration)*_xlfn.NORM.DIST(DC$2*(LN(Underlying/$H9)+(RiskFreeRate-DividendYield-0.5*DA9^2)*TimeToExpiration)/(DA9*TimeToExpiration^0.5), 0, 1, TRUE)
)</f>
        <v>0.424969561</v>
      </c>
      <c r="DD9" s="7">
        <f>DD$2*(Underlying*EXP(-DividendYield*TimeToExpiration)*_xlfn.NORM.DIST(DD$2*(LN(Underlying/$H9)+(RiskFreeRate-DividendYield+0.5*DB9^2)*TimeToExpiration)/(DB9*TimeToExpiration^0.5), 0, 1, TRUE) - 
       $H9*EXP(-RiskFreeRate*TimeToExpiration)*_xlfn.NORM.DIST(DD$2*(LN(Underlying/$H9)+(RiskFreeRate-DividendYield-0.5*DB9^2)*TimeToExpiration)/(DB9*TimeToExpiration^0.5), 0, 1, TRUE)
)</f>
        <v>0.4251805322</v>
      </c>
      <c r="DE9" s="40">
        <f t="shared" si="53"/>
        <v>0.4584966812</v>
      </c>
      <c r="DF9" s="8">
        <f>DF$2*(Underlying*EXP(-DividendYield*TimeToExpiration)*_xlfn.NORM.DIST(DF$2*(LN(Underlying/$H9)+(RiskFreeRate-DividendYield+0.5*DE9^2)*TimeToExpiration)/(DE9*TimeToExpiration^0.5), 0, 1, TRUE) - 
       $H9*EXP(-RiskFreeRate*TimeToExpiration)*_xlfn.NORM.DIST(DF$2*(LN(Underlying/$H9)+(RiskFreeRate-DividendYield-0.5*DE9^2)*TimeToExpiration)/(DE9*TimeToExpiration^0.5), 0, 1, TRUE)
)</f>
        <v>0.4250750394</v>
      </c>
    </row>
    <row r="10">
      <c r="A10" s="20">
        <f>'Option Mkt Data'!A10</f>
        <v>307.5</v>
      </c>
      <c r="B10" s="35">
        <f t="shared" ref="B10:C10" si="57">DE10</f>
        <v>0.444036171</v>
      </c>
      <c r="C10" s="7">
        <f t="shared" si="57"/>
        <v>0.4951154096</v>
      </c>
      <c r="D10" s="7">
        <f t="shared" si="3"/>
        <v>0.0001154046297</v>
      </c>
      <c r="E10" s="9">
        <f t="shared" si="4"/>
        <v>0.0002331406637</v>
      </c>
      <c r="F10" s="36">
        <f>D10/'Option Mkt Data'!M10</f>
        <v>0.01154047451</v>
      </c>
      <c r="G10" s="5">
        <f>'Option Mkt Data'!K10</f>
        <v>0.495000005</v>
      </c>
      <c r="H10" s="33">
        <f>'Option Mkt Data'!A10</f>
        <v>307.5</v>
      </c>
      <c r="I10" s="37">
        <f>MinSolverVola</f>
        <v>0.001</v>
      </c>
      <c r="J10" s="38">
        <f>MaxSolverVola</f>
        <v>3</v>
      </c>
      <c r="K10" s="39">
        <f>K$2*(Underlying*EXP(-DividendYield*TimeToExpiration)*_xlfn.NORM.DIST(K$2*(LN(Underlying/$H10)+(RiskFreeRate-DividendYield+0.5*I10^2)*TimeToExpiration)/(I10*TimeToExpiration^0.5), 0, 1, TRUE) - 
       $H10*EXP(-RiskFreeRate*TimeToExpiration)*_xlfn.NORM.DIST(K$2*(LN(Underlying/$H10)+(RiskFreeRate-DividendYield-0.5*I10^2)*TimeToExpiration)/(I10*TimeToExpiration^0.5), 0, 1, TRUE)
)</f>
        <v>0</v>
      </c>
      <c r="L10" s="7">
        <f>L$2*(Underlying*EXP(-DividendYield*TimeToExpiration)*_xlfn.NORM.DIST(L$2*(LN(Underlying/$H10)+(RiskFreeRate-DividendYield+0.5*J10^2)*TimeToExpiration)/(J10*TimeToExpiration^0.5), 0, 1, TRUE) - 
       $H10*EXP(-RiskFreeRate*TimeToExpiration)*_xlfn.NORM.DIST(L$2*(LN(Underlying/$H10)+(RiskFreeRate-DividendYield-0.5*J10^2)*TimeToExpiration)/(J10*TimeToExpiration^0.5), 0, 1, TRUE)
)</f>
        <v>39.7438357</v>
      </c>
      <c r="M10" s="40">
        <f t="shared" si="5"/>
        <v>1.5005</v>
      </c>
      <c r="N10" s="8">
        <f>N$2*(Underlying*EXP(-DividendYield*TimeToExpiration)*_xlfn.NORM.DIST(N$2*(LN(Underlying/$H10)+(RiskFreeRate-DividendYield+0.5*M10^2)*TimeToExpiration)/(M10*TimeToExpiration^0.5), 0, 1, TRUE) - 
       $H10*EXP(-RiskFreeRate*TimeToExpiration)*_xlfn.NORM.DIST(N$2*(LN(Underlying/$H10)+(RiskFreeRate-DividendYield-0.5*M10^2)*TimeToExpiration)/(M10*TimeToExpiration^0.5), 0, 1, TRUE)
)</f>
        <v>14.21652427</v>
      </c>
      <c r="O10" s="41">
        <f t="shared" si="6"/>
        <v>0.001</v>
      </c>
      <c r="P10" s="40">
        <f t="shared" si="7"/>
        <v>1.5005</v>
      </c>
      <c r="Q10" s="7">
        <f>Q$2*(Underlying*EXP(-DividendYield*TimeToExpiration)*_xlfn.NORM.DIST(Q$2*(LN(Underlying/$H10)+(RiskFreeRate-DividendYield+0.5*O10^2)*TimeToExpiration)/(O10*TimeToExpiration^0.5), 0, 1, TRUE) - 
       $H10*EXP(-RiskFreeRate*TimeToExpiration)*_xlfn.NORM.DIST(Q$2*(LN(Underlying/$H10)+(RiskFreeRate-DividendYield-0.5*O10^2)*TimeToExpiration)/(O10*TimeToExpiration^0.5), 0, 1, TRUE)
)</f>
        <v>0</v>
      </c>
      <c r="R10" s="7">
        <f>R$2*(Underlying*EXP(-DividendYield*TimeToExpiration)*_xlfn.NORM.DIST(R$2*(LN(Underlying/$H10)+(RiskFreeRate-DividendYield+0.5*P10^2)*TimeToExpiration)/(P10*TimeToExpiration^0.5), 0, 1, TRUE) - 
       $H10*EXP(-RiskFreeRate*TimeToExpiration)*_xlfn.NORM.DIST(R$2*(LN(Underlying/$H10)+(RiskFreeRate-DividendYield-0.5*P10^2)*TimeToExpiration)/(P10*TimeToExpiration^0.5), 0, 1, TRUE)
)</f>
        <v>14.21652427</v>
      </c>
      <c r="S10" s="40">
        <f t="shared" si="8"/>
        <v>0.75075</v>
      </c>
      <c r="T10" s="8">
        <f>T$2*(Underlying*EXP(-DividendYield*TimeToExpiration)*_xlfn.NORM.DIST(T$2*(LN(Underlying/$H10)+(RiskFreeRate-DividendYield+0.5*S10^2)*TimeToExpiration)/(S10*TimeToExpiration^0.5), 0, 1, TRUE) - 
       $H10*EXP(-RiskFreeRate*TimeToExpiration)*_xlfn.NORM.DIST(T$2*(LN(Underlying/$H10)+(RiskFreeRate-DividendYield-0.5*S10^2)*TimeToExpiration)/(S10*TimeToExpiration^0.5), 0, 1, TRUE)
)</f>
        <v>3.231648158</v>
      </c>
      <c r="U10" s="41">
        <f t="shared" si="9"/>
        <v>0.001</v>
      </c>
      <c r="V10" s="40">
        <f t="shared" si="10"/>
        <v>0.75075</v>
      </c>
      <c r="W10" s="7">
        <f>W$2*(Underlying*EXP(-DividendYield*TimeToExpiration)*_xlfn.NORM.DIST(W$2*(LN(Underlying/$H10)+(RiskFreeRate-DividendYield+0.5*U10^2)*TimeToExpiration)/(U10*TimeToExpiration^0.5), 0, 1, TRUE) - 
       $H10*EXP(-RiskFreeRate*TimeToExpiration)*_xlfn.NORM.DIST(W$2*(LN(Underlying/$H10)+(RiskFreeRate-DividendYield-0.5*U10^2)*TimeToExpiration)/(U10*TimeToExpiration^0.5), 0, 1, TRUE)
)</f>
        <v>0</v>
      </c>
      <c r="X10" s="7">
        <f>X$2*(Underlying*EXP(-DividendYield*TimeToExpiration)*_xlfn.NORM.DIST(X$2*(LN(Underlying/$H10)+(RiskFreeRate-DividendYield+0.5*V10^2)*TimeToExpiration)/(V10*TimeToExpiration^0.5), 0, 1, TRUE) - 
       $H10*EXP(-RiskFreeRate*TimeToExpiration)*_xlfn.NORM.DIST(X$2*(LN(Underlying/$H10)+(RiskFreeRate-DividendYield-0.5*V10^2)*TimeToExpiration)/(V10*TimeToExpiration^0.5), 0, 1, TRUE)
)</f>
        <v>3.231648158</v>
      </c>
      <c r="Y10" s="40">
        <f t="shared" si="11"/>
        <v>0.375875</v>
      </c>
      <c r="Z10" s="8">
        <f>Z$2*(Underlying*EXP(-DividendYield*TimeToExpiration)*_xlfn.NORM.DIST(Z$2*(LN(Underlying/$H10)+(RiskFreeRate-DividendYield+0.5*Y10^2)*TimeToExpiration)/(Y10*TimeToExpiration^0.5), 0, 1, TRUE) - 
       $H10*EXP(-RiskFreeRate*TimeToExpiration)*_xlfn.NORM.DIST(Z$2*(LN(Underlying/$H10)+(RiskFreeRate-DividendYield-0.5*Y10^2)*TimeToExpiration)/(Y10*TimeToExpiration^0.5), 0, 1, TRUE)
)</f>
        <v>0.2075750346</v>
      </c>
      <c r="AA10" s="40">
        <f t="shared" si="12"/>
        <v>0.375875</v>
      </c>
      <c r="AB10" s="40">
        <f t="shared" si="13"/>
        <v>0.75075</v>
      </c>
      <c r="AC10" s="7">
        <f>AC$2*(Underlying*EXP(-DividendYield*TimeToExpiration)*_xlfn.NORM.DIST(AC$2*(LN(Underlying/$H10)+(RiskFreeRate-DividendYield+0.5*AA10^2)*TimeToExpiration)/(AA10*TimeToExpiration^0.5), 0, 1, TRUE) - 
       $H10*EXP(-RiskFreeRate*TimeToExpiration)*_xlfn.NORM.DIST(AC$2*(LN(Underlying/$H10)+(RiskFreeRate-DividendYield-0.5*AA10^2)*TimeToExpiration)/(AA10*TimeToExpiration^0.5), 0, 1, TRUE)
)</f>
        <v>0.2075750346</v>
      </c>
      <c r="AD10" s="7">
        <f>AD$2*(Underlying*EXP(-DividendYield*TimeToExpiration)*_xlfn.NORM.DIST(AD$2*(LN(Underlying/$H10)+(RiskFreeRate-DividendYield+0.5*AB10^2)*TimeToExpiration)/(AB10*TimeToExpiration^0.5), 0, 1, TRUE) - 
       $H10*EXP(-RiskFreeRate*TimeToExpiration)*_xlfn.NORM.DIST(AD$2*(LN(Underlying/$H10)+(RiskFreeRate-DividendYield-0.5*AB10^2)*TimeToExpiration)/(AB10*TimeToExpiration^0.5), 0, 1, TRUE)
)</f>
        <v>3.231648158</v>
      </c>
      <c r="AE10" s="40">
        <f t="shared" si="14"/>
        <v>0.5633125</v>
      </c>
      <c r="AF10" s="8">
        <f>AF$2*(Underlying*EXP(-DividendYield*TimeToExpiration)*_xlfn.NORM.DIST(AF$2*(LN(Underlying/$H10)+(RiskFreeRate-DividendYield+0.5*AE10^2)*TimeToExpiration)/(AE10*TimeToExpiration^0.5), 0, 1, TRUE) - 
       $H10*EXP(-RiskFreeRate*TimeToExpiration)*_xlfn.NORM.DIST(AF$2*(LN(Underlying/$H10)+(RiskFreeRate-DividendYield-0.5*AE10^2)*TimeToExpiration)/(AE10*TimeToExpiration^0.5), 0, 1, TRUE)
)</f>
        <v>1.315400126</v>
      </c>
      <c r="AG10" s="40">
        <f t="shared" si="15"/>
        <v>0.375875</v>
      </c>
      <c r="AH10" s="40">
        <f t="shared" si="16"/>
        <v>0.5633125</v>
      </c>
      <c r="AI10" s="7">
        <f>AI$2*(Underlying*EXP(-DividendYield*TimeToExpiration)*_xlfn.NORM.DIST(AI$2*(LN(Underlying/$H10)+(RiskFreeRate-DividendYield+0.5*AG10^2)*TimeToExpiration)/(AG10*TimeToExpiration^0.5), 0, 1, TRUE) - 
       $H10*EXP(-RiskFreeRate*TimeToExpiration)*_xlfn.NORM.DIST(AI$2*(LN(Underlying/$H10)+(RiskFreeRate-DividendYield-0.5*AG10^2)*TimeToExpiration)/(AG10*TimeToExpiration^0.5), 0, 1, TRUE)
)</f>
        <v>0.2075750346</v>
      </c>
      <c r="AJ10" s="7">
        <f>AJ$2*(Underlying*EXP(-DividendYield*TimeToExpiration)*_xlfn.NORM.DIST(AJ$2*(LN(Underlying/$H10)+(RiskFreeRate-DividendYield+0.5*AH10^2)*TimeToExpiration)/(AH10*TimeToExpiration^0.5), 0, 1, TRUE) - 
       $H10*EXP(-RiskFreeRate*TimeToExpiration)*_xlfn.NORM.DIST(AJ$2*(LN(Underlying/$H10)+(RiskFreeRate-DividendYield-0.5*AH10^2)*TimeToExpiration)/(AH10*TimeToExpiration^0.5), 0, 1, TRUE)
)</f>
        <v>1.315400126</v>
      </c>
      <c r="AK10" s="40">
        <f t="shared" si="17"/>
        <v>0.46959375</v>
      </c>
      <c r="AL10" s="8">
        <f>AL$2*(Underlying*EXP(-DividendYield*TimeToExpiration)*_xlfn.NORM.DIST(AL$2*(LN(Underlying/$H10)+(RiskFreeRate-DividendYield+0.5*AK10^2)*TimeToExpiration)/(AK10*TimeToExpiration^0.5), 0, 1, TRUE) - 
       $H10*EXP(-RiskFreeRate*TimeToExpiration)*_xlfn.NORM.DIST(AL$2*(LN(Underlying/$H10)+(RiskFreeRate-DividendYield-0.5*AK10^2)*TimeToExpiration)/(AK10*TimeToExpiration^0.5), 0, 1, TRUE)
)</f>
        <v>0.6384113455</v>
      </c>
      <c r="AM10" s="40">
        <f t="shared" si="18"/>
        <v>0.375875</v>
      </c>
      <c r="AN10" s="40">
        <f t="shared" si="19"/>
        <v>0.46959375</v>
      </c>
      <c r="AO10" s="7">
        <f>AO$2*(Underlying*EXP(-DividendYield*TimeToExpiration)*_xlfn.NORM.DIST(AO$2*(LN(Underlying/$H10)+(RiskFreeRate-DividendYield+0.5*AM10^2)*TimeToExpiration)/(AM10*TimeToExpiration^0.5), 0, 1, TRUE) - 
       $H10*EXP(-RiskFreeRate*TimeToExpiration)*_xlfn.NORM.DIST(AO$2*(LN(Underlying/$H10)+(RiskFreeRate-DividendYield-0.5*AM10^2)*TimeToExpiration)/(AM10*TimeToExpiration^0.5), 0, 1, TRUE)
)</f>
        <v>0.2075750346</v>
      </c>
      <c r="AP10" s="7">
        <f>AP$2*(Underlying*EXP(-DividendYield*TimeToExpiration)*_xlfn.NORM.DIST(AP$2*(LN(Underlying/$H10)+(RiskFreeRate-DividendYield+0.5*AN10^2)*TimeToExpiration)/(AN10*TimeToExpiration^0.5), 0, 1, TRUE) - 
       $H10*EXP(-RiskFreeRate*TimeToExpiration)*_xlfn.NORM.DIST(AP$2*(LN(Underlying/$H10)+(RiskFreeRate-DividendYield-0.5*AN10^2)*TimeToExpiration)/(AN10*TimeToExpiration^0.5), 0, 1, TRUE)
)</f>
        <v>0.6384113455</v>
      </c>
      <c r="AQ10" s="40">
        <f t="shared" si="20"/>
        <v>0.422734375</v>
      </c>
      <c r="AR10" s="8">
        <f>AR$2*(Underlying*EXP(-DividendYield*TimeToExpiration)*_xlfn.NORM.DIST(AR$2*(LN(Underlying/$H10)+(RiskFreeRate-DividendYield+0.5*AQ10^2)*TimeToExpiration)/(AQ10*TimeToExpiration^0.5), 0, 1, TRUE) - 
       $H10*EXP(-RiskFreeRate*TimeToExpiration)*_xlfn.NORM.DIST(AR$2*(LN(Underlying/$H10)+(RiskFreeRate-DividendYield-0.5*AQ10^2)*TimeToExpiration)/(AQ10*TimeToExpiration^0.5), 0, 1, TRUE)
)</f>
        <v>0.3903038405</v>
      </c>
      <c r="AS10" s="40">
        <f t="shared" si="21"/>
        <v>0.422734375</v>
      </c>
      <c r="AT10" s="40">
        <f t="shared" si="22"/>
        <v>0.46959375</v>
      </c>
      <c r="AU10" s="7">
        <f>AU$2*(Underlying*EXP(-DividendYield*TimeToExpiration)*_xlfn.NORM.DIST(AU$2*(LN(Underlying/$H10)+(RiskFreeRate-DividendYield+0.5*AS10^2)*TimeToExpiration)/(AS10*TimeToExpiration^0.5), 0, 1, TRUE) - 
       $H10*EXP(-RiskFreeRate*TimeToExpiration)*_xlfn.NORM.DIST(AU$2*(LN(Underlying/$H10)+(RiskFreeRate-DividendYield-0.5*AS10^2)*TimeToExpiration)/(AS10*TimeToExpiration^0.5), 0, 1, TRUE)
)</f>
        <v>0.3903038405</v>
      </c>
      <c r="AV10" s="7">
        <f>AV$2*(Underlying*EXP(-DividendYield*TimeToExpiration)*_xlfn.NORM.DIST(AV$2*(LN(Underlying/$H10)+(RiskFreeRate-DividendYield+0.5*AT10^2)*TimeToExpiration)/(AT10*TimeToExpiration^0.5), 0, 1, TRUE) - 
       $H10*EXP(-RiskFreeRate*TimeToExpiration)*_xlfn.NORM.DIST(AV$2*(LN(Underlying/$H10)+(RiskFreeRate-DividendYield-0.5*AT10^2)*TimeToExpiration)/(AT10*TimeToExpiration^0.5), 0, 1, TRUE)
)</f>
        <v>0.6384113455</v>
      </c>
      <c r="AW10" s="40">
        <f t="shared" si="23"/>
        <v>0.4461640625</v>
      </c>
      <c r="AX10" s="8">
        <f>AX$2*(Underlying*EXP(-DividendYield*TimeToExpiration)*_xlfn.NORM.DIST(AX$2*(LN(Underlying/$H10)+(RiskFreeRate-DividendYield+0.5*AW10^2)*TimeToExpiration)/(AW10*TimeToExpiration^0.5), 0, 1, TRUE) - 
       $H10*EXP(-RiskFreeRate*TimeToExpiration)*_xlfn.NORM.DIST(AX$2*(LN(Underlying/$H10)+(RiskFreeRate-DividendYield-0.5*AW10^2)*TimeToExpiration)/(AW10*TimeToExpiration^0.5), 0, 1, TRUE)
)</f>
        <v>0.5063223868</v>
      </c>
      <c r="AY10" s="40">
        <f t="shared" si="24"/>
        <v>0.422734375</v>
      </c>
      <c r="AZ10" s="40">
        <f t="shared" si="25"/>
        <v>0.4461640625</v>
      </c>
      <c r="BA10" s="7">
        <f>BA$2*(Underlying*EXP(-DividendYield*TimeToExpiration)*_xlfn.NORM.DIST(BA$2*(LN(Underlying/$H10)+(RiskFreeRate-DividendYield+0.5*AY10^2)*TimeToExpiration)/(AY10*TimeToExpiration^0.5), 0, 1, TRUE) - 
       $H10*EXP(-RiskFreeRate*TimeToExpiration)*_xlfn.NORM.DIST(BA$2*(LN(Underlying/$H10)+(RiskFreeRate-DividendYield-0.5*AY10^2)*TimeToExpiration)/(AY10*TimeToExpiration^0.5), 0, 1, TRUE)
)</f>
        <v>0.3903038405</v>
      </c>
      <c r="BB10" s="7">
        <f>BB$2*(Underlying*EXP(-DividendYield*TimeToExpiration)*_xlfn.NORM.DIST(BB$2*(LN(Underlying/$H10)+(RiskFreeRate-DividendYield+0.5*AZ10^2)*TimeToExpiration)/(AZ10*TimeToExpiration^0.5), 0, 1, TRUE) - 
       $H10*EXP(-RiskFreeRate*TimeToExpiration)*_xlfn.NORM.DIST(BB$2*(LN(Underlying/$H10)+(RiskFreeRate-DividendYield-0.5*AZ10^2)*TimeToExpiration)/(AZ10*TimeToExpiration^0.5), 0, 1, TRUE)
)</f>
        <v>0.5063223868</v>
      </c>
      <c r="BC10" s="40">
        <f t="shared" si="26"/>
        <v>0.4344492188</v>
      </c>
      <c r="BD10" s="8">
        <f>BD$2*(Underlying*EXP(-DividendYield*TimeToExpiration)*_xlfn.NORM.DIST(BD$2*(LN(Underlying/$H10)+(RiskFreeRate-DividendYield+0.5*BC10^2)*TimeToExpiration)/(BC10*TimeToExpiration^0.5), 0, 1, TRUE) - 
       $H10*EXP(-RiskFreeRate*TimeToExpiration)*_xlfn.NORM.DIST(BD$2*(LN(Underlying/$H10)+(RiskFreeRate-DividendYield-0.5*BC10^2)*TimeToExpiration)/(BC10*TimeToExpiration^0.5), 0, 1, TRUE)
)</f>
        <v>0.446277839</v>
      </c>
      <c r="BE10" s="40">
        <f t="shared" si="27"/>
        <v>0.4344492188</v>
      </c>
      <c r="BF10" s="40">
        <f t="shared" si="28"/>
        <v>0.4461640625</v>
      </c>
      <c r="BG10" s="7">
        <f>BG$2*(Underlying*EXP(-DividendYield*TimeToExpiration)*_xlfn.NORM.DIST(BG$2*(LN(Underlying/$H10)+(RiskFreeRate-DividendYield+0.5*BE10^2)*TimeToExpiration)/(BE10*TimeToExpiration^0.5), 0, 1, TRUE) - 
       $H10*EXP(-RiskFreeRate*TimeToExpiration)*_xlfn.NORM.DIST(BG$2*(LN(Underlying/$H10)+(RiskFreeRate-DividendYield-0.5*BE10^2)*TimeToExpiration)/(BE10*TimeToExpiration^0.5), 0, 1, TRUE)
)</f>
        <v>0.446277839</v>
      </c>
      <c r="BH10" s="7">
        <f>BH$2*(Underlying*EXP(-DividendYield*TimeToExpiration)*_xlfn.NORM.DIST(BH$2*(LN(Underlying/$H10)+(RiskFreeRate-DividendYield+0.5*BF10^2)*TimeToExpiration)/(BF10*TimeToExpiration^0.5), 0, 1, TRUE) - 
       $H10*EXP(-RiskFreeRate*TimeToExpiration)*_xlfn.NORM.DIST(BH$2*(LN(Underlying/$H10)+(RiskFreeRate-DividendYield-0.5*BF10^2)*TimeToExpiration)/(BF10*TimeToExpiration^0.5), 0, 1, TRUE)
)</f>
        <v>0.5063223868</v>
      </c>
      <c r="BI10" s="40">
        <f t="shared" si="29"/>
        <v>0.4403066406</v>
      </c>
      <c r="BJ10" s="8">
        <f>BJ$2*(Underlying*EXP(-DividendYield*TimeToExpiration)*_xlfn.NORM.DIST(BJ$2*(LN(Underlying/$H10)+(RiskFreeRate-DividendYield+0.5*BI10^2)*TimeToExpiration)/(BI10*TimeToExpiration^0.5), 0, 1, TRUE) - 
       $H10*EXP(-RiskFreeRate*TimeToExpiration)*_xlfn.NORM.DIST(BJ$2*(LN(Underlying/$H10)+(RiskFreeRate-DividendYield-0.5*BI10^2)*TimeToExpiration)/(BI10*TimeToExpiration^0.5), 0, 1, TRUE)
)</f>
        <v>0.4757941285</v>
      </c>
      <c r="BK10" s="40">
        <f t="shared" si="30"/>
        <v>0.4403066406</v>
      </c>
      <c r="BL10" s="40">
        <f t="shared" si="31"/>
        <v>0.4461640625</v>
      </c>
      <c r="BM10" s="7">
        <f>BM$2*(Underlying*EXP(-DividendYield*TimeToExpiration)*_xlfn.NORM.DIST(BM$2*(LN(Underlying/$H10)+(RiskFreeRate-DividendYield+0.5*BK10^2)*TimeToExpiration)/(BK10*TimeToExpiration^0.5), 0, 1, TRUE) - 
       $H10*EXP(-RiskFreeRate*TimeToExpiration)*_xlfn.NORM.DIST(BM$2*(LN(Underlying/$H10)+(RiskFreeRate-DividendYield-0.5*BK10^2)*TimeToExpiration)/(BK10*TimeToExpiration^0.5), 0, 1, TRUE)
)</f>
        <v>0.4757941285</v>
      </c>
      <c r="BN10" s="7">
        <f>BN$2*(Underlying*EXP(-DividendYield*TimeToExpiration)*_xlfn.NORM.DIST(BN$2*(LN(Underlying/$H10)+(RiskFreeRate-DividendYield+0.5*BL10^2)*TimeToExpiration)/(BL10*TimeToExpiration^0.5), 0, 1, TRUE) - 
       $H10*EXP(-RiskFreeRate*TimeToExpiration)*_xlfn.NORM.DIST(BN$2*(LN(Underlying/$H10)+(RiskFreeRate-DividendYield-0.5*BL10^2)*TimeToExpiration)/(BL10*TimeToExpiration^0.5), 0, 1, TRUE)
)</f>
        <v>0.5063223868</v>
      </c>
      <c r="BO10" s="40">
        <f t="shared" si="32"/>
        <v>0.4432353516</v>
      </c>
      <c r="BP10" s="8">
        <f>BP$2*(Underlying*EXP(-DividendYield*TimeToExpiration)*_xlfn.NORM.DIST(BP$2*(LN(Underlying/$H10)+(RiskFreeRate-DividendYield+0.5*BO10^2)*TimeToExpiration)/(BO10*TimeToExpiration^0.5), 0, 1, TRUE) - 
       $H10*EXP(-RiskFreeRate*TimeToExpiration)*_xlfn.NORM.DIST(BP$2*(LN(Underlying/$H10)+(RiskFreeRate-DividendYield-0.5*BO10^2)*TimeToExpiration)/(BO10*TimeToExpiration^0.5), 0, 1, TRUE)
)</f>
        <v>0.490932161</v>
      </c>
      <c r="BQ10" s="40">
        <f t="shared" si="33"/>
        <v>0.4432353516</v>
      </c>
      <c r="BR10" s="40">
        <f t="shared" si="34"/>
        <v>0.4461640625</v>
      </c>
      <c r="BS10" s="7">
        <f>BS$2*(Underlying*EXP(-DividendYield*TimeToExpiration)*_xlfn.NORM.DIST(BS$2*(LN(Underlying/$H10)+(RiskFreeRate-DividendYield+0.5*BQ10^2)*TimeToExpiration)/(BQ10*TimeToExpiration^0.5), 0, 1, TRUE) - 
       $H10*EXP(-RiskFreeRate*TimeToExpiration)*_xlfn.NORM.DIST(BS$2*(LN(Underlying/$H10)+(RiskFreeRate-DividendYield-0.5*BQ10^2)*TimeToExpiration)/(BQ10*TimeToExpiration^0.5), 0, 1, TRUE)
)</f>
        <v>0.490932161</v>
      </c>
      <c r="BT10" s="7">
        <f>BT$2*(Underlying*EXP(-DividendYield*TimeToExpiration)*_xlfn.NORM.DIST(BT$2*(LN(Underlying/$H10)+(RiskFreeRate-DividendYield+0.5*BR10^2)*TimeToExpiration)/(BR10*TimeToExpiration^0.5), 0, 1, TRUE) - 
       $H10*EXP(-RiskFreeRate*TimeToExpiration)*_xlfn.NORM.DIST(BT$2*(LN(Underlying/$H10)+(RiskFreeRate-DividendYield-0.5*BR10^2)*TimeToExpiration)/(BR10*TimeToExpiration^0.5), 0, 1, TRUE)
)</f>
        <v>0.5063223868</v>
      </c>
      <c r="BU10" s="40">
        <f t="shared" si="35"/>
        <v>0.444699707</v>
      </c>
      <c r="BV10" s="8">
        <f>BV$2*(Underlying*EXP(-DividendYield*TimeToExpiration)*_xlfn.NORM.DIST(BV$2*(LN(Underlying/$H10)+(RiskFreeRate-DividendYield+0.5*BU10^2)*TimeToExpiration)/(BU10*TimeToExpiration^0.5), 0, 1, TRUE) - 
       $H10*EXP(-RiskFreeRate*TimeToExpiration)*_xlfn.NORM.DIST(BV$2*(LN(Underlying/$H10)+(RiskFreeRate-DividendYield-0.5*BU10^2)*TimeToExpiration)/(BU10*TimeToExpiration^0.5), 0, 1, TRUE)
)</f>
        <v>0.4985958023</v>
      </c>
      <c r="BW10" s="40">
        <f t="shared" si="36"/>
        <v>0.4432353516</v>
      </c>
      <c r="BX10" s="40">
        <f t="shared" si="37"/>
        <v>0.444699707</v>
      </c>
      <c r="BY10" s="7">
        <f>BY$2*(Underlying*EXP(-DividendYield*TimeToExpiration)*_xlfn.NORM.DIST(BY$2*(LN(Underlying/$H10)+(RiskFreeRate-DividendYield+0.5*BW10^2)*TimeToExpiration)/(BW10*TimeToExpiration^0.5), 0, 1, TRUE) - 
       $H10*EXP(-RiskFreeRate*TimeToExpiration)*_xlfn.NORM.DIST(BY$2*(LN(Underlying/$H10)+(RiskFreeRate-DividendYield-0.5*BW10^2)*TimeToExpiration)/(BW10*TimeToExpiration^0.5), 0, 1, TRUE)
)</f>
        <v>0.490932161</v>
      </c>
      <c r="BZ10" s="7">
        <f>BZ$2*(Underlying*EXP(-DividendYield*TimeToExpiration)*_xlfn.NORM.DIST(BZ$2*(LN(Underlying/$H10)+(RiskFreeRate-DividendYield+0.5*BX10^2)*TimeToExpiration)/(BX10*TimeToExpiration^0.5), 0, 1, TRUE) - 
       $H10*EXP(-RiskFreeRate*TimeToExpiration)*_xlfn.NORM.DIST(BZ$2*(LN(Underlying/$H10)+(RiskFreeRate-DividendYield-0.5*BX10^2)*TimeToExpiration)/(BX10*TimeToExpiration^0.5), 0, 1, TRUE)
)</f>
        <v>0.4985958023</v>
      </c>
      <c r="CA10" s="40">
        <f t="shared" si="38"/>
        <v>0.4439675293</v>
      </c>
      <c r="CB10" s="8">
        <f>CB$2*(Underlying*EXP(-DividendYield*TimeToExpiration)*_xlfn.NORM.DIST(CB$2*(LN(Underlying/$H10)+(RiskFreeRate-DividendYield+0.5*CA10^2)*TimeToExpiration)/(CA10*TimeToExpiration^0.5), 0, 1, TRUE) - 
       $H10*EXP(-RiskFreeRate*TimeToExpiration)*_xlfn.NORM.DIST(CB$2*(LN(Underlying/$H10)+(RiskFreeRate-DividendYield-0.5*CA10^2)*TimeToExpiration)/(CA10*TimeToExpiration^0.5), 0, 1, TRUE)
)</f>
        <v>0.494756107</v>
      </c>
      <c r="CC10" s="40">
        <f t="shared" si="39"/>
        <v>0.4439675293</v>
      </c>
      <c r="CD10" s="40">
        <f t="shared" si="40"/>
        <v>0.444699707</v>
      </c>
      <c r="CE10" s="7">
        <f>CE$2*(Underlying*EXP(-DividendYield*TimeToExpiration)*_xlfn.NORM.DIST(CE$2*(LN(Underlying/$H10)+(RiskFreeRate-DividendYield+0.5*CC10^2)*TimeToExpiration)/(CC10*TimeToExpiration^0.5), 0, 1, TRUE) - 
       $H10*EXP(-RiskFreeRate*TimeToExpiration)*_xlfn.NORM.DIST(CE$2*(LN(Underlying/$H10)+(RiskFreeRate-DividendYield-0.5*CC10^2)*TimeToExpiration)/(CC10*TimeToExpiration^0.5), 0, 1, TRUE)
)</f>
        <v>0.494756107</v>
      </c>
      <c r="CF10" s="7">
        <f>CF$2*(Underlying*EXP(-DividendYield*TimeToExpiration)*_xlfn.NORM.DIST(CF$2*(LN(Underlying/$H10)+(RiskFreeRate-DividendYield+0.5*CD10^2)*TimeToExpiration)/(CD10*TimeToExpiration^0.5), 0, 1, TRUE) - 
       $H10*EXP(-RiskFreeRate*TimeToExpiration)*_xlfn.NORM.DIST(CF$2*(LN(Underlying/$H10)+(RiskFreeRate-DividendYield-0.5*CD10^2)*TimeToExpiration)/(CD10*TimeToExpiration^0.5), 0, 1, TRUE)
)</f>
        <v>0.4985958023</v>
      </c>
      <c r="CG10" s="40">
        <f t="shared" si="41"/>
        <v>0.4443336182</v>
      </c>
      <c r="CH10" s="8">
        <f>CH$2*(Underlying*EXP(-DividendYield*TimeToExpiration)*_xlfn.NORM.DIST(CH$2*(LN(Underlying/$H10)+(RiskFreeRate-DividendYield+0.5*CG10^2)*TimeToExpiration)/(CG10*TimeToExpiration^0.5), 0, 1, TRUE) - 
       $H10*EXP(-RiskFreeRate*TimeToExpiration)*_xlfn.NORM.DIST(CH$2*(LN(Underlying/$H10)+(RiskFreeRate-DividendYield-0.5*CG10^2)*TimeToExpiration)/(CG10*TimeToExpiration^0.5), 0, 1, TRUE)
)</f>
        <v>0.4966739868</v>
      </c>
      <c r="CI10" s="40">
        <f t="shared" si="42"/>
        <v>0.4439675293</v>
      </c>
      <c r="CJ10" s="40">
        <f t="shared" si="43"/>
        <v>0.4443336182</v>
      </c>
      <c r="CK10" s="7">
        <f>CK$2*(Underlying*EXP(-DividendYield*TimeToExpiration)*_xlfn.NORM.DIST(CK$2*(LN(Underlying/$H10)+(RiskFreeRate-DividendYield+0.5*CI10^2)*TimeToExpiration)/(CI10*TimeToExpiration^0.5), 0, 1, TRUE) - 
       $H10*EXP(-RiskFreeRate*TimeToExpiration)*_xlfn.NORM.DIST(CK$2*(LN(Underlying/$H10)+(RiskFreeRate-DividendYield-0.5*CI10^2)*TimeToExpiration)/(CI10*TimeToExpiration^0.5), 0, 1, TRUE)
)</f>
        <v>0.494756107</v>
      </c>
      <c r="CL10" s="7">
        <f>CL$2*(Underlying*EXP(-DividendYield*TimeToExpiration)*_xlfn.NORM.DIST(CL$2*(LN(Underlying/$H10)+(RiskFreeRate-DividendYield+0.5*CJ10^2)*TimeToExpiration)/(CJ10*TimeToExpiration^0.5), 0, 1, TRUE) - 
       $H10*EXP(-RiskFreeRate*TimeToExpiration)*_xlfn.NORM.DIST(CL$2*(LN(Underlying/$H10)+(RiskFreeRate-DividendYield-0.5*CJ10^2)*TimeToExpiration)/(CJ10*TimeToExpiration^0.5), 0, 1, TRUE)
)</f>
        <v>0.4966739868</v>
      </c>
      <c r="CM10" s="40">
        <f t="shared" si="44"/>
        <v>0.4441505737</v>
      </c>
      <c r="CN10" s="8">
        <f>CN$2*(Underlying*EXP(-DividendYield*TimeToExpiration)*_xlfn.NORM.DIST(CN$2*(LN(Underlying/$H10)+(RiskFreeRate-DividendYield+0.5*CM10^2)*TimeToExpiration)/(CM10*TimeToExpiration^0.5), 0, 1, TRUE) - 
       $H10*EXP(-RiskFreeRate*TimeToExpiration)*_xlfn.NORM.DIST(CN$2*(LN(Underlying/$H10)+(RiskFreeRate-DividendYield-0.5*CM10^2)*TimeToExpiration)/(CM10*TimeToExpiration^0.5), 0, 1, TRUE)
)</f>
        <v>0.4957145549</v>
      </c>
      <c r="CO10" s="40">
        <f t="shared" si="45"/>
        <v>0.4439675293</v>
      </c>
      <c r="CP10" s="40">
        <f t="shared" si="46"/>
        <v>0.4441505737</v>
      </c>
      <c r="CQ10" s="7">
        <f>CQ$2*(Underlying*EXP(-DividendYield*TimeToExpiration)*_xlfn.NORM.DIST(CQ$2*(LN(Underlying/$H10)+(RiskFreeRate-DividendYield+0.5*CO10^2)*TimeToExpiration)/(CO10*TimeToExpiration^0.5), 0, 1, TRUE) - 
       $H10*EXP(-RiskFreeRate*TimeToExpiration)*_xlfn.NORM.DIST(CQ$2*(LN(Underlying/$H10)+(RiskFreeRate-DividendYield-0.5*CO10^2)*TimeToExpiration)/(CO10*TimeToExpiration^0.5), 0, 1, TRUE)
)</f>
        <v>0.494756107</v>
      </c>
      <c r="CR10" s="7">
        <f>CR$2*(Underlying*EXP(-DividendYield*TimeToExpiration)*_xlfn.NORM.DIST(CR$2*(LN(Underlying/$H10)+(RiskFreeRate-DividendYield+0.5*CP10^2)*TimeToExpiration)/(CP10*TimeToExpiration^0.5), 0, 1, TRUE) - 
       $H10*EXP(-RiskFreeRate*TimeToExpiration)*_xlfn.NORM.DIST(CR$2*(LN(Underlying/$H10)+(RiskFreeRate-DividendYield-0.5*CP10^2)*TimeToExpiration)/(CP10*TimeToExpiration^0.5), 0, 1, TRUE)
)</f>
        <v>0.4957145549</v>
      </c>
      <c r="CS10" s="40">
        <f t="shared" si="47"/>
        <v>0.4440590515</v>
      </c>
      <c r="CT10" s="8">
        <f>CT$2*(Underlying*EXP(-DividendYield*TimeToExpiration)*_xlfn.NORM.DIST(CT$2*(LN(Underlying/$H10)+(RiskFreeRate-DividendYield+0.5*CS10^2)*TimeToExpiration)/(CS10*TimeToExpiration^0.5), 0, 1, TRUE) - 
       $H10*EXP(-RiskFreeRate*TimeToExpiration)*_xlfn.NORM.DIST(CT$2*(LN(Underlying/$H10)+(RiskFreeRate-DividendYield-0.5*CS10^2)*TimeToExpiration)/(CS10*TimeToExpiration^0.5), 0, 1, TRUE)
)</f>
        <v>0.4952352079</v>
      </c>
      <c r="CU10" s="40">
        <f t="shared" si="48"/>
        <v>0.4439675293</v>
      </c>
      <c r="CV10" s="40">
        <f t="shared" si="49"/>
        <v>0.4440590515</v>
      </c>
      <c r="CW10" s="7">
        <f>CW$2*(Underlying*EXP(-DividendYield*TimeToExpiration)*_xlfn.NORM.DIST(CW$2*(LN(Underlying/$H10)+(RiskFreeRate-DividendYield+0.5*CU10^2)*TimeToExpiration)/(CU10*TimeToExpiration^0.5), 0, 1, TRUE) - 
       $H10*EXP(-RiskFreeRate*TimeToExpiration)*_xlfn.NORM.DIST(CW$2*(LN(Underlying/$H10)+(RiskFreeRate-DividendYield-0.5*CU10^2)*TimeToExpiration)/(CU10*TimeToExpiration^0.5), 0, 1, TRUE)
)</f>
        <v>0.494756107</v>
      </c>
      <c r="CX10" s="7">
        <f>CX$2*(Underlying*EXP(-DividendYield*TimeToExpiration)*_xlfn.NORM.DIST(CX$2*(LN(Underlying/$H10)+(RiskFreeRate-DividendYield+0.5*CV10^2)*TimeToExpiration)/(CV10*TimeToExpiration^0.5), 0, 1, TRUE) - 
       $H10*EXP(-RiskFreeRate*TimeToExpiration)*_xlfn.NORM.DIST(CX$2*(LN(Underlying/$H10)+(RiskFreeRate-DividendYield-0.5*CV10^2)*TimeToExpiration)/(CV10*TimeToExpiration^0.5), 0, 1, TRUE)
)</f>
        <v>0.4952352079</v>
      </c>
      <c r="CY10" s="40">
        <f t="shared" si="50"/>
        <v>0.4440132904</v>
      </c>
      <c r="CZ10" s="8">
        <f>CZ$2*(Underlying*EXP(-DividendYield*TimeToExpiration)*_xlfn.NORM.DIST(CZ$2*(LN(Underlying/$H10)+(RiskFreeRate-DividendYield+0.5*CY10^2)*TimeToExpiration)/(CY10*TimeToExpiration^0.5), 0, 1, TRUE) - 
       $H10*EXP(-RiskFreeRate*TimeToExpiration)*_xlfn.NORM.DIST(CZ$2*(LN(Underlying/$H10)+(RiskFreeRate-DividendYield-0.5*CY10^2)*TimeToExpiration)/(CY10*TimeToExpiration^0.5), 0, 1, TRUE)
)</f>
        <v>0.4949956267</v>
      </c>
      <c r="DA10" s="40">
        <f t="shared" si="51"/>
        <v>0.4440132904</v>
      </c>
      <c r="DB10" s="40">
        <f t="shared" si="52"/>
        <v>0.4440590515</v>
      </c>
      <c r="DC10" s="7">
        <f>DC$2*(Underlying*EXP(-DividendYield*TimeToExpiration)*_xlfn.NORM.DIST(DC$2*(LN(Underlying/$H10)+(RiskFreeRate-DividendYield+0.5*DA10^2)*TimeToExpiration)/(DA10*TimeToExpiration^0.5), 0, 1, TRUE) - 
       $H10*EXP(-RiskFreeRate*TimeToExpiration)*_xlfn.NORM.DIST(DC$2*(LN(Underlying/$H10)+(RiskFreeRate-DividendYield-0.5*DA10^2)*TimeToExpiration)/(DA10*TimeToExpiration^0.5), 0, 1, TRUE)
)</f>
        <v>0.4949956267</v>
      </c>
      <c r="DD10" s="7">
        <f>DD$2*(Underlying*EXP(-DividendYield*TimeToExpiration)*_xlfn.NORM.DIST(DD$2*(LN(Underlying/$H10)+(RiskFreeRate-DividendYield+0.5*DB10^2)*TimeToExpiration)/(DB10*TimeToExpiration^0.5), 0, 1, TRUE) - 
       $H10*EXP(-RiskFreeRate*TimeToExpiration)*_xlfn.NORM.DIST(DD$2*(LN(Underlying/$H10)+(RiskFreeRate-DividendYield-0.5*DB10^2)*TimeToExpiration)/(DB10*TimeToExpiration^0.5), 0, 1, TRUE)
)</f>
        <v>0.4952352079</v>
      </c>
      <c r="DE10" s="40">
        <f t="shared" si="53"/>
        <v>0.444036171</v>
      </c>
      <c r="DF10" s="8">
        <f>DF$2*(Underlying*EXP(-DividendYield*TimeToExpiration)*_xlfn.NORM.DIST(DF$2*(LN(Underlying/$H10)+(RiskFreeRate-DividendYield+0.5*DE10^2)*TimeToExpiration)/(DE10*TimeToExpiration^0.5), 0, 1, TRUE) - 
       $H10*EXP(-RiskFreeRate*TimeToExpiration)*_xlfn.NORM.DIST(DF$2*(LN(Underlying/$H10)+(RiskFreeRate-DividendYield-0.5*DE10^2)*TimeToExpiration)/(DE10*TimeToExpiration^0.5), 0, 1, TRUE)
)</f>
        <v>0.4951154096</v>
      </c>
    </row>
    <row r="11">
      <c r="A11" s="20">
        <f>'Option Mkt Data'!A11</f>
        <v>310</v>
      </c>
      <c r="B11" s="35">
        <f t="shared" ref="B11:C11" si="58">DE11</f>
        <v>0.4306281662</v>
      </c>
      <c r="C11" s="7">
        <f t="shared" si="58"/>
        <v>0.5850305713</v>
      </c>
      <c r="D11" s="7">
        <f t="shared" si="3"/>
        <v>0.00003059277617</v>
      </c>
      <c r="E11" s="9">
        <f t="shared" si="4"/>
        <v>0.0000522953458</v>
      </c>
      <c r="F11" s="36">
        <f>D11/'Option Mkt Data'!M11</f>
        <v>0.00305928037</v>
      </c>
      <c r="G11" s="5">
        <f>'Option Mkt Data'!K11</f>
        <v>0.5849999785</v>
      </c>
      <c r="H11" s="33">
        <f>'Option Mkt Data'!A11</f>
        <v>310</v>
      </c>
      <c r="I11" s="37">
        <f>MinSolverVola</f>
        <v>0.001</v>
      </c>
      <c r="J11" s="38">
        <f>MaxSolverVola</f>
        <v>3</v>
      </c>
      <c r="K11" s="39">
        <f>K$2*(Underlying*EXP(-DividendYield*TimeToExpiration)*_xlfn.NORM.DIST(K$2*(LN(Underlying/$H11)+(RiskFreeRate-DividendYield+0.5*I11^2)*TimeToExpiration)/(I11*TimeToExpiration^0.5), 0, 1, TRUE) - 
       $H11*EXP(-RiskFreeRate*TimeToExpiration)*_xlfn.NORM.DIST(K$2*(LN(Underlying/$H11)+(RiskFreeRate-DividendYield-0.5*I11^2)*TimeToExpiration)/(I11*TimeToExpiration^0.5), 0, 1, TRUE)
)</f>
        <v>0</v>
      </c>
      <c r="L11" s="7">
        <f>L$2*(Underlying*EXP(-DividendYield*TimeToExpiration)*_xlfn.NORM.DIST(L$2*(LN(Underlying/$H11)+(RiskFreeRate-DividendYield+0.5*J11^2)*TimeToExpiration)/(J11*TimeToExpiration^0.5), 0, 1, TRUE) - 
       $H11*EXP(-RiskFreeRate*TimeToExpiration)*_xlfn.NORM.DIST(L$2*(LN(Underlying/$H11)+(RiskFreeRate-DividendYield-0.5*J11^2)*TimeToExpiration)/(J11*TimeToExpiration^0.5), 0, 1, TRUE)
)</f>
        <v>40.98079261</v>
      </c>
      <c r="M11" s="40">
        <f t="shared" si="5"/>
        <v>1.5005</v>
      </c>
      <c r="N11" s="8">
        <f>N$2*(Underlying*EXP(-DividendYield*TimeToExpiration)*_xlfn.NORM.DIST(N$2*(LN(Underlying/$H11)+(RiskFreeRate-DividendYield+0.5*M11^2)*TimeToExpiration)/(M11*TimeToExpiration^0.5), 0, 1, TRUE) - 
       $H11*EXP(-RiskFreeRate*TimeToExpiration)*_xlfn.NORM.DIST(N$2*(LN(Underlying/$H11)+(RiskFreeRate-DividendYield-0.5*M11^2)*TimeToExpiration)/(M11*TimeToExpiration^0.5), 0, 1, TRUE)
)</f>
        <v>15.13119398</v>
      </c>
      <c r="O11" s="41">
        <f t="shared" si="6"/>
        <v>0.001</v>
      </c>
      <c r="P11" s="40">
        <f t="shared" si="7"/>
        <v>1.5005</v>
      </c>
      <c r="Q11" s="7">
        <f>Q$2*(Underlying*EXP(-DividendYield*TimeToExpiration)*_xlfn.NORM.DIST(Q$2*(LN(Underlying/$H11)+(RiskFreeRate-DividendYield+0.5*O11^2)*TimeToExpiration)/(O11*TimeToExpiration^0.5), 0, 1, TRUE) - 
       $H11*EXP(-RiskFreeRate*TimeToExpiration)*_xlfn.NORM.DIST(Q$2*(LN(Underlying/$H11)+(RiskFreeRate-DividendYield-0.5*O11^2)*TimeToExpiration)/(O11*TimeToExpiration^0.5), 0, 1, TRUE)
)</f>
        <v>0</v>
      </c>
      <c r="R11" s="7">
        <f>R$2*(Underlying*EXP(-DividendYield*TimeToExpiration)*_xlfn.NORM.DIST(R$2*(LN(Underlying/$H11)+(RiskFreeRate-DividendYield+0.5*P11^2)*TimeToExpiration)/(P11*TimeToExpiration^0.5), 0, 1, TRUE) - 
       $H11*EXP(-RiskFreeRate*TimeToExpiration)*_xlfn.NORM.DIST(R$2*(LN(Underlying/$H11)+(RiskFreeRate-DividendYield-0.5*P11^2)*TimeToExpiration)/(P11*TimeToExpiration^0.5), 0, 1, TRUE)
)</f>
        <v>15.13119398</v>
      </c>
      <c r="S11" s="40">
        <f t="shared" si="8"/>
        <v>0.75075</v>
      </c>
      <c r="T11" s="8">
        <f>T$2*(Underlying*EXP(-DividendYield*TimeToExpiration)*_xlfn.NORM.DIST(T$2*(LN(Underlying/$H11)+(RiskFreeRate-DividendYield+0.5*S11^2)*TimeToExpiration)/(S11*TimeToExpiration^0.5), 0, 1, TRUE) - 
       $H11*EXP(-RiskFreeRate*TimeToExpiration)*_xlfn.NORM.DIST(T$2*(LN(Underlying/$H11)+(RiskFreeRate-DividendYield-0.5*S11^2)*TimeToExpiration)/(S11*TimeToExpiration^0.5), 0, 1, TRUE)
)</f>
        <v>3.73074662</v>
      </c>
      <c r="U11" s="41">
        <f t="shared" si="9"/>
        <v>0.001</v>
      </c>
      <c r="V11" s="40">
        <f t="shared" si="10"/>
        <v>0.75075</v>
      </c>
      <c r="W11" s="7">
        <f>W$2*(Underlying*EXP(-DividendYield*TimeToExpiration)*_xlfn.NORM.DIST(W$2*(LN(Underlying/$H11)+(RiskFreeRate-DividendYield+0.5*U11^2)*TimeToExpiration)/(U11*TimeToExpiration^0.5), 0, 1, TRUE) - 
       $H11*EXP(-RiskFreeRate*TimeToExpiration)*_xlfn.NORM.DIST(W$2*(LN(Underlying/$H11)+(RiskFreeRate-DividendYield-0.5*U11^2)*TimeToExpiration)/(U11*TimeToExpiration^0.5), 0, 1, TRUE)
)</f>
        <v>0</v>
      </c>
      <c r="X11" s="7">
        <f>X$2*(Underlying*EXP(-DividendYield*TimeToExpiration)*_xlfn.NORM.DIST(X$2*(LN(Underlying/$H11)+(RiskFreeRate-DividendYield+0.5*V11^2)*TimeToExpiration)/(V11*TimeToExpiration^0.5), 0, 1, TRUE) - 
       $H11*EXP(-RiskFreeRate*TimeToExpiration)*_xlfn.NORM.DIST(X$2*(LN(Underlying/$H11)+(RiskFreeRate-DividendYield-0.5*V11^2)*TimeToExpiration)/(V11*TimeToExpiration^0.5), 0, 1, TRUE)
)</f>
        <v>3.73074662</v>
      </c>
      <c r="Y11" s="40">
        <f t="shared" si="11"/>
        <v>0.375875</v>
      </c>
      <c r="Z11" s="8">
        <f>Z$2*(Underlying*EXP(-DividendYield*TimeToExpiration)*_xlfn.NORM.DIST(Z$2*(LN(Underlying/$H11)+(RiskFreeRate-DividendYield+0.5*Y11^2)*TimeToExpiration)/(Y11*TimeToExpiration^0.5), 0, 1, TRUE) - 
       $H11*EXP(-RiskFreeRate*TimeToExpiration)*_xlfn.NORM.DIST(Z$2*(LN(Underlying/$H11)+(RiskFreeRate-DividendYield-0.5*Y11^2)*TimeToExpiration)/(Y11*TimeToExpiration^0.5), 0, 1, TRUE)
)</f>
        <v>0.3053959112</v>
      </c>
      <c r="AA11" s="40">
        <f t="shared" si="12"/>
        <v>0.375875</v>
      </c>
      <c r="AB11" s="40">
        <f t="shared" si="13"/>
        <v>0.75075</v>
      </c>
      <c r="AC11" s="7">
        <f>AC$2*(Underlying*EXP(-DividendYield*TimeToExpiration)*_xlfn.NORM.DIST(AC$2*(LN(Underlying/$H11)+(RiskFreeRate-DividendYield+0.5*AA11^2)*TimeToExpiration)/(AA11*TimeToExpiration^0.5), 0, 1, TRUE) - 
       $H11*EXP(-RiskFreeRate*TimeToExpiration)*_xlfn.NORM.DIST(AC$2*(LN(Underlying/$H11)+(RiskFreeRate-DividendYield-0.5*AA11^2)*TimeToExpiration)/(AA11*TimeToExpiration^0.5), 0, 1, TRUE)
)</f>
        <v>0.3053959112</v>
      </c>
      <c r="AD11" s="7">
        <f>AD$2*(Underlying*EXP(-DividendYield*TimeToExpiration)*_xlfn.NORM.DIST(AD$2*(LN(Underlying/$H11)+(RiskFreeRate-DividendYield+0.5*AB11^2)*TimeToExpiration)/(AB11*TimeToExpiration^0.5), 0, 1, TRUE) - 
       $H11*EXP(-RiskFreeRate*TimeToExpiration)*_xlfn.NORM.DIST(AD$2*(LN(Underlying/$H11)+(RiskFreeRate-DividendYield-0.5*AB11^2)*TimeToExpiration)/(AB11*TimeToExpiration^0.5), 0, 1, TRUE)
)</f>
        <v>3.73074662</v>
      </c>
      <c r="AE11" s="40">
        <f t="shared" si="14"/>
        <v>0.5633125</v>
      </c>
      <c r="AF11" s="8">
        <f>AF$2*(Underlying*EXP(-DividendYield*TimeToExpiration)*_xlfn.NORM.DIST(AF$2*(LN(Underlying/$H11)+(RiskFreeRate-DividendYield+0.5*AE11^2)*TimeToExpiration)/(AE11*TimeToExpiration^0.5), 0, 1, TRUE) - 
       $H11*EXP(-RiskFreeRate*TimeToExpiration)*_xlfn.NORM.DIST(AF$2*(LN(Underlying/$H11)+(RiskFreeRate-DividendYield-0.5*AE11^2)*TimeToExpiration)/(AE11*TimeToExpiration^0.5), 0, 1, TRUE)
)</f>
        <v>1.626142217</v>
      </c>
      <c r="AG11" s="40">
        <f t="shared" si="15"/>
        <v>0.375875</v>
      </c>
      <c r="AH11" s="40">
        <f t="shared" si="16"/>
        <v>0.5633125</v>
      </c>
      <c r="AI11" s="7">
        <f>AI$2*(Underlying*EXP(-DividendYield*TimeToExpiration)*_xlfn.NORM.DIST(AI$2*(LN(Underlying/$H11)+(RiskFreeRate-DividendYield+0.5*AG11^2)*TimeToExpiration)/(AG11*TimeToExpiration^0.5), 0, 1, TRUE) - 
       $H11*EXP(-RiskFreeRate*TimeToExpiration)*_xlfn.NORM.DIST(AI$2*(LN(Underlying/$H11)+(RiskFreeRate-DividendYield-0.5*AG11^2)*TimeToExpiration)/(AG11*TimeToExpiration^0.5), 0, 1, TRUE)
)</f>
        <v>0.3053959112</v>
      </c>
      <c r="AJ11" s="7">
        <f>AJ$2*(Underlying*EXP(-DividendYield*TimeToExpiration)*_xlfn.NORM.DIST(AJ$2*(LN(Underlying/$H11)+(RiskFreeRate-DividendYield+0.5*AH11^2)*TimeToExpiration)/(AH11*TimeToExpiration^0.5), 0, 1, TRUE) - 
       $H11*EXP(-RiskFreeRate*TimeToExpiration)*_xlfn.NORM.DIST(AJ$2*(LN(Underlying/$H11)+(RiskFreeRate-DividendYield-0.5*AH11^2)*TimeToExpiration)/(AH11*TimeToExpiration^0.5), 0, 1, TRUE)
)</f>
        <v>1.626142217</v>
      </c>
      <c r="AK11" s="40">
        <f t="shared" si="17"/>
        <v>0.46959375</v>
      </c>
      <c r="AL11" s="8">
        <f>AL$2*(Underlying*EXP(-DividendYield*TimeToExpiration)*_xlfn.NORM.DIST(AL$2*(LN(Underlying/$H11)+(RiskFreeRate-DividendYield+0.5*AK11^2)*TimeToExpiration)/(AK11*TimeToExpiration^0.5), 0, 1, TRUE) - 
       $H11*EXP(-RiskFreeRate*TimeToExpiration)*_xlfn.NORM.DIST(AL$2*(LN(Underlying/$H11)+(RiskFreeRate-DividendYield-0.5*AK11^2)*TimeToExpiration)/(AK11*TimeToExpiration^0.5), 0, 1, TRUE)
)</f>
        <v>0.8409862475</v>
      </c>
      <c r="AM11" s="40">
        <f t="shared" si="18"/>
        <v>0.375875</v>
      </c>
      <c r="AN11" s="40">
        <f t="shared" si="19"/>
        <v>0.46959375</v>
      </c>
      <c r="AO11" s="7">
        <f>AO$2*(Underlying*EXP(-DividendYield*TimeToExpiration)*_xlfn.NORM.DIST(AO$2*(LN(Underlying/$H11)+(RiskFreeRate-DividendYield+0.5*AM11^2)*TimeToExpiration)/(AM11*TimeToExpiration^0.5), 0, 1, TRUE) - 
       $H11*EXP(-RiskFreeRate*TimeToExpiration)*_xlfn.NORM.DIST(AO$2*(LN(Underlying/$H11)+(RiskFreeRate-DividendYield-0.5*AM11^2)*TimeToExpiration)/(AM11*TimeToExpiration^0.5), 0, 1, TRUE)
)</f>
        <v>0.3053959112</v>
      </c>
      <c r="AP11" s="7">
        <f>AP$2*(Underlying*EXP(-DividendYield*TimeToExpiration)*_xlfn.NORM.DIST(AP$2*(LN(Underlying/$H11)+(RiskFreeRate-DividendYield+0.5*AN11^2)*TimeToExpiration)/(AN11*TimeToExpiration^0.5), 0, 1, TRUE) - 
       $H11*EXP(-RiskFreeRate*TimeToExpiration)*_xlfn.NORM.DIST(AP$2*(LN(Underlying/$H11)+(RiskFreeRate-DividendYield-0.5*AN11^2)*TimeToExpiration)/(AN11*TimeToExpiration^0.5), 0, 1, TRUE)
)</f>
        <v>0.8409862475</v>
      </c>
      <c r="AQ11" s="40">
        <f t="shared" si="20"/>
        <v>0.422734375</v>
      </c>
      <c r="AR11" s="8">
        <f>AR$2*(Underlying*EXP(-DividendYield*TimeToExpiration)*_xlfn.NORM.DIST(AR$2*(LN(Underlying/$H11)+(RiskFreeRate-DividendYield+0.5*AQ11^2)*TimeToExpiration)/(AQ11*TimeToExpiration^0.5), 0, 1, TRUE) - 
       $H11*EXP(-RiskFreeRate*TimeToExpiration)*_xlfn.NORM.DIST(AR$2*(LN(Underlying/$H11)+(RiskFreeRate-DividendYield-0.5*AQ11^2)*TimeToExpiration)/(AQ11*TimeToExpiration^0.5), 0, 1, TRUE)
)</f>
        <v>0.538800467</v>
      </c>
      <c r="AS11" s="40">
        <f t="shared" si="21"/>
        <v>0.422734375</v>
      </c>
      <c r="AT11" s="40">
        <f t="shared" si="22"/>
        <v>0.46959375</v>
      </c>
      <c r="AU11" s="7">
        <f>AU$2*(Underlying*EXP(-DividendYield*TimeToExpiration)*_xlfn.NORM.DIST(AU$2*(LN(Underlying/$H11)+(RiskFreeRate-DividendYield+0.5*AS11^2)*TimeToExpiration)/(AS11*TimeToExpiration^0.5), 0, 1, TRUE) - 
       $H11*EXP(-RiskFreeRate*TimeToExpiration)*_xlfn.NORM.DIST(AU$2*(LN(Underlying/$H11)+(RiskFreeRate-DividendYield-0.5*AS11^2)*TimeToExpiration)/(AS11*TimeToExpiration^0.5), 0, 1, TRUE)
)</f>
        <v>0.538800467</v>
      </c>
      <c r="AV11" s="7">
        <f>AV$2*(Underlying*EXP(-DividendYield*TimeToExpiration)*_xlfn.NORM.DIST(AV$2*(LN(Underlying/$H11)+(RiskFreeRate-DividendYield+0.5*AT11^2)*TimeToExpiration)/(AT11*TimeToExpiration^0.5), 0, 1, TRUE) - 
       $H11*EXP(-RiskFreeRate*TimeToExpiration)*_xlfn.NORM.DIST(AV$2*(LN(Underlying/$H11)+(RiskFreeRate-DividendYield-0.5*AT11^2)*TimeToExpiration)/(AT11*TimeToExpiration^0.5), 0, 1, TRUE)
)</f>
        <v>0.8409862475</v>
      </c>
      <c r="AW11" s="40">
        <f t="shared" si="23"/>
        <v>0.4461640625</v>
      </c>
      <c r="AX11" s="8">
        <f>AX$2*(Underlying*EXP(-DividendYield*TimeToExpiration)*_xlfn.NORM.DIST(AX$2*(LN(Underlying/$H11)+(RiskFreeRate-DividendYield+0.5*AW11^2)*TimeToExpiration)/(AW11*TimeToExpiration^0.5), 0, 1, TRUE) - 
       $H11*EXP(-RiskFreeRate*TimeToExpiration)*_xlfn.NORM.DIST(AX$2*(LN(Underlying/$H11)+(RiskFreeRate-DividendYield-0.5*AW11^2)*TimeToExpiration)/(AW11*TimeToExpiration^0.5), 0, 1, TRUE)
)</f>
        <v>0.6816352679</v>
      </c>
      <c r="AY11" s="40">
        <f t="shared" si="24"/>
        <v>0.422734375</v>
      </c>
      <c r="AZ11" s="40">
        <f t="shared" si="25"/>
        <v>0.4461640625</v>
      </c>
      <c r="BA11" s="7">
        <f>BA$2*(Underlying*EXP(-DividendYield*TimeToExpiration)*_xlfn.NORM.DIST(BA$2*(LN(Underlying/$H11)+(RiskFreeRate-DividendYield+0.5*AY11^2)*TimeToExpiration)/(AY11*TimeToExpiration^0.5), 0, 1, TRUE) - 
       $H11*EXP(-RiskFreeRate*TimeToExpiration)*_xlfn.NORM.DIST(BA$2*(LN(Underlying/$H11)+(RiskFreeRate-DividendYield-0.5*AY11^2)*TimeToExpiration)/(AY11*TimeToExpiration^0.5), 0, 1, TRUE)
)</f>
        <v>0.538800467</v>
      </c>
      <c r="BB11" s="7">
        <f>BB$2*(Underlying*EXP(-DividendYield*TimeToExpiration)*_xlfn.NORM.DIST(BB$2*(LN(Underlying/$H11)+(RiskFreeRate-DividendYield+0.5*AZ11^2)*TimeToExpiration)/(AZ11*TimeToExpiration^0.5), 0, 1, TRUE) - 
       $H11*EXP(-RiskFreeRate*TimeToExpiration)*_xlfn.NORM.DIST(BB$2*(LN(Underlying/$H11)+(RiskFreeRate-DividendYield-0.5*AZ11^2)*TimeToExpiration)/(AZ11*TimeToExpiration^0.5), 0, 1, TRUE)
)</f>
        <v>0.6816352679</v>
      </c>
      <c r="BC11" s="40">
        <f t="shared" si="26"/>
        <v>0.4344492188</v>
      </c>
      <c r="BD11" s="8">
        <f>BD$2*(Underlying*EXP(-DividendYield*TimeToExpiration)*_xlfn.NORM.DIST(BD$2*(LN(Underlying/$H11)+(RiskFreeRate-DividendYield+0.5*BC11^2)*TimeToExpiration)/(BC11*TimeToExpiration^0.5), 0, 1, TRUE) - 
       $H11*EXP(-RiskFreeRate*TimeToExpiration)*_xlfn.NORM.DIST(BD$2*(LN(Underlying/$H11)+(RiskFreeRate-DividendYield-0.5*BC11^2)*TimeToExpiration)/(BC11*TimeToExpiration^0.5), 0, 1, TRUE)
)</f>
        <v>0.6081045089</v>
      </c>
      <c r="BE11" s="40">
        <f t="shared" si="27"/>
        <v>0.422734375</v>
      </c>
      <c r="BF11" s="40">
        <f t="shared" si="28"/>
        <v>0.4344492188</v>
      </c>
      <c r="BG11" s="7">
        <f>BG$2*(Underlying*EXP(-DividendYield*TimeToExpiration)*_xlfn.NORM.DIST(BG$2*(LN(Underlying/$H11)+(RiskFreeRate-DividendYield+0.5*BE11^2)*TimeToExpiration)/(BE11*TimeToExpiration^0.5), 0, 1, TRUE) - 
       $H11*EXP(-RiskFreeRate*TimeToExpiration)*_xlfn.NORM.DIST(BG$2*(LN(Underlying/$H11)+(RiskFreeRate-DividendYield-0.5*BE11^2)*TimeToExpiration)/(BE11*TimeToExpiration^0.5), 0, 1, TRUE)
)</f>
        <v>0.538800467</v>
      </c>
      <c r="BH11" s="7">
        <f>BH$2*(Underlying*EXP(-DividendYield*TimeToExpiration)*_xlfn.NORM.DIST(BH$2*(LN(Underlying/$H11)+(RiskFreeRate-DividendYield+0.5*BF11^2)*TimeToExpiration)/(BF11*TimeToExpiration^0.5), 0, 1, TRUE) - 
       $H11*EXP(-RiskFreeRate*TimeToExpiration)*_xlfn.NORM.DIST(BH$2*(LN(Underlying/$H11)+(RiskFreeRate-DividendYield-0.5*BF11^2)*TimeToExpiration)/(BF11*TimeToExpiration^0.5), 0, 1, TRUE)
)</f>
        <v>0.6081045089</v>
      </c>
      <c r="BI11" s="40">
        <f t="shared" si="29"/>
        <v>0.4285917969</v>
      </c>
      <c r="BJ11" s="8">
        <f>BJ$2*(Underlying*EXP(-DividendYield*TimeToExpiration)*_xlfn.NORM.DIST(BJ$2*(LN(Underlying/$H11)+(RiskFreeRate-DividendYield+0.5*BI11^2)*TimeToExpiration)/(BI11*TimeToExpiration^0.5), 0, 1, TRUE) - 
       $H11*EXP(-RiskFreeRate*TimeToExpiration)*_xlfn.NORM.DIST(BJ$2*(LN(Underlying/$H11)+(RiskFreeRate-DividendYield-0.5*BI11^2)*TimeToExpiration)/(BI11*TimeToExpiration^0.5), 0, 1, TRUE)
)</f>
        <v>0.5729184791</v>
      </c>
      <c r="BK11" s="40">
        <f t="shared" si="30"/>
        <v>0.4285917969</v>
      </c>
      <c r="BL11" s="40">
        <f t="shared" si="31"/>
        <v>0.4344492188</v>
      </c>
      <c r="BM11" s="7">
        <f>BM$2*(Underlying*EXP(-DividendYield*TimeToExpiration)*_xlfn.NORM.DIST(BM$2*(LN(Underlying/$H11)+(RiskFreeRate-DividendYield+0.5*BK11^2)*TimeToExpiration)/(BK11*TimeToExpiration^0.5), 0, 1, TRUE) - 
       $H11*EXP(-RiskFreeRate*TimeToExpiration)*_xlfn.NORM.DIST(BM$2*(LN(Underlying/$H11)+(RiskFreeRate-DividendYield-0.5*BK11^2)*TimeToExpiration)/(BK11*TimeToExpiration^0.5), 0, 1, TRUE)
)</f>
        <v>0.5729184791</v>
      </c>
      <c r="BN11" s="7">
        <f>BN$2*(Underlying*EXP(-DividendYield*TimeToExpiration)*_xlfn.NORM.DIST(BN$2*(LN(Underlying/$H11)+(RiskFreeRate-DividendYield+0.5*BL11^2)*TimeToExpiration)/(BL11*TimeToExpiration^0.5), 0, 1, TRUE) - 
       $H11*EXP(-RiskFreeRate*TimeToExpiration)*_xlfn.NORM.DIST(BN$2*(LN(Underlying/$H11)+(RiskFreeRate-DividendYield-0.5*BL11^2)*TimeToExpiration)/(BL11*TimeToExpiration^0.5), 0, 1, TRUE)
)</f>
        <v>0.6081045089</v>
      </c>
      <c r="BO11" s="40">
        <f t="shared" si="32"/>
        <v>0.4315205078</v>
      </c>
      <c r="BP11" s="8">
        <f>BP$2*(Underlying*EXP(-DividendYield*TimeToExpiration)*_xlfn.NORM.DIST(BP$2*(LN(Underlying/$H11)+(RiskFreeRate-DividendYield+0.5*BO11^2)*TimeToExpiration)/(BO11*TimeToExpiration^0.5), 0, 1, TRUE) - 
       $H11*EXP(-RiskFreeRate*TimeToExpiration)*_xlfn.NORM.DIST(BP$2*(LN(Underlying/$H11)+(RiskFreeRate-DividendYield-0.5*BO11^2)*TimeToExpiration)/(BO11*TimeToExpiration^0.5), 0, 1, TRUE)
)</f>
        <v>0.5903786775</v>
      </c>
      <c r="BQ11" s="40">
        <f t="shared" si="33"/>
        <v>0.4285917969</v>
      </c>
      <c r="BR11" s="40">
        <f t="shared" si="34"/>
        <v>0.4315205078</v>
      </c>
      <c r="BS11" s="7">
        <f>BS$2*(Underlying*EXP(-DividendYield*TimeToExpiration)*_xlfn.NORM.DIST(BS$2*(LN(Underlying/$H11)+(RiskFreeRate-DividendYield+0.5*BQ11^2)*TimeToExpiration)/(BQ11*TimeToExpiration^0.5), 0, 1, TRUE) - 
       $H11*EXP(-RiskFreeRate*TimeToExpiration)*_xlfn.NORM.DIST(BS$2*(LN(Underlying/$H11)+(RiskFreeRate-DividendYield-0.5*BQ11^2)*TimeToExpiration)/(BQ11*TimeToExpiration^0.5), 0, 1, TRUE)
)</f>
        <v>0.5729184791</v>
      </c>
      <c r="BT11" s="7">
        <f>BT$2*(Underlying*EXP(-DividendYield*TimeToExpiration)*_xlfn.NORM.DIST(BT$2*(LN(Underlying/$H11)+(RiskFreeRate-DividendYield+0.5*BR11^2)*TimeToExpiration)/(BR11*TimeToExpiration^0.5), 0, 1, TRUE) - 
       $H11*EXP(-RiskFreeRate*TimeToExpiration)*_xlfn.NORM.DIST(BT$2*(LN(Underlying/$H11)+(RiskFreeRate-DividendYield-0.5*BR11^2)*TimeToExpiration)/(BR11*TimeToExpiration^0.5), 0, 1, TRUE)
)</f>
        <v>0.5903786775</v>
      </c>
      <c r="BU11" s="40">
        <f t="shared" si="35"/>
        <v>0.4300561523</v>
      </c>
      <c r="BV11" s="8">
        <f>BV$2*(Underlying*EXP(-DividendYield*TimeToExpiration)*_xlfn.NORM.DIST(BV$2*(LN(Underlying/$H11)+(RiskFreeRate-DividendYield+0.5*BU11^2)*TimeToExpiration)/(BU11*TimeToExpiration^0.5), 0, 1, TRUE) - 
       $H11*EXP(-RiskFreeRate*TimeToExpiration)*_xlfn.NORM.DIST(BV$2*(LN(Underlying/$H11)+(RiskFreeRate-DividendYield-0.5*BU11^2)*TimeToExpiration)/(BU11*TimeToExpiration^0.5), 0, 1, TRUE)
)</f>
        <v>0.5816152869</v>
      </c>
      <c r="BW11" s="40">
        <f t="shared" si="36"/>
        <v>0.4300561523</v>
      </c>
      <c r="BX11" s="40">
        <f t="shared" si="37"/>
        <v>0.4315205078</v>
      </c>
      <c r="BY11" s="7">
        <f>BY$2*(Underlying*EXP(-DividendYield*TimeToExpiration)*_xlfn.NORM.DIST(BY$2*(LN(Underlying/$H11)+(RiskFreeRate-DividendYield+0.5*BW11^2)*TimeToExpiration)/(BW11*TimeToExpiration^0.5), 0, 1, TRUE) - 
       $H11*EXP(-RiskFreeRate*TimeToExpiration)*_xlfn.NORM.DIST(BY$2*(LN(Underlying/$H11)+(RiskFreeRate-DividendYield-0.5*BW11^2)*TimeToExpiration)/(BW11*TimeToExpiration^0.5), 0, 1, TRUE)
)</f>
        <v>0.5816152869</v>
      </c>
      <c r="BZ11" s="7">
        <f>BZ$2*(Underlying*EXP(-DividendYield*TimeToExpiration)*_xlfn.NORM.DIST(BZ$2*(LN(Underlying/$H11)+(RiskFreeRate-DividendYield+0.5*BX11^2)*TimeToExpiration)/(BX11*TimeToExpiration^0.5), 0, 1, TRUE) - 
       $H11*EXP(-RiskFreeRate*TimeToExpiration)*_xlfn.NORM.DIST(BZ$2*(LN(Underlying/$H11)+(RiskFreeRate-DividendYield-0.5*BX11^2)*TimeToExpiration)/(BX11*TimeToExpiration^0.5), 0, 1, TRUE)
)</f>
        <v>0.5903786775</v>
      </c>
      <c r="CA11" s="40">
        <f t="shared" si="38"/>
        <v>0.4307883301</v>
      </c>
      <c r="CB11" s="8">
        <f>CB$2*(Underlying*EXP(-DividendYield*TimeToExpiration)*_xlfn.NORM.DIST(CB$2*(LN(Underlying/$H11)+(RiskFreeRate-DividendYield+0.5*CA11^2)*TimeToExpiration)/(CA11*TimeToExpiration^0.5), 0, 1, TRUE) - 
       $H11*EXP(-RiskFreeRate*TimeToExpiration)*_xlfn.NORM.DIST(CB$2*(LN(Underlying/$H11)+(RiskFreeRate-DividendYield-0.5*CA11^2)*TimeToExpiration)/(CA11*TimeToExpiration^0.5), 0, 1, TRUE)
)</f>
        <v>0.5859886701</v>
      </c>
      <c r="CC11" s="40">
        <f t="shared" si="39"/>
        <v>0.4300561523</v>
      </c>
      <c r="CD11" s="40">
        <f t="shared" si="40"/>
        <v>0.4307883301</v>
      </c>
      <c r="CE11" s="7">
        <f>CE$2*(Underlying*EXP(-DividendYield*TimeToExpiration)*_xlfn.NORM.DIST(CE$2*(LN(Underlying/$H11)+(RiskFreeRate-DividendYield+0.5*CC11^2)*TimeToExpiration)/(CC11*TimeToExpiration^0.5), 0, 1, TRUE) - 
       $H11*EXP(-RiskFreeRate*TimeToExpiration)*_xlfn.NORM.DIST(CE$2*(LN(Underlying/$H11)+(RiskFreeRate-DividendYield-0.5*CC11^2)*TimeToExpiration)/(CC11*TimeToExpiration^0.5), 0, 1, TRUE)
)</f>
        <v>0.5816152869</v>
      </c>
      <c r="CF11" s="7">
        <f>CF$2*(Underlying*EXP(-DividendYield*TimeToExpiration)*_xlfn.NORM.DIST(CF$2*(LN(Underlying/$H11)+(RiskFreeRate-DividendYield+0.5*CD11^2)*TimeToExpiration)/(CD11*TimeToExpiration^0.5), 0, 1, TRUE) - 
       $H11*EXP(-RiskFreeRate*TimeToExpiration)*_xlfn.NORM.DIST(CF$2*(LN(Underlying/$H11)+(RiskFreeRate-DividendYield-0.5*CD11^2)*TimeToExpiration)/(CD11*TimeToExpiration^0.5), 0, 1, TRUE)
)</f>
        <v>0.5859886701</v>
      </c>
      <c r="CG11" s="40">
        <f t="shared" si="41"/>
        <v>0.4304222412</v>
      </c>
      <c r="CH11" s="8">
        <f>CH$2*(Underlying*EXP(-DividendYield*TimeToExpiration)*_xlfn.NORM.DIST(CH$2*(LN(Underlying/$H11)+(RiskFreeRate-DividendYield+0.5*CG11^2)*TimeToExpiration)/(CG11*TimeToExpiration^0.5), 0, 1, TRUE) - 
       $H11*EXP(-RiskFreeRate*TimeToExpiration)*_xlfn.NORM.DIST(CH$2*(LN(Underlying/$H11)+(RiskFreeRate-DividendYield-0.5*CG11^2)*TimeToExpiration)/(CG11*TimeToExpiration^0.5), 0, 1, TRUE)
)</f>
        <v>0.5837998991</v>
      </c>
      <c r="CI11" s="40">
        <f t="shared" si="42"/>
        <v>0.4304222412</v>
      </c>
      <c r="CJ11" s="40">
        <f t="shared" si="43"/>
        <v>0.4307883301</v>
      </c>
      <c r="CK11" s="7">
        <f>CK$2*(Underlying*EXP(-DividendYield*TimeToExpiration)*_xlfn.NORM.DIST(CK$2*(LN(Underlying/$H11)+(RiskFreeRate-DividendYield+0.5*CI11^2)*TimeToExpiration)/(CI11*TimeToExpiration^0.5), 0, 1, TRUE) - 
       $H11*EXP(-RiskFreeRate*TimeToExpiration)*_xlfn.NORM.DIST(CK$2*(LN(Underlying/$H11)+(RiskFreeRate-DividendYield-0.5*CI11^2)*TimeToExpiration)/(CI11*TimeToExpiration^0.5), 0, 1, TRUE)
)</f>
        <v>0.5837998991</v>
      </c>
      <c r="CL11" s="7">
        <f>CL$2*(Underlying*EXP(-DividendYield*TimeToExpiration)*_xlfn.NORM.DIST(CL$2*(LN(Underlying/$H11)+(RiskFreeRate-DividendYield+0.5*CJ11^2)*TimeToExpiration)/(CJ11*TimeToExpiration^0.5), 0, 1, TRUE) - 
       $H11*EXP(-RiskFreeRate*TimeToExpiration)*_xlfn.NORM.DIST(CL$2*(LN(Underlying/$H11)+(RiskFreeRate-DividendYield-0.5*CJ11^2)*TimeToExpiration)/(CJ11*TimeToExpiration^0.5), 0, 1, TRUE)
)</f>
        <v>0.5859886701</v>
      </c>
      <c r="CM11" s="40">
        <f t="shared" si="44"/>
        <v>0.4306052856</v>
      </c>
      <c r="CN11" s="8">
        <f>CN$2*(Underlying*EXP(-DividendYield*TimeToExpiration)*_xlfn.NORM.DIST(CN$2*(LN(Underlying/$H11)+(RiskFreeRate-DividendYield+0.5*CM11^2)*TimeToExpiration)/(CM11*TimeToExpiration^0.5), 0, 1, TRUE) - 
       $H11*EXP(-RiskFreeRate*TimeToExpiration)*_xlfn.NORM.DIST(CN$2*(LN(Underlying/$H11)+(RiskFreeRate-DividendYield-0.5*CM11^2)*TimeToExpiration)/(CM11*TimeToExpiration^0.5), 0, 1, TRUE)
)</f>
        <v>0.584893765</v>
      </c>
      <c r="CO11" s="40">
        <f t="shared" si="45"/>
        <v>0.4306052856</v>
      </c>
      <c r="CP11" s="40">
        <f t="shared" si="46"/>
        <v>0.4307883301</v>
      </c>
      <c r="CQ11" s="7">
        <f>CQ$2*(Underlying*EXP(-DividendYield*TimeToExpiration)*_xlfn.NORM.DIST(CQ$2*(LN(Underlying/$H11)+(RiskFreeRate-DividendYield+0.5*CO11^2)*TimeToExpiration)/(CO11*TimeToExpiration^0.5), 0, 1, TRUE) - 
       $H11*EXP(-RiskFreeRate*TimeToExpiration)*_xlfn.NORM.DIST(CQ$2*(LN(Underlying/$H11)+(RiskFreeRate-DividendYield-0.5*CO11^2)*TimeToExpiration)/(CO11*TimeToExpiration^0.5), 0, 1, TRUE)
)</f>
        <v>0.584893765</v>
      </c>
      <c r="CR11" s="7">
        <f>CR$2*(Underlying*EXP(-DividendYield*TimeToExpiration)*_xlfn.NORM.DIST(CR$2*(LN(Underlying/$H11)+(RiskFreeRate-DividendYield+0.5*CP11^2)*TimeToExpiration)/(CP11*TimeToExpiration^0.5), 0, 1, TRUE) - 
       $H11*EXP(-RiskFreeRate*TimeToExpiration)*_xlfn.NORM.DIST(CR$2*(LN(Underlying/$H11)+(RiskFreeRate-DividendYield-0.5*CP11^2)*TimeToExpiration)/(CP11*TimeToExpiration^0.5), 0, 1, TRUE)
)</f>
        <v>0.5859886701</v>
      </c>
      <c r="CS11" s="40">
        <f t="shared" si="47"/>
        <v>0.4306968079</v>
      </c>
      <c r="CT11" s="8">
        <f>CT$2*(Underlying*EXP(-DividendYield*TimeToExpiration)*_xlfn.NORM.DIST(CT$2*(LN(Underlying/$H11)+(RiskFreeRate-DividendYield+0.5*CS11^2)*TimeToExpiration)/(CS11*TimeToExpiration^0.5), 0, 1, TRUE) - 
       $H11*EXP(-RiskFreeRate*TimeToExpiration)*_xlfn.NORM.DIST(CT$2*(LN(Underlying/$H11)+(RiskFreeRate-DividendYield-0.5*CS11^2)*TimeToExpiration)/(CS11*TimeToExpiration^0.5), 0, 1, TRUE)
)</f>
        <v>0.5854410877</v>
      </c>
      <c r="CU11" s="40">
        <f t="shared" si="48"/>
        <v>0.4306052856</v>
      </c>
      <c r="CV11" s="40">
        <f t="shared" si="49"/>
        <v>0.4306968079</v>
      </c>
      <c r="CW11" s="7">
        <f>CW$2*(Underlying*EXP(-DividendYield*TimeToExpiration)*_xlfn.NORM.DIST(CW$2*(LN(Underlying/$H11)+(RiskFreeRate-DividendYield+0.5*CU11^2)*TimeToExpiration)/(CU11*TimeToExpiration^0.5), 0, 1, TRUE) - 
       $H11*EXP(-RiskFreeRate*TimeToExpiration)*_xlfn.NORM.DIST(CW$2*(LN(Underlying/$H11)+(RiskFreeRate-DividendYield-0.5*CU11^2)*TimeToExpiration)/(CU11*TimeToExpiration^0.5), 0, 1, TRUE)
)</f>
        <v>0.584893765</v>
      </c>
      <c r="CX11" s="7">
        <f>CX$2*(Underlying*EXP(-DividendYield*TimeToExpiration)*_xlfn.NORM.DIST(CX$2*(LN(Underlying/$H11)+(RiskFreeRate-DividendYield+0.5*CV11^2)*TimeToExpiration)/(CV11*TimeToExpiration^0.5), 0, 1, TRUE) - 
       $H11*EXP(-RiskFreeRate*TimeToExpiration)*_xlfn.NORM.DIST(CX$2*(LN(Underlying/$H11)+(RiskFreeRate-DividendYield-0.5*CV11^2)*TimeToExpiration)/(CV11*TimeToExpiration^0.5), 0, 1, TRUE)
)</f>
        <v>0.5854410877</v>
      </c>
      <c r="CY11" s="40">
        <f t="shared" si="50"/>
        <v>0.4306510468</v>
      </c>
      <c r="CZ11" s="8">
        <f>CZ$2*(Underlying*EXP(-DividendYield*TimeToExpiration)*_xlfn.NORM.DIST(CZ$2*(LN(Underlying/$H11)+(RiskFreeRate-DividendYield+0.5*CY11^2)*TimeToExpiration)/(CY11*TimeToExpiration^0.5), 0, 1, TRUE) - 
       $H11*EXP(-RiskFreeRate*TimeToExpiration)*_xlfn.NORM.DIST(CZ$2*(LN(Underlying/$H11)+(RiskFreeRate-DividendYield-0.5*CY11^2)*TimeToExpiration)/(CY11*TimeToExpiration^0.5), 0, 1, TRUE)
)</f>
        <v>0.5851673938</v>
      </c>
      <c r="DA11" s="40">
        <f t="shared" si="51"/>
        <v>0.4306052856</v>
      </c>
      <c r="DB11" s="40">
        <f t="shared" si="52"/>
        <v>0.4306510468</v>
      </c>
      <c r="DC11" s="7">
        <f>DC$2*(Underlying*EXP(-DividendYield*TimeToExpiration)*_xlfn.NORM.DIST(DC$2*(LN(Underlying/$H11)+(RiskFreeRate-DividendYield+0.5*DA11^2)*TimeToExpiration)/(DA11*TimeToExpiration^0.5), 0, 1, TRUE) - 
       $H11*EXP(-RiskFreeRate*TimeToExpiration)*_xlfn.NORM.DIST(DC$2*(LN(Underlying/$H11)+(RiskFreeRate-DividendYield-0.5*DA11^2)*TimeToExpiration)/(DA11*TimeToExpiration^0.5), 0, 1, TRUE)
)</f>
        <v>0.584893765</v>
      </c>
      <c r="DD11" s="7">
        <f>DD$2*(Underlying*EXP(-DividendYield*TimeToExpiration)*_xlfn.NORM.DIST(DD$2*(LN(Underlying/$H11)+(RiskFreeRate-DividendYield+0.5*DB11^2)*TimeToExpiration)/(DB11*TimeToExpiration^0.5), 0, 1, TRUE) - 
       $H11*EXP(-RiskFreeRate*TimeToExpiration)*_xlfn.NORM.DIST(DD$2*(LN(Underlying/$H11)+(RiskFreeRate-DividendYield-0.5*DB11^2)*TimeToExpiration)/(DB11*TimeToExpiration^0.5), 0, 1, TRUE)
)</f>
        <v>0.5851673938</v>
      </c>
      <c r="DE11" s="40">
        <f t="shared" si="53"/>
        <v>0.4306281662</v>
      </c>
      <c r="DF11" s="8">
        <f>DF$2*(Underlying*EXP(-DividendYield*TimeToExpiration)*_xlfn.NORM.DIST(DF$2*(LN(Underlying/$H11)+(RiskFreeRate-DividendYield+0.5*DE11^2)*TimeToExpiration)/(DE11*TimeToExpiration^0.5), 0, 1, TRUE) - 
       $H11*EXP(-RiskFreeRate*TimeToExpiration)*_xlfn.NORM.DIST(DF$2*(LN(Underlying/$H11)+(RiskFreeRate-DividendYield-0.5*DE11^2)*TimeToExpiration)/(DE11*TimeToExpiration^0.5), 0, 1, TRUE)
)</f>
        <v>0.5850305713</v>
      </c>
    </row>
    <row r="12">
      <c r="A12" s="20">
        <f>'Option Mkt Data'!A12</f>
        <v>312.5</v>
      </c>
      <c r="B12" s="35">
        <f t="shared" ref="B12:C12" si="59">DE12</f>
        <v>0.4189133224</v>
      </c>
      <c r="C12" s="7">
        <f t="shared" si="59"/>
        <v>0.7049542788</v>
      </c>
      <c r="D12" s="7">
        <f t="shared" si="3"/>
        <v>0.00004570469869</v>
      </c>
      <c r="E12" s="9">
        <f t="shared" si="4"/>
        <v>0.00006482936136</v>
      </c>
      <c r="F12" s="36">
        <f>D12/'Option Mkt Data'!M12</f>
        <v>0.004570473982</v>
      </c>
      <c r="G12" s="5">
        <f>'Option Mkt Data'!K12</f>
        <v>0.7049999835</v>
      </c>
      <c r="H12" s="33">
        <f>'Option Mkt Data'!A12</f>
        <v>312.5</v>
      </c>
      <c r="I12" s="37">
        <f>MinSolverVola</f>
        <v>0.001</v>
      </c>
      <c r="J12" s="38">
        <f>MaxSolverVola</f>
        <v>3</v>
      </c>
      <c r="K12" s="39">
        <f>K$2*(Underlying*EXP(-DividendYield*TimeToExpiration)*_xlfn.NORM.DIST(K$2*(LN(Underlying/$H12)+(RiskFreeRate-DividendYield+0.5*I12^2)*TimeToExpiration)/(I12*TimeToExpiration^0.5), 0, 1, TRUE) - 
       $H12*EXP(-RiskFreeRate*TimeToExpiration)*_xlfn.NORM.DIST(K$2*(LN(Underlying/$H12)+(RiskFreeRate-DividendYield-0.5*I12^2)*TimeToExpiration)/(I12*TimeToExpiration^0.5), 0, 1, TRUE)
)</f>
        <v>0</v>
      </c>
      <c r="L12" s="7">
        <f>L$2*(Underlying*EXP(-DividendYield*TimeToExpiration)*_xlfn.NORM.DIST(L$2*(LN(Underlying/$H12)+(RiskFreeRate-DividendYield+0.5*J12^2)*TimeToExpiration)/(J12*TimeToExpiration^0.5), 0, 1, TRUE) - 
       $H12*EXP(-RiskFreeRate*TimeToExpiration)*_xlfn.NORM.DIST(L$2*(LN(Underlying/$H12)+(RiskFreeRate-DividendYield-0.5*J12^2)*TimeToExpiration)/(J12*TimeToExpiration^0.5), 0, 1, TRUE)
)</f>
        <v>42.23669146</v>
      </c>
      <c r="M12" s="40">
        <f t="shared" si="5"/>
        <v>1.5005</v>
      </c>
      <c r="N12" s="8">
        <f>N$2*(Underlying*EXP(-DividendYield*TimeToExpiration)*_xlfn.NORM.DIST(N$2*(LN(Underlying/$H12)+(RiskFreeRate-DividendYield+0.5*M12^2)*TimeToExpiration)/(M12*TimeToExpiration^0.5), 0, 1, TRUE) - 
       $H12*EXP(-RiskFreeRate*TimeToExpiration)*_xlfn.NORM.DIST(N$2*(LN(Underlying/$H12)+(RiskFreeRate-DividendYield-0.5*M12^2)*TimeToExpiration)/(M12*TimeToExpiration^0.5), 0, 1, TRUE)
)</f>
        <v>16.08180723</v>
      </c>
      <c r="O12" s="41">
        <f t="shared" si="6"/>
        <v>0.001</v>
      </c>
      <c r="P12" s="40">
        <f t="shared" si="7"/>
        <v>1.5005</v>
      </c>
      <c r="Q12" s="7">
        <f>Q$2*(Underlying*EXP(-DividendYield*TimeToExpiration)*_xlfn.NORM.DIST(Q$2*(LN(Underlying/$H12)+(RiskFreeRate-DividendYield+0.5*O12^2)*TimeToExpiration)/(O12*TimeToExpiration^0.5), 0, 1, TRUE) - 
       $H12*EXP(-RiskFreeRate*TimeToExpiration)*_xlfn.NORM.DIST(Q$2*(LN(Underlying/$H12)+(RiskFreeRate-DividendYield-0.5*O12^2)*TimeToExpiration)/(O12*TimeToExpiration^0.5), 0, 1, TRUE)
)</f>
        <v>0</v>
      </c>
      <c r="R12" s="7">
        <f>R$2*(Underlying*EXP(-DividendYield*TimeToExpiration)*_xlfn.NORM.DIST(R$2*(LN(Underlying/$H12)+(RiskFreeRate-DividendYield+0.5*P12^2)*TimeToExpiration)/(P12*TimeToExpiration^0.5), 0, 1, TRUE) - 
       $H12*EXP(-RiskFreeRate*TimeToExpiration)*_xlfn.NORM.DIST(R$2*(LN(Underlying/$H12)+(RiskFreeRate-DividendYield-0.5*P12^2)*TimeToExpiration)/(P12*TimeToExpiration^0.5), 0, 1, TRUE)
)</f>
        <v>16.08180723</v>
      </c>
      <c r="S12" s="40">
        <f t="shared" si="8"/>
        <v>0.75075</v>
      </c>
      <c r="T12" s="8">
        <f>T$2*(Underlying*EXP(-DividendYield*TimeToExpiration)*_xlfn.NORM.DIST(T$2*(LN(Underlying/$H12)+(RiskFreeRate-DividendYield+0.5*S12^2)*TimeToExpiration)/(S12*TimeToExpiration^0.5), 0, 1, TRUE) - 
       $H12*EXP(-RiskFreeRate*TimeToExpiration)*_xlfn.NORM.DIST(T$2*(LN(Underlying/$H12)+(RiskFreeRate-DividendYield-0.5*S12^2)*TimeToExpiration)/(S12*TimeToExpiration^0.5), 0, 1, TRUE)
)</f>
        <v>4.284600561</v>
      </c>
      <c r="U12" s="41">
        <f t="shared" si="9"/>
        <v>0.001</v>
      </c>
      <c r="V12" s="40">
        <f t="shared" si="10"/>
        <v>0.75075</v>
      </c>
      <c r="W12" s="7">
        <f>W$2*(Underlying*EXP(-DividendYield*TimeToExpiration)*_xlfn.NORM.DIST(W$2*(LN(Underlying/$H12)+(RiskFreeRate-DividendYield+0.5*U12^2)*TimeToExpiration)/(U12*TimeToExpiration^0.5), 0, 1, TRUE) - 
       $H12*EXP(-RiskFreeRate*TimeToExpiration)*_xlfn.NORM.DIST(W$2*(LN(Underlying/$H12)+(RiskFreeRate-DividendYield-0.5*U12^2)*TimeToExpiration)/(U12*TimeToExpiration^0.5), 0, 1, TRUE)
)</f>
        <v>0</v>
      </c>
      <c r="X12" s="7">
        <f>X$2*(Underlying*EXP(-DividendYield*TimeToExpiration)*_xlfn.NORM.DIST(X$2*(LN(Underlying/$H12)+(RiskFreeRate-DividendYield+0.5*V12^2)*TimeToExpiration)/(V12*TimeToExpiration^0.5), 0, 1, TRUE) - 
       $H12*EXP(-RiskFreeRate*TimeToExpiration)*_xlfn.NORM.DIST(X$2*(LN(Underlying/$H12)+(RiskFreeRate-DividendYield-0.5*V12^2)*TimeToExpiration)/(V12*TimeToExpiration^0.5), 0, 1, TRUE)
)</f>
        <v>4.284600561</v>
      </c>
      <c r="Y12" s="40">
        <f t="shared" si="11"/>
        <v>0.375875</v>
      </c>
      <c r="Z12" s="8">
        <f>Z$2*(Underlying*EXP(-DividendYield*TimeToExpiration)*_xlfn.NORM.DIST(Z$2*(LN(Underlying/$H12)+(RiskFreeRate-DividendYield+0.5*Y12^2)*TimeToExpiration)/(Y12*TimeToExpiration^0.5), 0, 1, TRUE) - 
       $H12*EXP(-RiskFreeRate*TimeToExpiration)*_xlfn.NORM.DIST(Z$2*(LN(Underlying/$H12)+(RiskFreeRate-DividendYield-0.5*Y12^2)*TimeToExpiration)/(Y12*TimeToExpiration^0.5), 0, 1, TRUE)
)</f>
        <v>0.4398157501</v>
      </c>
      <c r="AA12" s="40">
        <f t="shared" si="12"/>
        <v>0.375875</v>
      </c>
      <c r="AB12" s="40">
        <f t="shared" si="13"/>
        <v>0.75075</v>
      </c>
      <c r="AC12" s="7">
        <f>AC$2*(Underlying*EXP(-DividendYield*TimeToExpiration)*_xlfn.NORM.DIST(AC$2*(LN(Underlying/$H12)+(RiskFreeRate-DividendYield+0.5*AA12^2)*TimeToExpiration)/(AA12*TimeToExpiration^0.5), 0, 1, TRUE) - 
       $H12*EXP(-RiskFreeRate*TimeToExpiration)*_xlfn.NORM.DIST(AC$2*(LN(Underlying/$H12)+(RiskFreeRate-DividendYield-0.5*AA12^2)*TimeToExpiration)/(AA12*TimeToExpiration^0.5), 0, 1, TRUE)
)</f>
        <v>0.4398157501</v>
      </c>
      <c r="AD12" s="7">
        <f>AD$2*(Underlying*EXP(-DividendYield*TimeToExpiration)*_xlfn.NORM.DIST(AD$2*(LN(Underlying/$H12)+(RiskFreeRate-DividendYield+0.5*AB12^2)*TimeToExpiration)/(AB12*TimeToExpiration^0.5), 0, 1, TRUE) - 
       $H12*EXP(-RiskFreeRate*TimeToExpiration)*_xlfn.NORM.DIST(AD$2*(LN(Underlying/$H12)+(RiskFreeRate-DividendYield-0.5*AB12^2)*TimeToExpiration)/(AB12*TimeToExpiration^0.5), 0, 1, TRUE)
)</f>
        <v>4.284600561</v>
      </c>
      <c r="AE12" s="40">
        <f t="shared" si="14"/>
        <v>0.5633125</v>
      </c>
      <c r="AF12" s="8">
        <f>AF$2*(Underlying*EXP(-DividendYield*TimeToExpiration)*_xlfn.NORM.DIST(AF$2*(LN(Underlying/$H12)+(RiskFreeRate-DividendYield+0.5*AE12^2)*TimeToExpiration)/(AE12*TimeToExpiration^0.5), 0, 1, TRUE) - 
       $H12*EXP(-RiskFreeRate*TimeToExpiration)*_xlfn.NORM.DIST(AF$2*(LN(Underlying/$H12)+(RiskFreeRate-DividendYield-0.5*AE12^2)*TimeToExpiration)/(AE12*TimeToExpiration^0.5), 0, 1, TRUE)
)</f>
        <v>1.991789973</v>
      </c>
      <c r="AG12" s="40">
        <f t="shared" si="15"/>
        <v>0.375875</v>
      </c>
      <c r="AH12" s="40">
        <f t="shared" si="16"/>
        <v>0.5633125</v>
      </c>
      <c r="AI12" s="7">
        <f>AI$2*(Underlying*EXP(-DividendYield*TimeToExpiration)*_xlfn.NORM.DIST(AI$2*(LN(Underlying/$H12)+(RiskFreeRate-DividendYield+0.5*AG12^2)*TimeToExpiration)/(AG12*TimeToExpiration^0.5), 0, 1, TRUE) - 
       $H12*EXP(-RiskFreeRate*TimeToExpiration)*_xlfn.NORM.DIST(AI$2*(LN(Underlying/$H12)+(RiskFreeRate-DividendYield-0.5*AG12^2)*TimeToExpiration)/(AG12*TimeToExpiration^0.5), 0, 1, TRUE)
)</f>
        <v>0.4398157501</v>
      </c>
      <c r="AJ12" s="7">
        <f>AJ$2*(Underlying*EXP(-DividendYield*TimeToExpiration)*_xlfn.NORM.DIST(AJ$2*(LN(Underlying/$H12)+(RiskFreeRate-DividendYield+0.5*AH12^2)*TimeToExpiration)/(AH12*TimeToExpiration^0.5), 0, 1, TRUE) - 
       $H12*EXP(-RiskFreeRate*TimeToExpiration)*_xlfn.NORM.DIST(AJ$2*(LN(Underlying/$H12)+(RiskFreeRate-DividendYield-0.5*AH12^2)*TimeToExpiration)/(AH12*TimeToExpiration^0.5), 0, 1, TRUE)
)</f>
        <v>1.991789973</v>
      </c>
      <c r="AK12" s="40">
        <f t="shared" si="17"/>
        <v>0.46959375</v>
      </c>
      <c r="AL12" s="8">
        <f>AL$2*(Underlying*EXP(-DividendYield*TimeToExpiration)*_xlfn.NORM.DIST(AL$2*(LN(Underlying/$H12)+(RiskFreeRate-DividendYield+0.5*AK12^2)*TimeToExpiration)/(AK12*TimeToExpiration^0.5), 0, 1, TRUE) - 
       $H12*EXP(-RiskFreeRate*TimeToExpiration)*_xlfn.NORM.DIST(AL$2*(LN(Underlying/$H12)+(RiskFreeRate-DividendYield-0.5*AK12^2)*TimeToExpiration)/(AK12*TimeToExpiration^0.5), 0, 1, TRUE)
)</f>
        <v>1.093054956</v>
      </c>
      <c r="AM12" s="40">
        <f t="shared" si="18"/>
        <v>0.375875</v>
      </c>
      <c r="AN12" s="40">
        <f t="shared" si="19"/>
        <v>0.46959375</v>
      </c>
      <c r="AO12" s="7">
        <f>AO$2*(Underlying*EXP(-DividendYield*TimeToExpiration)*_xlfn.NORM.DIST(AO$2*(LN(Underlying/$H12)+(RiskFreeRate-DividendYield+0.5*AM12^2)*TimeToExpiration)/(AM12*TimeToExpiration^0.5), 0, 1, TRUE) - 
       $H12*EXP(-RiskFreeRate*TimeToExpiration)*_xlfn.NORM.DIST(AO$2*(LN(Underlying/$H12)+(RiskFreeRate-DividendYield-0.5*AM12^2)*TimeToExpiration)/(AM12*TimeToExpiration^0.5), 0, 1, TRUE)
)</f>
        <v>0.4398157501</v>
      </c>
      <c r="AP12" s="7">
        <f>AP$2*(Underlying*EXP(-DividendYield*TimeToExpiration)*_xlfn.NORM.DIST(AP$2*(LN(Underlying/$H12)+(RiskFreeRate-DividendYield+0.5*AN12^2)*TimeToExpiration)/(AN12*TimeToExpiration^0.5), 0, 1, TRUE) - 
       $H12*EXP(-RiskFreeRate*TimeToExpiration)*_xlfn.NORM.DIST(AP$2*(LN(Underlying/$H12)+(RiskFreeRate-DividendYield-0.5*AN12^2)*TimeToExpiration)/(AN12*TimeToExpiration^0.5), 0, 1, TRUE)
)</f>
        <v>1.093054956</v>
      </c>
      <c r="AQ12" s="40">
        <f t="shared" si="20"/>
        <v>0.422734375</v>
      </c>
      <c r="AR12" s="8">
        <f>AR$2*(Underlying*EXP(-DividendYield*TimeToExpiration)*_xlfn.NORM.DIST(AR$2*(LN(Underlying/$H12)+(RiskFreeRate-DividendYield+0.5*AQ12^2)*TimeToExpiration)/(AQ12*TimeToExpiration^0.5), 0, 1, TRUE) - 
       $H12*EXP(-RiskFreeRate*TimeToExpiration)*_xlfn.NORM.DIST(AR$2*(LN(Underlying/$H12)+(RiskFreeRate-DividendYield-0.5*AQ12^2)*TimeToExpiration)/(AQ12*TimeToExpiration^0.5), 0, 1, TRUE)
)</f>
        <v>0.7314659492</v>
      </c>
      <c r="AS12" s="40">
        <f t="shared" si="21"/>
        <v>0.375875</v>
      </c>
      <c r="AT12" s="40">
        <f t="shared" si="22"/>
        <v>0.422734375</v>
      </c>
      <c r="AU12" s="7">
        <f>AU$2*(Underlying*EXP(-DividendYield*TimeToExpiration)*_xlfn.NORM.DIST(AU$2*(LN(Underlying/$H12)+(RiskFreeRate-DividendYield+0.5*AS12^2)*TimeToExpiration)/(AS12*TimeToExpiration^0.5), 0, 1, TRUE) - 
       $H12*EXP(-RiskFreeRate*TimeToExpiration)*_xlfn.NORM.DIST(AU$2*(LN(Underlying/$H12)+(RiskFreeRate-DividendYield-0.5*AS12^2)*TimeToExpiration)/(AS12*TimeToExpiration^0.5), 0, 1, TRUE)
)</f>
        <v>0.4398157501</v>
      </c>
      <c r="AV12" s="7">
        <f>AV$2*(Underlying*EXP(-DividendYield*TimeToExpiration)*_xlfn.NORM.DIST(AV$2*(LN(Underlying/$H12)+(RiskFreeRate-DividendYield+0.5*AT12^2)*TimeToExpiration)/(AT12*TimeToExpiration^0.5), 0, 1, TRUE) - 
       $H12*EXP(-RiskFreeRate*TimeToExpiration)*_xlfn.NORM.DIST(AV$2*(LN(Underlying/$H12)+(RiskFreeRate-DividendYield-0.5*AT12^2)*TimeToExpiration)/(AT12*TimeToExpiration^0.5), 0, 1, TRUE)
)</f>
        <v>0.7314659492</v>
      </c>
      <c r="AW12" s="40">
        <f t="shared" si="23"/>
        <v>0.3993046875</v>
      </c>
      <c r="AX12" s="8">
        <f>AX$2*(Underlying*EXP(-DividendYield*TimeToExpiration)*_xlfn.NORM.DIST(AX$2*(LN(Underlying/$H12)+(RiskFreeRate-DividendYield+0.5*AW12^2)*TimeToExpiration)/(AW12*TimeToExpiration^0.5), 0, 1, TRUE) - 
       $H12*EXP(-RiskFreeRate*TimeToExpiration)*_xlfn.NORM.DIST(AX$2*(LN(Underlying/$H12)+(RiskFreeRate-DividendYield-0.5*AW12^2)*TimeToExpiration)/(AW12*TimeToExpiration^0.5), 0, 1, TRUE)
)</f>
        <v>0.5763977189</v>
      </c>
      <c r="AY12" s="40">
        <f t="shared" si="24"/>
        <v>0.3993046875</v>
      </c>
      <c r="AZ12" s="40">
        <f t="shared" si="25"/>
        <v>0.422734375</v>
      </c>
      <c r="BA12" s="7">
        <f>BA$2*(Underlying*EXP(-DividendYield*TimeToExpiration)*_xlfn.NORM.DIST(BA$2*(LN(Underlying/$H12)+(RiskFreeRate-DividendYield+0.5*AY12^2)*TimeToExpiration)/(AY12*TimeToExpiration^0.5), 0, 1, TRUE) - 
       $H12*EXP(-RiskFreeRate*TimeToExpiration)*_xlfn.NORM.DIST(BA$2*(LN(Underlying/$H12)+(RiskFreeRate-DividendYield-0.5*AY12^2)*TimeToExpiration)/(AY12*TimeToExpiration^0.5), 0, 1, TRUE)
)</f>
        <v>0.5763977189</v>
      </c>
      <c r="BB12" s="7">
        <f>BB$2*(Underlying*EXP(-DividendYield*TimeToExpiration)*_xlfn.NORM.DIST(BB$2*(LN(Underlying/$H12)+(RiskFreeRate-DividendYield+0.5*AZ12^2)*TimeToExpiration)/(AZ12*TimeToExpiration^0.5), 0, 1, TRUE) - 
       $H12*EXP(-RiskFreeRate*TimeToExpiration)*_xlfn.NORM.DIST(BB$2*(LN(Underlying/$H12)+(RiskFreeRate-DividendYield-0.5*AZ12^2)*TimeToExpiration)/(AZ12*TimeToExpiration^0.5), 0, 1, TRUE)
)</f>
        <v>0.7314659492</v>
      </c>
      <c r="BC12" s="40">
        <f t="shared" si="26"/>
        <v>0.4110195313</v>
      </c>
      <c r="BD12" s="8">
        <f>BD$2*(Underlying*EXP(-DividendYield*TimeToExpiration)*_xlfn.NORM.DIST(BD$2*(LN(Underlying/$H12)+(RiskFreeRate-DividendYield+0.5*BC12^2)*TimeToExpiration)/(BC12*TimeToExpiration^0.5), 0, 1, TRUE) - 
       $H12*EXP(-RiskFreeRate*TimeToExpiration)*_xlfn.NORM.DIST(BD$2*(LN(Underlying/$H12)+(RiskFreeRate-DividendYield-0.5*BC12^2)*TimeToExpiration)/(BC12*TimeToExpiration^0.5), 0, 1, TRUE)
)</f>
        <v>0.6516791276</v>
      </c>
      <c r="BE12" s="40">
        <f t="shared" si="27"/>
        <v>0.4110195313</v>
      </c>
      <c r="BF12" s="40">
        <f t="shared" si="28"/>
        <v>0.422734375</v>
      </c>
      <c r="BG12" s="7">
        <f>BG$2*(Underlying*EXP(-DividendYield*TimeToExpiration)*_xlfn.NORM.DIST(BG$2*(LN(Underlying/$H12)+(RiskFreeRate-DividendYield+0.5*BE12^2)*TimeToExpiration)/(BE12*TimeToExpiration^0.5), 0, 1, TRUE) - 
       $H12*EXP(-RiskFreeRate*TimeToExpiration)*_xlfn.NORM.DIST(BG$2*(LN(Underlying/$H12)+(RiskFreeRate-DividendYield-0.5*BE12^2)*TimeToExpiration)/(BE12*TimeToExpiration^0.5), 0, 1, TRUE)
)</f>
        <v>0.6516791276</v>
      </c>
      <c r="BH12" s="7">
        <f>BH$2*(Underlying*EXP(-DividendYield*TimeToExpiration)*_xlfn.NORM.DIST(BH$2*(LN(Underlying/$H12)+(RiskFreeRate-DividendYield+0.5*BF12^2)*TimeToExpiration)/(BF12*TimeToExpiration^0.5), 0, 1, TRUE) - 
       $H12*EXP(-RiskFreeRate*TimeToExpiration)*_xlfn.NORM.DIST(BH$2*(LN(Underlying/$H12)+(RiskFreeRate-DividendYield-0.5*BF12^2)*TimeToExpiration)/(BF12*TimeToExpiration^0.5), 0, 1, TRUE)
)</f>
        <v>0.7314659492</v>
      </c>
      <c r="BI12" s="40">
        <f t="shared" si="29"/>
        <v>0.4168769531</v>
      </c>
      <c r="BJ12" s="8">
        <f>BJ$2*(Underlying*EXP(-DividendYield*TimeToExpiration)*_xlfn.NORM.DIST(BJ$2*(LN(Underlying/$H12)+(RiskFreeRate-DividendYield+0.5*BI12^2)*TimeToExpiration)/(BI12*TimeToExpiration^0.5), 0, 1, TRUE) - 
       $H12*EXP(-RiskFreeRate*TimeToExpiration)*_xlfn.NORM.DIST(BJ$2*(LN(Underlying/$H12)+(RiskFreeRate-DividendYield-0.5*BI12^2)*TimeToExpiration)/(BI12*TimeToExpiration^0.5), 0, 1, TRUE)
)</f>
        <v>0.6910171449</v>
      </c>
      <c r="BK12" s="40">
        <f t="shared" si="30"/>
        <v>0.4168769531</v>
      </c>
      <c r="BL12" s="40">
        <f t="shared" si="31"/>
        <v>0.422734375</v>
      </c>
      <c r="BM12" s="7">
        <f>BM$2*(Underlying*EXP(-DividendYield*TimeToExpiration)*_xlfn.NORM.DIST(BM$2*(LN(Underlying/$H12)+(RiskFreeRate-DividendYield+0.5*BK12^2)*TimeToExpiration)/(BK12*TimeToExpiration^0.5), 0, 1, TRUE) - 
       $H12*EXP(-RiskFreeRate*TimeToExpiration)*_xlfn.NORM.DIST(BM$2*(LN(Underlying/$H12)+(RiskFreeRate-DividendYield-0.5*BK12^2)*TimeToExpiration)/(BK12*TimeToExpiration^0.5), 0, 1, TRUE)
)</f>
        <v>0.6910171449</v>
      </c>
      <c r="BN12" s="7">
        <f>BN$2*(Underlying*EXP(-DividendYield*TimeToExpiration)*_xlfn.NORM.DIST(BN$2*(LN(Underlying/$H12)+(RiskFreeRate-DividendYield+0.5*BL12^2)*TimeToExpiration)/(BL12*TimeToExpiration^0.5), 0, 1, TRUE) - 
       $H12*EXP(-RiskFreeRate*TimeToExpiration)*_xlfn.NORM.DIST(BN$2*(LN(Underlying/$H12)+(RiskFreeRate-DividendYield-0.5*BL12^2)*TimeToExpiration)/(BL12*TimeToExpiration^0.5), 0, 1, TRUE)
)</f>
        <v>0.7314659492</v>
      </c>
      <c r="BO12" s="40">
        <f t="shared" si="32"/>
        <v>0.4198056641</v>
      </c>
      <c r="BP12" s="8">
        <f>BP$2*(Underlying*EXP(-DividendYield*TimeToExpiration)*_xlfn.NORM.DIST(BP$2*(LN(Underlying/$H12)+(RiskFreeRate-DividendYield+0.5*BO12^2)*TimeToExpiration)/(BO12*TimeToExpiration^0.5), 0, 1, TRUE) - 
       $H12*EXP(-RiskFreeRate*TimeToExpiration)*_xlfn.NORM.DIST(BP$2*(LN(Underlying/$H12)+(RiskFreeRate-DividendYield-0.5*BO12^2)*TimeToExpiration)/(BO12*TimeToExpiration^0.5), 0, 1, TRUE)
)</f>
        <v>0.7111036968</v>
      </c>
      <c r="BQ12" s="40">
        <f t="shared" si="33"/>
        <v>0.4168769531</v>
      </c>
      <c r="BR12" s="40">
        <f t="shared" si="34"/>
        <v>0.4198056641</v>
      </c>
      <c r="BS12" s="7">
        <f>BS$2*(Underlying*EXP(-DividendYield*TimeToExpiration)*_xlfn.NORM.DIST(BS$2*(LN(Underlying/$H12)+(RiskFreeRate-DividendYield+0.5*BQ12^2)*TimeToExpiration)/(BQ12*TimeToExpiration^0.5), 0, 1, TRUE) - 
       $H12*EXP(-RiskFreeRate*TimeToExpiration)*_xlfn.NORM.DIST(BS$2*(LN(Underlying/$H12)+(RiskFreeRate-DividendYield-0.5*BQ12^2)*TimeToExpiration)/(BQ12*TimeToExpiration^0.5), 0, 1, TRUE)
)</f>
        <v>0.6910171449</v>
      </c>
      <c r="BT12" s="7">
        <f>BT$2*(Underlying*EXP(-DividendYield*TimeToExpiration)*_xlfn.NORM.DIST(BT$2*(LN(Underlying/$H12)+(RiskFreeRate-DividendYield+0.5*BR12^2)*TimeToExpiration)/(BR12*TimeToExpiration^0.5), 0, 1, TRUE) - 
       $H12*EXP(-RiskFreeRate*TimeToExpiration)*_xlfn.NORM.DIST(BT$2*(LN(Underlying/$H12)+(RiskFreeRate-DividendYield-0.5*BR12^2)*TimeToExpiration)/(BR12*TimeToExpiration^0.5), 0, 1, TRUE)
)</f>
        <v>0.7111036968</v>
      </c>
      <c r="BU12" s="40">
        <f t="shared" si="35"/>
        <v>0.4183413086</v>
      </c>
      <c r="BV12" s="8">
        <f>BV$2*(Underlying*EXP(-DividendYield*TimeToExpiration)*_xlfn.NORM.DIST(BV$2*(LN(Underlying/$H12)+(RiskFreeRate-DividendYield+0.5*BU12^2)*TimeToExpiration)/(BU12*TimeToExpiration^0.5), 0, 1, TRUE) - 
       $H12*EXP(-RiskFreeRate*TimeToExpiration)*_xlfn.NORM.DIST(BV$2*(LN(Underlying/$H12)+(RiskFreeRate-DividendYield-0.5*BU12^2)*TimeToExpiration)/(BU12*TimeToExpiration^0.5), 0, 1, TRUE)
)</f>
        <v>0.7010258326</v>
      </c>
      <c r="BW12" s="40">
        <f t="shared" si="36"/>
        <v>0.4183413086</v>
      </c>
      <c r="BX12" s="40">
        <f t="shared" si="37"/>
        <v>0.4198056641</v>
      </c>
      <c r="BY12" s="7">
        <f>BY$2*(Underlying*EXP(-DividendYield*TimeToExpiration)*_xlfn.NORM.DIST(BY$2*(LN(Underlying/$H12)+(RiskFreeRate-DividendYield+0.5*BW12^2)*TimeToExpiration)/(BW12*TimeToExpiration^0.5), 0, 1, TRUE) - 
       $H12*EXP(-RiskFreeRate*TimeToExpiration)*_xlfn.NORM.DIST(BY$2*(LN(Underlying/$H12)+(RiskFreeRate-DividendYield-0.5*BW12^2)*TimeToExpiration)/(BW12*TimeToExpiration^0.5), 0, 1, TRUE)
)</f>
        <v>0.7010258326</v>
      </c>
      <c r="BZ12" s="7">
        <f>BZ$2*(Underlying*EXP(-DividendYield*TimeToExpiration)*_xlfn.NORM.DIST(BZ$2*(LN(Underlying/$H12)+(RiskFreeRate-DividendYield+0.5*BX12^2)*TimeToExpiration)/(BX12*TimeToExpiration^0.5), 0, 1, TRUE) - 
       $H12*EXP(-RiskFreeRate*TimeToExpiration)*_xlfn.NORM.DIST(BZ$2*(LN(Underlying/$H12)+(RiskFreeRate-DividendYield-0.5*BX12^2)*TimeToExpiration)/(BX12*TimeToExpiration^0.5), 0, 1, TRUE)
)</f>
        <v>0.7111036968</v>
      </c>
      <c r="CA12" s="40">
        <f t="shared" si="38"/>
        <v>0.4190734863</v>
      </c>
      <c r="CB12" s="8">
        <f>CB$2*(Underlying*EXP(-DividendYield*TimeToExpiration)*_xlfn.NORM.DIST(CB$2*(LN(Underlying/$H12)+(RiskFreeRate-DividendYield+0.5*CA12^2)*TimeToExpiration)/(CA12*TimeToExpiration^0.5), 0, 1, TRUE) - 
       $H12*EXP(-RiskFreeRate*TimeToExpiration)*_xlfn.NORM.DIST(CB$2*(LN(Underlying/$H12)+(RiskFreeRate-DividendYield-0.5*CA12^2)*TimeToExpiration)/(CA12*TimeToExpiration^0.5), 0, 1, TRUE)
)</f>
        <v>0.7060561333</v>
      </c>
      <c r="CC12" s="40">
        <f t="shared" si="39"/>
        <v>0.4183413086</v>
      </c>
      <c r="CD12" s="40">
        <f t="shared" si="40"/>
        <v>0.4190734863</v>
      </c>
      <c r="CE12" s="7">
        <f>CE$2*(Underlying*EXP(-DividendYield*TimeToExpiration)*_xlfn.NORM.DIST(CE$2*(LN(Underlying/$H12)+(RiskFreeRate-DividendYield+0.5*CC12^2)*TimeToExpiration)/(CC12*TimeToExpiration^0.5), 0, 1, TRUE) - 
       $H12*EXP(-RiskFreeRate*TimeToExpiration)*_xlfn.NORM.DIST(CE$2*(LN(Underlying/$H12)+(RiskFreeRate-DividendYield-0.5*CC12^2)*TimeToExpiration)/(CC12*TimeToExpiration^0.5), 0, 1, TRUE)
)</f>
        <v>0.7010258326</v>
      </c>
      <c r="CF12" s="7">
        <f>CF$2*(Underlying*EXP(-DividendYield*TimeToExpiration)*_xlfn.NORM.DIST(CF$2*(LN(Underlying/$H12)+(RiskFreeRate-DividendYield+0.5*CD12^2)*TimeToExpiration)/(CD12*TimeToExpiration^0.5), 0, 1, TRUE) - 
       $H12*EXP(-RiskFreeRate*TimeToExpiration)*_xlfn.NORM.DIST(CF$2*(LN(Underlying/$H12)+(RiskFreeRate-DividendYield-0.5*CD12^2)*TimeToExpiration)/(CD12*TimeToExpiration^0.5), 0, 1, TRUE)
)</f>
        <v>0.7060561333</v>
      </c>
      <c r="CG12" s="40">
        <f t="shared" si="41"/>
        <v>0.4187073975</v>
      </c>
      <c r="CH12" s="8">
        <f>CH$2*(Underlying*EXP(-DividendYield*TimeToExpiration)*_xlfn.NORM.DIST(CH$2*(LN(Underlying/$H12)+(RiskFreeRate-DividendYield+0.5*CG12^2)*TimeToExpiration)/(CG12*TimeToExpiration^0.5), 0, 1, TRUE) - 
       $H12*EXP(-RiskFreeRate*TimeToExpiration)*_xlfn.NORM.DIST(CH$2*(LN(Underlying/$H12)+(RiskFreeRate-DividendYield-0.5*CG12^2)*TimeToExpiration)/(CG12*TimeToExpiration^0.5), 0, 1, TRUE)
)</f>
        <v>0.7035388231</v>
      </c>
      <c r="CI12" s="40">
        <f t="shared" si="42"/>
        <v>0.4187073975</v>
      </c>
      <c r="CJ12" s="40">
        <f t="shared" si="43"/>
        <v>0.4190734863</v>
      </c>
      <c r="CK12" s="7">
        <f>CK$2*(Underlying*EXP(-DividendYield*TimeToExpiration)*_xlfn.NORM.DIST(CK$2*(LN(Underlying/$H12)+(RiskFreeRate-DividendYield+0.5*CI12^2)*TimeToExpiration)/(CI12*TimeToExpiration^0.5), 0, 1, TRUE) - 
       $H12*EXP(-RiskFreeRate*TimeToExpiration)*_xlfn.NORM.DIST(CK$2*(LN(Underlying/$H12)+(RiskFreeRate-DividendYield-0.5*CI12^2)*TimeToExpiration)/(CI12*TimeToExpiration^0.5), 0, 1, TRUE)
)</f>
        <v>0.7035388231</v>
      </c>
      <c r="CL12" s="7">
        <f>CL$2*(Underlying*EXP(-DividendYield*TimeToExpiration)*_xlfn.NORM.DIST(CL$2*(LN(Underlying/$H12)+(RiskFreeRate-DividendYield+0.5*CJ12^2)*TimeToExpiration)/(CJ12*TimeToExpiration^0.5), 0, 1, TRUE) - 
       $H12*EXP(-RiskFreeRate*TimeToExpiration)*_xlfn.NORM.DIST(CL$2*(LN(Underlying/$H12)+(RiskFreeRate-DividendYield-0.5*CJ12^2)*TimeToExpiration)/(CJ12*TimeToExpiration^0.5), 0, 1, TRUE)
)</f>
        <v>0.7060561333</v>
      </c>
      <c r="CM12" s="40">
        <f t="shared" si="44"/>
        <v>0.4188904419</v>
      </c>
      <c r="CN12" s="8">
        <f>CN$2*(Underlying*EXP(-DividendYield*TimeToExpiration)*_xlfn.NORM.DIST(CN$2*(LN(Underlying/$H12)+(RiskFreeRate-DividendYield+0.5*CM12^2)*TimeToExpiration)/(CM12*TimeToExpiration^0.5), 0, 1, TRUE) - 
       $H12*EXP(-RiskFreeRate*TimeToExpiration)*_xlfn.NORM.DIST(CN$2*(LN(Underlying/$H12)+(RiskFreeRate-DividendYield-0.5*CM12^2)*TimeToExpiration)/(CM12*TimeToExpiration^0.5), 0, 1, TRUE)
)</f>
        <v>0.7047969385</v>
      </c>
      <c r="CO12" s="40">
        <f t="shared" si="45"/>
        <v>0.4188904419</v>
      </c>
      <c r="CP12" s="40">
        <f t="shared" si="46"/>
        <v>0.4190734863</v>
      </c>
      <c r="CQ12" s="7">
        <f>CQ$2*(Underlying*EXP(-DividendYield*TimeToExpiration)*_xlfn.NORM.DIST(CQ$2*(LN(Underlying/$H12)+(RiskFreeRate-DividendYield+0.5*CO12^2)*TimeToExpiration)/(CO12*TimeToExpiration^0.5), 0, 1, TRUE) - 
       $H12*EXP(-RiskFreeRate*TimeToExpiration)*_xlfn.NORM.DIST(CQ$2*(LN(Underlying/$H12)+(RiskFreeRate-DividendYield-0.5*CO12^2)*TimeToExpiration)/(CO12*TimeToExpiration^0.5), 0, 1, TRUE)
)</f>
        <v>0.7047969385</v>
      </c>
      <c r="CR12" s="7">
        <f>CR$2*(Underlying*EXP(-DividendYield*TimeToExpiration)*_xlfn.NORM.DIST(CR$2*(LN(Underlying/$H12)+(RiskFreeRate-DividendYield+0.5*CP12^2)*TimeToExpiration)/(CP12*TimeToExpiration^0.5), 0, 1, TRUE) - 
       $H12*EXP(-RiskFreeRate*TimeToExpiration)*_xlfn.NORM.DIST(CR$2*(LN(Underlying/$H12)+(RiskFreeRate-DividendYield-0.5*CP12^2)*TimeToExpiration)/(CP12*TimeToExpiration^0.5), 0, 1, TRUE)
)</f>
        <v>0.7060561333</v>
      </c>
      <c r="CS12" s="40">
        <f t="shared" si="47"/>
        <v>0.4189819641</v>
      </c>
      <c r="CT12" s="8">
        <f>CT$2*(Underlying*EXP(-DividendYield*TimeToExpiration)*_xlfn.NORM.DIST(CT$2*(LN(Underlying/$H12)+(RiskFreeRate-DividendYield+0.5*CS12^2)*TimeToExpiration)/(CS12*TimeToExpiration^0.5), 0, 1, TRUE) - 
       $H12*EXP(-RiskFreeRate*TimeToExpiration)*_xlfn.NORM.DIST(CT$2*(LN(Underlying/$H12)+(RiskFreeRate-DividendYield-0.5*CS12^2)*TimeToExpiration)/(CS12*TimeToExpiration^0.5), 0, 1, TRUE)
)</f>
        <v>0.705426401</v>
      </c>
      <c r="CU12" s="40">
        <f t="shared" si="48"/>
        <v>0.4188904419</v>
      </c>
      <c r="CV12" s="40">
        <f t="shared" si="49"/>
        <v>0.4189819641</v>
      </c>
      <c r="CW12" s="7">
        <f>CW$2*(Underlying*EXP(-DividendYield*TimeToExpiration)*_xlfn.NORM.DIST(CW$2*(LN(Underlying/$H12)+(RiskFreeRate-DividendYield+0.5*CU12^2)*TimeToExpiration)/(CU12*TimeToExpiration^0.5), 0, 1, TRUE) - 
       $H12*EXP(-RiskFreeRate*TimeToExpiration)*_xlfn.NORM.DIST(CW$2*(LN(Underlying/$H12)+(RiskFreeRate-DividendYield-0.5*CU12^2)*TimeToExpiration)/(CU12*TimeToExpiration^0.5), 0, 1, TRUE)
)</f>
        <v>0.7047969385</v>
      </c>
      <c r="CX12" s="7">
        <f>CX$2*(Underlying*EXP(-DividendYield*TimeToExpiration)*_xlfn.NORM.DIST(CX$2*(LN(Underlying/$H12)+(RiskFreeRate-DividendYield+0.5*CV12^2)*TimeToExpiration)/(CV12*TimeToExpiration^0.5), 0, 1, TRUE) - 
       $H12*EXP(-RiskFreeRate*TimeToExpiration)*_xlfn.NORM.DIST(CX$2*(LN(Underlying/$H12)+(RiskFreeRate-DividendYield-0.5*CV12^2)*TimeToExpiration)/(CV12*TimeToExpiration^0.5), 0, 1, TRUE)
)</f>
        <v>0.705426401</v>
      </c>
      <c r="CY12" s="40">
        <f t="shared" si="50"/>
        <v>0.418936203</v>
      </c>
      <c r="CZ12" s="8">
        <f>CZ$2*(Underlying*EXP(-DividendYield*TimeToExpiration)*_xlfn.NORM.DIST(CZ$2*(LN(Underlying/$H12)+(RiskFreeRate-DividendYield+0.5*CY12^2)*TimeToExpiration)/(CY12*TimeToExpiration^0.5), 0, 1, TRUE) - 
       $H12*EXP(-RiskFreeRate*TimeToExpiration)*_xlfn.NORM.DIST(CZ$2*(LN(Underlying/$H12)+(RiskFreeRate-DividendYield-0.5*CY12^2)*TimeToExpiration)/(CY12*TimeToExpiration^0.5), 0, 1, TRUE)
)</f>
        <v>0.705111636</v>
      </c>
      <c r="DA12" s="40">
        <f t="shared" si="51"/>
        <v>0.4188904419</v>
      </c>
      <c r="DB12" s="40">
        <f t="shared" si="52"/>
        <v>0.418936203</v>
      </c>
      <c r="DC12" s="7">
        <f>DC$2*(Underlying*EXP(-DividendYield*TimeToExpiration)*_xlfn.NORM.DIST(DC$2*(LN(Underlying/$H12)+(RiskFreeRate-DividendYield+0.5*DA12^2)*TimeToExpiration)/(DA12*TimeToExpiration^0.5), 0, 1, TRUE) - 
       $H12*EXP(-RiskFreeRate*TimeToExpiration)*_xlfn.NORM.DIST(DC$2*(LN(Underlying/$H12)+(RiskFreeRate-DividendYield-0.5*DA12^2)*TimeToExpiration)/(DA12*TimeToExpiration^0.5), 0, 1, TRUE)
)</f>
        <v>0.7047969385</v>
      </c>
      <c r="DD12" s="7">
        <f>DD$2*(Underlying*EXP(-DividendYield*TimeToExpiration)*_xlfn.NORM.DIST(DD$2*(LN(Underlying/$H12)+(RiskFreeRate-DividendYield+0.5*DB12^2)*TimeToExpiration)/(DB12*TimeToExpiration^0.5), 0, 1, TRUE) - 
       $H12*EXP(-RiskFreeRate*TimeToExpiration)*_xlfn.NORM.DIST(DD$2*(LN(Underlying/$H12)+(RiskFreeRate-DividendYield-0.5*DB12^2)*TimeToExpiration)/(DB12*TimeToExpiration^0.5), 0, 1, TRUE)
)</f>
        <v>0.705111636</v>
      </c>
      <c r="DE12" s="40">
        <f t="shared" si="53"/>
        <v>0.4189133224</v>
      </c>
      <c r="DF12" s="8">
        <f>DF$2*(Underlying*EXP(-DividendYield*TimeToExpiration)*_xlfn.NORM.DIST(DF$2*(LN(Underlying/$H12)+(RiskFreeRate-DividendYield+0.5*DE12^2)*TimeToExpiration)/(DE12*TimeToExpiration^0.5), 0, 1, TRUE) - 
       $H12*EXP(-RiskFreeRate*TimeToExpiration)*_xlfn.NORM.DIST(DF$2*(LN(Underlying/$H12)+(RiskFreeRate-DividendYield-0.5*DE12^2)*TimeToExpiration)/(DE12*TimeToExpiration^0.5), 0, 1, TRUE)
)</f>
        <v>0.7049542788</v>
      </c>
    </row>
    <row r="13">
      <c r="A13" s="20">
        <f>'Option Mkt Data'!A13</f>
        <v>315</v>
      </c>
      <c r="B13" s="35">
        <f t="shared" ref="B13:C13" si="60">DE13</f>
        <v>0.4089831619</v>
      </c>
      <c r="C13" s="7">
        <f t="shared" si="60"/>
        <v>0.8649128396</v>
      </c>
      <c r="D13" s="7">
        <f t="shared" si="3"/>
        <v>0.00008716993662</v>
      </c>
      <c r="E13" s="9">
        <f t="shared" si="4"/>
        <v>0.0001007744921</v>
      </c>
      <c r="F13" s="36">
        <f>D13/'Option Mkt Data'!M13</f>
        <v>0.008717001508</v>
      </c>
      <c r="G13" s="5">
        <f>'Option Mkt Data'!K13</f>
        <v>0.8650000095</v>
      </c>
      <c r="H13" s="33">
        <f>'Option Mkt Data'!A13</f>
        <v>315</v>
      </c>
      <c r="I13" s="37">
        <f>MinSolverVola</f>
        <v>0.001</v>
      </c>
      <c r="J13" s="38">
        <f>MaxSolverVola</f>
        <v>3</v>
      </c>
      <c r="K13" s="39">
        <f>K$2*(Underlying*EXP(-DividendYield*TimeToExpiration)*_xlfn.NORM.DIST(K$2*(LN(Underlying/$H13)+(RiskFreeRate-DividendYield+0.5*I13^2)*TimeToExpiration)/(I13*TimeToExpiration^0.5), 0, 1, TRUE) - 
       $H13*EXP(-RiskFreeRate*TimeToExpiration)*_xlfn.NORM.DIST(K$2*(LN(Underlying/$H13)+(RiskFreeRate-DividendYield-0.5*I13^2)*TimeToExpiration)/(I13*TimeToExpiration^0.5), 0, 1, TRUE)
)</f>
        <v>0</v>
      </c>
      <c r="L13" s="7">
        <f>L$2*(Underlying*EXP(-DividendYield*TimeToExpiration)*_xlfn.NORM.DIST(L$2*(LN(Underlying/$H13)+(RiskFreeRate-DividendYield+0.5*J13^2)*TimeToExpiration)/(J13*TimeToExpiration^0.5), 0, 1, TRUE) - 
       $H13*EXP(-RiskFreeRate*TimeToExpiration)*_xlfn.NORM.DIST(L$2*(LN(Underlying/$H13)+(RiskFreeRate-DividendYield-0.5*J13^2)*TimeToExpiration)/(J13*TimeToExpiration^0.5), 0, 1, TRUE)
)</f>
        <v>43.51137824</v>
      </c>
      <c r="M13" s="40">
        <f t="shared" si="5"/>
        <v>1.5005</v>
      </c>
      <c r="N13" s="8">
        <f>N$2*(Underlying*EXP(-DividendYield*TimeToExpiration)*_xlfn.NORM.DIST(N$2*(LN(Underlying/$H13)+(RiskFreeRate-DividendYield+0.5*M13^2)*TimeToExpiration)/(M13*TimeToExpiration^0.5), 0, 1, TRUE) - 
       $H13*EXP(-RiskFreeRate*TimeToExpiration)*_xlfn.NORM.DIST(N$2*(LN(Underlying/$H13)+(RiskFreeRate-DividendYield-0.5*M13^2)*TimeToExpiration)/(M13*TimeToExpiration^0.5), 0, 1, TRUE)
)</f>
        <v>17.06848925</v>
      </c>
      <c r="O13" s="41">
        <f t="shared" si="6"/>
        <v>0.001</v>
      </c>
      <c r="P13" s="40">
        <f t="shared" si="7"/>
        <v>1.5005</v>
      </c>
      <c r="Q13" s="7">
        <f>Q$2*(Underlying*EXP(-DividendYield*TimeToExpiration)*_xlfn.NORM.DIST(Q$2*(LN(Underlying/$H13)+(RiskFreeRate-DividendYield+0.5*O13^2)*TimeToExpiration)/(O13*TimeToExpiration^0.5), 0, 1, TRUE) - 
       $H13*EXP(-RiskFreeRate*TimeToExpiration)*_xlfn.NORM.DIST(Q$2*(LN(Underlying/$H13)+(RiskFreeRate-DividendYield-0.5*O13^2)*TimeToExpiration)/(O13*TimeToExpiration^0.5), 0, 1, TRUE)
)</f>
        <v>0</v>
      </c>
      <c r="R13" s="7">
        <f>R$2*(Underlying*EXP(-DividendYield*TimeToExpiration)*_xlfn.NORM.DIST(R$2*(LN(Underlying/$H13)+(RiskFreeRate-DividendYield+0.5*P13^2)*TimeToExpiration)/(P13*TimeToExpiration^0.5), 0, 1, TRUE) - 
       $H13*EXP(-RiskFreeRate*TimeToExpiration)*_xlfn.NORM.DIST(R$2*(LN(Underlying/$H13)+(RiskFreeRate-DividendYield-0.5*P13^2)*TimeToExpiration)/(P13*TimeToExpiration^0.5), 0, 1, TRUE)
)</f>
        <v>17.06848925</v>
      </c>
      <c r="S13" s="40">
        <f t="shared" si="8"/>
        <v>0.75075</v>
      </c>
      <c r="T13" s="8">
        <f>T$2*(Underlying*EXP(-DividendYield*TimeToExpiration)*_xlfn.NORM.DIST(T$2*(LN(Underlying/$H13)+(RiskFreeRate-DividendYield+0.5*S13^2)*TimeToExpiration)/(S13*TimeToExpiration^0.5), 0, 1, TRUE) - 
       $H13*EXP(-RiskFreeRate*TimeToExpiration)*_xlfn.NORM.DIST(T$2*(LN(Underlying/$H13)+(RiskFreeRate-DividendYield-0.5*S13^2)*TimeToExpiration)/(S13*TimeToExpiration^0.5), 0, 1, TRUE)
)</f>
        <v>4.896013054</v>
      </c>
      <c r="U13" s="41">
        <f t="shared" si="9"/>
        <v>0.001</v>
      </c>
      <c r="V13" s="40">
        <f t="shared" si="10"/>
        <v>0.75075</v>
      </c>
      <c r="W13" s="7">
        <f>W$2*(Underlying*EXP(-DividendYield*TimeToExpiration)*_xlfn.NORM.DIST(W$2*(LN(Underlying/$H13)+(RiskFreeRate-DividendYield+0.5*U13^2)*TimeToExpiration)/(U13*TimeToExpiration^0.5), 0, 1, TRUE) - 
       $H13*EXP(-RiskFreeRate*TimeToExpiration)*_xlfn.NORM.DIST(W$2*(LN(Underlying/$H13)+(RiskFreeRate-DividendYield-0.5*U13^2)*TimeToExpiration)/(U13*TimeToExpiration^0.5), 0, 1, TRUE)
)</f>
        <v>0</v>
      </c>
      <c r="X13" s="7">
        <f>X$2*(Underlying*EXP(-DividendYield*TimeToExpiration)*_xlfn.NORM.DIST(X$2*(LN(Underlying/$H13)+(RiskFreeRate-DividendYield+0.5*V13^2)*TimeToExpiration)/(V13*TimeToExpiration^0.5), 0, 1, TRUE) - 
       $H13*EXP(-RiskFreeRate*TimeToExpiration)*_xlfn.NORM.DIST(X$2*(LN(Underlying/$H13)+(RiskFreeRate-DividendYield-0.5*V13^2)*TimeToExpiration)/(V13*TimeToExpiration^0.5), 0, 1, TRUE)
)</f>
        <v>4.896013054</v>
      </c>
      <c r="Y13" s="40">
        <f t="shared" si="11"/>
        <v>0.375875</v>
      </c>
      <c r="Z13" s="8">
        <f>Z$2*(Underlying*EXP(-DividendYield*TimeToExpiration)*_xlfn.NORM.DIST(Z$2*(LN(Underlying/$H13)+(RiskFreeRate-DividendYield+0.5*Y13^2)*TimeToExpiration)/(Y13*TimeToExpiration^0.5), 0, 1, TRUE) - 
       $H13*EXP(-RiskFreeRate*TimeToExpiration)*_xlfn.NORM.DIST(Z$2*(LN(Underlying/$H13)+(RiskFreeRate-DividendYield-0.5*Y13^2)*TimeToExpiration)/(Y13*TimeToExpiration^0.5), 0, 1, TRUE)
)</f>
        <v>0.6205032973</v>
      </c>
      <c r="AA13" s="40">
        <f t="shared" si="12"/>
        <v>0.375875</v>
      </c>
      <c r="AB13" s="40">
        <f t="shared" si="13"/>
        <v>0.75075</v>
      </c>
      <c r="AC13" s="7">
        <f>AC$2*(Underlying*EXP(-DividendYield*TimeToExpiration)*_xlfn.NORM.DIST(AC$2*(LN(Underlying/$H13)+(RiskFreeRate-DividendYield+0.5*AA13^2)*TimeToExpiration)/(AA13*TimeToExpiration^0.5), 0, 1, TRUE) - 
       $H13*EXP(-RiskFreeRate*TimeToExpiration)*_xlfn.NORM.DIST(AC$2*(LN(Underlying/$H13)+(RiskFreeRate-DividendYield-0.5*AA13^2)*TimeToExpiration)/(AA13*TimeToExpiration^0.5), 0, 1, TRUE)
)</f>
        <v>0.6205032973</v>
      </c>
      <c r="AD13" s="7">
        <f>AD$2*(Underlying*EXP(-DividendYield*TimeToExpiration)*_xlfn.NORM.DIST(AD$2*(LN(Underlying/$H13)+(RiskFreeRate-DividendYield+0.5*AB13^2)*TimeToExpiration)/(AB13*TimeToExpiration^0.5), 0, 1, TRUE) - 
       $H13*EXP(-RiskFreeRate*TimeToExpiration)*_xlfn.NORM.DIST(AD$2*(LN(Underlying/$H13)+(RiskFreeRate-DividendYield-0.5*AB13^2)*TimeToExpiration)/(AB13*TimeToExpiration^0.5), 0, 1, TRUE)
)</f>
        <v>4.896013054</v>
      </c>
      <c r="AE13" s="40">
        <f t="shared" si="14"/>
        <v>0.5633125</v>
      </c>
      <c r="AF13" s="8">
        <f>AF$2*(Underlying*EXP(-DividendYield*TimeToExpiration)*_xlfn.NORM.DIST(AF$2*(LN(Underlying/$H13)+(RiskFreeRate-DividendYield+0.5*AE13^2)*TimeToExpiration)/(AE13*TimeToExpiration^0.5), 0, 1, TRUE) - 
       $H13*EXP(-RiskFreeRate*TimeToExpiration)*_xlfn.NORM.DIST(AF$2*(LN(Underlying/$H13)+(RiskFreeRate-DividendYield-0.5*AE13^2)*TimeToExpiration)/(AE13*TimeToExpiration^0.5), 0, 1, TRUE)
)</f>
        <v>2.417993059</v>
      </c>
      <c r="AG13" s="40">
        <f t="shared" si="15"/>
        <v>0.375875</v>
      </c>
      <c r="AH13" s="40">
        <f t="shared" si="16"/>
        <v>0.5633125</v>
      </c>
      <c r="AI13" s="7">
        <f>AI$2*(Underlying*EXP(-DividendYield*TimeToExpiration)*_xlfn.NORM.DIST(AI$2*(LN(Underlying/$H13)+(RiskFreeRate-DividendYield+0.5*AG13^2)*TimeToExpiration)/(AG13*TimeToExpiration^0.5), 0, 1, TRUE) - 
       $H13*EXP(-RiskFreeRate*TimeToExpiration)*_xlfn.NORM.DIST(AI$2*(LN(Underlying/$H13)+(RiskFreeRate-DividendYield-0.5*AG13^2)*TimeToExpiration)/(AG13*TimeToExpiration^0.5), 0, 1, TRUE)
)</f>
        <v>0.6205032973</v>
      </c>
      <c r="AJ13" s="7">
        <f>AJ$2*(Underlying*EXP(-DividendYield*TimeToExpiration)*_xlfn.NORM.DIST(AJ$2*(LN(Underlying/$H13)+(RiskFreeRate-DividendYield+0.5*AH13^2)*TimeToExpiration)/(AH13*TimeToExpiration^0.5), 0, 1, TRUE) - 
       $H13*EXP(-RiskFreeRate*TimeToExpiration)*_xlfn.NORM.DIST(AJ$2*(LN(Underlying/$H13)+(RiskFreeRate-DividendYield-0.5*AH13^2)*TimeToExpiration)/(AH13*TimeToExpiration^0.5), 0, 1, TRUE)
)</f>
        <v>2.417993059</v>
      </c>
      <c r="AK13" s="40">
        <f t="shared" si="17"/>
        <v>0.46959375</v>
      </c>
      <c r="AL13" s="8">
        <f>AL$2*(Underlying*EXP(-DividendYield*TimeToExpiration)*_xlfn.NORM.DIST(AL$2*(LN(Underlying/$H13)+(RiskFreeRate-DividendYield+0.5*AK13^2)*TimeToExpiration)/(AK13*TimeToExpiration^0.5), 0, 1, TRUE) - 
       $H13*EXP(-RiskFreeRate*TimeToExpiration)*_xlfn.NORM.DIST(AL$2*(LN(Underlying/$H13)+(RiskFreeRate-DividendYield-0.5*AK13^2)*TimeToExpiration)/(AK13*TimeToExpiration^0.5), 0, 1, TRUE)
)</f>
        <v>1.402403219</v>
      </c>
      <c r="AM13" s="40">
        <f t="shared" si="18"/>
        <v>0.375875</v>
      </c>
      <c r="AN13" s="40">
        <f t="shared" si="19"/>
        <v>0.46959375</v>
      </c>
      <c r="AO13" s="7">
        <f>AO$2*(Underlying*EXP(-DividendYield*TimeToExpiration)*_xlfn.NORM.DIST(AO$2*(LN(Underlying/$H13)+(RiskFreeRate-DividendYield+0.5*AM13^2)*TimeToExpiration)/(AM13*TimeToExpiration^0.5), 0, 1, TRUE) - 
       $H13*EXP(-RiskFreeRate*TimeToExpiration)*_xlfn.NORM.DIST(AO$2*(LN(Underlying/$H13)+(RiskFreeRate-DividendYield-0.5*AM13^2)*TimeToExpiration)/(AM13*TimeToExpiration^0.5), 0, 1, TRUE)
)</f>
        <v>0.6205032973</v>
      </c>
      <c r="AP13" s="7">
        <f>AP$2*(Underlying*EXP(-DividendYield*TimeToExpiration)*_xlfn.NORM.DIST(AP$2*(LN(Underlying/$H13)+(RiskFreeRate-DividendYield+0.5*AN13^2)*TimeToExpiration)/(AN13*TimeToExpiration^0.5), 0, 1, TRUE) - 
       $H13*EXP(-RiskFreeRate*TimeToExpiration)*_xlfn.NORM.DIST(AP$2*(LN(Underlying/$H13)+(RiskFreeRate-DividendYield-0.5*AN13^2)*TimeToExpiration)/(AN13*TimeToExpiration^0.5), 0, 1, TRUE)
)</f>
        <v>1.402403219</v>
      </c>
      <c r="AQ13" s="40">
        <f t="shared" si="20"/>
        <v>0.422734375</v>
      </c>
      <c r="AR13" s="8">
        <f>AR$2*(Underlying*EXP(-DividendYield*TimeToExpiration)*_xlfn.NORM.DIST(AR$2*(LN(Underlying/$H13)+(RiskFreeRate-DividendYield+0.5*AQ13^2)*TimeToExpiration)/(AQ13*TimeToExpiration^0.5), 0, 1, TRUE) - 
       $H13*EXP(-RiskFreeRate*TimeToExpiration)*_xlfn.NORM.DIST(AR$2*(LN(Underlying/$H13)+(RiskFreeRate-DividendYield-0.5*AQ13^2)*TimeToExpiration)/(AQ13*TimeToExpiration^0.5), 0, 1, TRUE)
)</f>
        <v>0.9771689105</v>
      </c>
      <c r="AS13" s="40">
        <f t="shared" si="21"/>
        <v>0.375875</v>
      </c>
      <c r="AT13" s="40">
        <f t="shared" si="22"/>
        <v>0.422734375</v>
      </c>
      <c r="AU13" s="7">
        <f>AU$2*(Underlying*EXP(-DividendYield*TimeToExpiration)*_xlfn.NORM.DIST(AU$2*(LN(Underlying/$H13)+(RiskFreeRate-DividendYield+0.5*AS13^2)*TimeToExpiration)/(AS13*TimeToExpiration^0.5), 0, 1, TRUE) - 
       $H13*EXP(-RiskFreeRate*TimeToExpiration)*_xlfn.NORM.DIST(AU$2*(LN(Underlying/$H13)+(RiskFreeRate-DividendYield-0.5*AS13^2)*TimeToExpiration)/(AS13*TimeToExpiration^0.5), 0, 1, TRUE)
)</f>
        <v>0.6205032973</v>
      </c>
      <c r="AV13" s="7">
        <f>AV$2*(Underlying*EXP(-DividendYield*TimeToExpiration)*_xlfn.NORM.DIST(AV$2*(LN(Underlying/$H13)+(RiskFreeRate-DividendYield+0.5*AT13^2)*TimeToExpiration)/(AT13*TimeToExpiration^0.5), 0, 1, TRUE) - 
       $H13*EXP(-RiskFreeRate*TimeToExpiration)*_xlfn.NORM.DIST(AV$2*(LN(Underlying/$H13)+(RiskFreeRate-DividendYield-0.5*AT13^2)*TimeToExpiration)/(AT13*TimeToExpiration^0.5), 0, 1, TRUE)
)</f>
        <v>0.9771689105</v>
      </c>
      <c r="AW13" s="40">
        <f t="shared" si="23"/>
        <v>0.3993046875</v>
      </c>
      <c r="AX13" s="8">
        <f>AX$2*(Underlying*EXP(-DividendYield*TimeToExpiration)*_xlfn.NORM.DIST(AX$2*(LN(Underlying/$H13)+(RiskFreeRate-DividendYield+0.5*AW13^2)*TimeToExpiration)/(AW13*TimeToExpiration^0.5), 0, 1, TRUE) - 
       $H13*EXP(-RiskFreeRate*TimeToExpiration)*_xlfn.NORM.DIST(AX$2*(LN(Underlying/$H13)+(RiskFreeRate-DividendYield-0.5*AW13^2)*TimeToExpiration)/(AW13*TimeToExpiration^0.5), 0, 1, TRUE)
)</f>
        <v>0.7895920007</v>
      </c>
      <c r="AY13" s="40">
        <f t="shared" si="24"/>
        <v>0.3993046875</v>
      </c>
      <c r="AZ13" s="40">
        <f t="shared" si="25"/>
        <v>0.422734375</v>
      </c>
      <c r="BA13" s="7">
        <f>BA$2*(Underlying*EXP(-DividendYield*TimeToExpiration)*_xlfn.NORM.DIST(BA$2*(LN(Underlying/$H13)+(RiskFreeRate-DividendYield+0.5*AY13^2)*TimeToExpiration)/(AY13*TimeToExpiration^0.5), 0, 1, TRUE) - 
       $H13*EXP(-RiskFreeRate*TimeToExpiration)*_xlfn.NORM.DIST(BA$2*(LN(Underlying/$H13)+(RiskFreeRate-DividendYield-0.5*AY13^2)*TimeToExpiration)/(AY13*TimeToExpiration^0.5), 0, 1, TRUE)
)</f>
        <v>0.7895920007</v>
      </c>
      <c r="BB13" s="7">
        <f>BB$2*(Underlying*EXP(-DividendYield*TimeToExpiration)*_xlfn.NORM.DIST(BB$2*(LN(Underlying/$H13)+(RiskFreeRate-DividendYield+0.5*AZ13^2)*TimeToExpiration)/(AZ13*TimeToExpiration^0.5), 0, 1, TRUE) - 
       $H13*EXP(-RiskFreeRate*TimeToExpiration)*_xlfn.NORM.DIST(BB$2*(LN(Underlying/$H13)+(RiskFreeRate-DividendYield-0.5*AZ13^2)*TimeToExpiration)/(AZ13*TimeToExpiration^0.5), 0, 1, TRUE)
)</f>
        <v>0.9771689105</v>
      </c>
      <c r="BC13" s="40">
        <f t="shared" si="26"/>
        <v>0.4110195313</v>
      </c>
      <c r="BD13" s="8">
        <f>BD$2*(Underlying*EXP(-DividendYield*TimeToExpiration)*_xlfn.NORM.DIST(BD$2*(LN(Underlying/$H13)+(RiskFreeRate-DividendYield+0.5*BC13^2)*TimeToExpiration)/(BC13*TimeToExpiration^0.5), 0, 1, TRUE) - 
       $H13*EXP(-RiskFreeRate*TimeToExpiration)*_xlfn.NORM.DIST(BD$2*(LN(Underlying/$H13)+(RiskFreeRate-DividendYield-0.5*BC13^2)*TimeToExpiration)/(BC13*TimeToExpiration^0.5), 0, 1, TRUE)
)</f>
        <v>0.8811533793</v>
      </c>
      <c r="BE13" s="40">
        <f t="shared" si="27"/>
        <v>0.3993046875</v>
      </c>
      <c r="BF13" s="40">
        <f t="shared" si="28"/>
        <v>0.4110195313</v>
      </c>
      <c r="BG13" s="7">
        <f>BG$2*(Underlying*EXP(-DividendYield*TimeToExpiration)*_xlfn.NORM.DIST(BG$2*(LN(Underlying/$H13)+(RiskFreeRate-DividendYield+0.5*BE13^2)*TimeToExpiration)/(BE13*TimeToExpiration^0.5), 0, 1, TRUE) - 
       $H13*EXP(-RiskFreeRate*TimeToExpiration)*_xlfn.NORM.DIST(BG$2*(LN(Underlying/$H13)+(RiskFreeRate-DividendYield-0.5*BE13^2)*TimeToExpiration)/(BE13*TimeToExpiration^0.5), 0, 1, TRUE)
)</f>
        <v>0.7895920007</v>
      </c>
      <c r="BH13" s="7">
        <f>BH$2*(Underlying*EXP(-DividendYield*TimeToExpiration)*_xlfn.NORM.DIST(BH$2*(LN(Underlying/$H13)+(RiskFreeRate-DividendYield+0.5*BF13^2)*TimeToExpiration)/(BF13*TimeToExpiration^0.5), 0, 1, TRUE) - 
       $H13*EXP(-RiskFreeRate*TimeToExpiration)*_xlfn.NORM.DIST(BH$2*(LN(Underlying/$H13)+(RiskFreeRate-DividendYield-0.5*BF13^2)*TimeToExpiration)/(BF13*TimeToExpiration^0.5), 0, 1, TRUE)
)</f>
        <v>0.8811533793</v>
      </c>
      <c r="BI13" s="40">
        <f t="shared" si="29"/>
        <v>0.4051621094</v>
      </c>
      <c r="BJ13" s="8">
        <f>BJ$2*(Underlying*EXP(-DividendYield*TimeToExpiration)*_xlfn.NORM.DIST(BJ$2*(LN(Underlying/$H13)+(RiskFreeRate-DividendYield+0.5*BI13^2)*TimeToExpiration)/(BI13*TimeToExpiration^0.5), 0, 1, TRUE) - 
       $H13*EXP(-RiskFreeRate*TimeToExpiration)*_xlfn.NORM.DIST(BJ$2*(LN(Underlying/$H13)+(RiskFreeRate-DividendYield-0.5*BI13^2)*TimeToExpiration)/(BI13*TimeToExpiration^0.5), 0, 1, TRUE)
)</f>
        <v>0.8348053326</v>
      </c>
      <c r="BK13" s="40">
        <f t="shared" si="30"/>
        <v>0.4051621094</v>
      </c>
      <c r="BL13" s="40">
        <f t="shared" si="31"/>
        <v>0.4110195313</v>
      </c>
      <c r="BM13" s="7">
        <f>BM$2*(Underlying*EXP(-DividendYield*TimeToExpiration)*_xlfn.NORM.DIST(BM$2*(LN(Underlying/$H13)+(RiskFreeRate-DividendYield+0.5*BK13^2)*TimeToExpiration)/(BK13*TimeToExpiration^0.5), 0, 1, TRUE) - 
       $H13*EXP(-RiskFreeRate*TimeToExpiration)*_xlfn.NORM.DIST(BM$2*(LN(Underlying/$H13)+(RiskFreeRate-DividendYield-0.5*BK13^2)*TimeToExpiration)/(BK13*TimeToExpiration^0.5), 0, 1, TRUE)
)</f>
        <v>0.8348053326</v>
      </c>
      <c r="BN13" s="7">
        <f>BN$2*(Underlying*EXP(-DividendYield*TimeToExpiration)*_xlfn.NORM.DIST(BN$2*(LN(Underlying/$H13)+(RiskFreeRate-DividendYield+0.5*BL13^2)*TimeToExpiration)/(BL13*TimeToExpiration^0.5), 0, 1, TRUE) - 
       $H13*EXP(-RiskFreeRate*TimeToExpiration)*_xlfn.NORM.DIST(BN$2*(LN(Underlying/$H13)+(RiskFreeRate-DividendYield-0.5*BL13^2)*TimeToExpiration)/(BL13*TimeToExpiration^0.5), 0, 1, TRUE)
)</f>
        <v>0.8811533793</v>
      </c>
      <c r="BO13" s="40">
        <f t="shared" si="32"/>
        <v>0.4080908203</v>
      </c>
      <c r="BP13" s="8">
        <f>BP$2*(Underlying*EXP(-DividendYield*TimeToExpiration)*_xlfn.NORM.DIST(BP$2*(LN(Underlying/$H13)+(RiskFreeRate-DividendYield+0.5*BO13^2)*TimeToExpiration)/(BO13*TimeToExpiration^0.5), 0, 1, TRUE) - 
       $H13*EXP(-RiskFreeRate*TimeToExpiration)*_xlfn.NORM.DIST(BP$2*(LN(Underlying/$H13)+(RiskFreeRate-DividendYield-0.5*BO13^2)*TimeToExpiration)/(BO13*TimeToExpiration^0.5), 0, 1, TRUE)
)</f>
        <v>0.8578388374</v>
      </c>
      <c r="BQ13" s="40">
        <f t="shared" si="33"/>
        <v>0.4080908203</v>
      </c>
      <c r="BR13" s="40">
        <f t="shared" si="34"/>
        <v>0.4110195313</v>
      </c>
      <c r="BS13" s="7">
        <f>BS$2*(Underlying*EXP(-DividendYield*TimeToExpiration)*_xlfn.NORM.DIST(BS$2*(LN(Underlying/$H13)+(RiskFreeRate-DividendYield+0.5*BQ13^2)*TimeToExpiration)/(BQ13*TimeToExpiration^0.5), 0, 1, TRUE) - 
       $H13*EXP(-RiskFreeRate*TimeToExpiration)*_xlfn.NORM.DIST(BS$2*(LN(Underlying/$H13)+(RiskFreeRate-DividendYield-0.5*BQ13^2)*TimeToExpiration)/(BQ13*TimeToExpiration^0.5), 0, 1, TRUE)
)</f>
        <v>0.8578388374</v>
      </c>
      <c r="BT13" s="7">
        <f>BT$2*(Underlying*EXP(-DividendYield*TimeToExpiration)*_xlfn.NORM.DIST(BT$2*(LN(Underlying/$H13)+(RiskFreeRate-DividendYield+0.5*BR13^2)*TimeToExpiration)/(BR13*TimeToExpiration^0.5), 0, 1, TRUE) - 
       $H13*EXP(-RiskFreeRate*TimeToExpiration)*_xlfn.NORM.DIST(BT$2*(LN(Underlying/$H13)+(RiskFreeRate-DividendYield-0.5*BR13^2)*TimeToExpiration)/(BR13*TimeToExpiration^0.5), 0, 1, TRUE)
)</f>
        <v>0.8811533793</v>
      </c>
      <c r="BU13" s="40">
        <f t="shared" si="35"/>
        <v>0.4095551758</v>
      </c>
      <c r="BV13" s="8">
        <f>BV$2*(Underlying*EXP(-DividendYield*TimeToExpiration)*_xlfn.NORM.DIST(BV$2*(LN(Underlying/$H13)+(RiskFreeRate-DividendYield+0.5*BU13^2)*TimeToExpiration)/(BU13*TimeToExpiration^0.5), 0, 1, TRUE) - 
       $H13*EXP(-RiskFreeRate*TimeToExpiration)*_xlfn.NORM.DIST(BV$2*(LN(Underlying/$H13)+(RiskFreeRate-DividendYield-0.5*BU13^2)*TimeToExpiration)/(BU13*TimeToExpiration^0.5), 0, 1, TRUE)
)</f>
        <v>0.8694611442</v>
      </c>
      <c r="BW13" s="40">
        <f t="shared" si="36"/>
        <v>0.4080908203</v>
      </c>
      <c r="BX13" s="40">
        <f t="shared" si="37"/>
        <v>0.4095551758</v>
      </c>
      <c r="BY13" s="7">
        <f>BY$2*(Underlying*EXP(-DividendYield*TimeToExpiration)*_xlfn.NORM.DIST(BY$2*(LN(Underlying/$H13)+(RiskFreeRate-DividendYield+0.5*BW13^2)*TimeToExpiration)/(BW13*TimeToExpiration^0.5), 0, 1, TRUE) - 
       $H13*EXP(-RiskFreeRate*TimeToExpiration)*_xlfn.NORM.DIST(BY$2*(LN(Underlying/$H13)+(RiskFreeRate-DividendYield-0.5*BW13^2)*TimeToExpiration)/(BW13*TimeToExpiration^0.5), 0, 1, TRUE)
)</f>
        <v>0.8578388374</v>
      </c>
      <c r="BZ13" s="7">
        <f>BZ$2*(Underlying*EXP(-DividendYield*TimeToExpiration)*_xlfn.NORM.DIST(BZ$2*(LN(Underlying/$H13)+(RiskFreeRate-DividendYield+0.5*BX13^2)*TimeToExpiration)/(BX13*TimeToExpiration^0.5), 0, 1, TRUE) - 
       $H13*EXP(-RiskFreeRate*TimeToExpiration)*_xlfn.NORM.DIST(BZ$2*(LN(Underlying/$H13)+(RiskFreeRate-DividendYield-0.5*BX13^2)*TimeToExpiration)/(BX13*TimeToExpiration^0.5), 0, 1, TRUE)
)</f>
        <v>0.8694611442</v>
      </c>
      <c r="CA13" s="40">
        <f t="shared" si="38"/>
        <v>0.408822998</v>
      </c>
      <c r="CB13" s="8">
        <f>CB$2*(Underlying*EXP(-DividendYield*TimeToExpiration)*_xlfn.NORM.DIST(CB$2*(LN(Underlying/$H13)+(RiskFreeRate-DividendYield+0.5*CA13^2)*TimeToExpiration)/(CA13*TimeToExpiration^0.5), 0, 1, TRUE) - 
       $H13*EXP(-RiskFreeRate*TimeToExpiration)*_xlfn.NORM.DIST(CB$2*(LN(Underlying/$H13)+(RiskFreeRate-DividendYield-0.5*CA13^2)*TimeToExpiration)/(CA13*TimeToExpiration^0.5), 0, 1, TRUE)
)</f>
        <v>0.8636412291</v>
      </c>
      <c r="CC13" s="40">
        <f t="shared" si="39"/>
        <v>0.408822998</v>
      </c>
      <c r="CD13" s="40">
        <f t="shared" si="40"/>
        <v>0.4095551758</v>
      </c>
      <c r="CE13" s="7">
        <f>CE$2*(Underlying*EXP(-DividendYield*TimeToExpiration)*_xlfn.NORM.DIST(CE$2*(LN(Underlying/$H13)+(RiskFreeRate-DividendYield+0.5*CC13^2)*TimeToExpiration)/(CC13*TimeToExpiration^0.5), 0, 1, TRUE) - 
       $H13*EXP(-RiskFreeRate*TimeToExpiration)*_xlfn.NORM.DIST(CE$2*(LN(Underlying/$H13)+(RiskFreeRate-DividendYield-0.5*CC13^2)*TimeToExpiration)/(CC13*TimeToExpiration^0.5), 0, 1, TRUE)
)</f>
        <v>0.8636412291</v>
      </c>
      <c r="CF13" s="7">
        <f>CF$2*(Underlying*EXP(-DividendYield*TimeToExpiration)*_xlfn.NORM.DIST(CF$2*(LN(Underlying/$H13)+(RiskFreeRate-DividendYield+0.5*CD13^2)*TimeToExpiration)/(CD13*TimeToExpiration^0.5), 0, 1, TRUE) - 
       $H13*EXP(-RiskFreeRate*TimeToExpiration)*_xlfn.NORM.DIST(CF$2*(LN(Underlying/$H13)+(RiskFreeRate-DividendYield-0.5*CD13^2)*TimeToExpiration)/(CD13*TimeToExpiration^0.5), 0, 1, TRUE)
)</f>
        <v>0.8694611442</v>
      </c>
      <c r="CG13" s="40">
        <f t="shared" si="41"/>
        <v>0.4091890869</v>
      </c>
      <c r="CH13" s="8">
        <f>CH$2*(Underlying*EXP(-DividendYield*TimeToExpiration)*_xlfn.NORM.DIST(CH$2*(LN(Underlying/$H13)+(RiskFreeRate-DividendYield+0.5*CG13^2)*TimeToExpiration)/(CG13*TimeToExpiration^0.5), 0, 1, TRUE) - 
       $H13*EXP(-RiskFreeRate*TimeToExpiration)*_xlfn.NORM.DIST(CH$2*(LN(Underlying/$H13)+(RiskFreeRate-DividendYield-0.5*CG13^2)*TimeToExpiration)/(CG13*TimeToExpiration^0.5), 0, 1, TRUE)
)</f>
        <v>0.8665489988</v>
      </c>
      <c r="CI13" s="40">
        <f t="shared" si="42"/>
        <v>0.408822998</v>
      </c>
      <c r="CJ13" s="40">
        <f t="shared" si="43"/>
        <v>0.4091890869</v>
      </c>
      <c r="CK13" s="7">
        <f>CK$2*(Underlying*EXP(-DividendYield*TimeToExpiration)*_xlfn.NORM.DIST(CK$2*(LN(Underlying/$H13)+(RiskFreeRate-DividendYield+0.5*CI13^2)*TimeToExpiration)/(CI13*TimeToExpiration^0.5), 0, 1, TRUE) - 
       $H13*EXP(-RiskFreeRate*TimeToExpiration)*_xlfn.NORM.DIST(CK$2*(LN(Underlying/$H13)+(RiskFreeRate-DividendYield-0.5*CI13^2)*TimeToExpiration)/(CI13*TimeToExpiration^0.5), 0, 1, TRUE)
)</f>
        <v>0.8636412291</v>
      </c>
      <c r="CL13" s="7">
        <f>CL$2*(Underlying*EXP(-DividendYield*TimeToExpiration)*_xlfn.NORM.DIST(CL$2*(LN(Underlying/$H13)+(RiskFreeRate-DividendYield+0.5*CJ13^2)*TimeToExpiration)/(CJ13*TimeToExpiration^0.5), 0, 1, TRUE) - 
       $H13*EXP(-RiskFreeRate*TimeToExpiration)*_xlfn.NORM.DIST(CL$2*(LN(Underlying/$H13)+(RiskFreeRate-DividendYield-0.5*CJ13^2)*TimeToExpiration)/(CJ13*TimeToExpiration^0.5), 0, 1, TRUE)
)</f>
        <v>0.8665489988</v>
      </c>
      <c r="CM13" s="40">
        <f t="shared" si="44"/>
        <v>0.4090060425</v>
      </c>
      <c r="CN13" s="8">
        <f>CN$2*(Underlying*EXP(-DividendYield*TimeToExpiration)*_xlfn.NORM.DIST(CN$2*(LN(Underlying/$H13)+(RiskFreeRate-DividendYield+0.5*CM13^2)*TimeToExpiration)/(CM13*TimeToExpiration^0.5), 0, 1, TRUE) - 
       $H13*EXP(-RiskFreeRate*TimeToExpiration)*_xlfn.NORM.DIST(CN$2*(LN(Underlying/$H13)+(RiskFreeRate-DividendYield-0.5*CM13^2)*TimeToExpiration)/(CM13*TimeToExpiration^0.5), 0, 1, TRUE)
)</f>
        <v>0.8650945666</v>
      </c>
      <c r="CO13" s="40">
        <f t="shared" si="45"/>
        <v>0.408822998</v>
      </c>
      <c r="CP13" s="40">
        <f t="shared" si="46"/>
        <v>0.4090060425</v>
      </c>
      <c r="CQ13" s="7">
        <f>CQ$2*(Underlying*EXP(-DividendYield*TimeToExpiration)*_xlfn.NORM.DIST(CQ$2*(LN(Underlying/$H13)+(RiskFreeRate-DividendYield+0.5*CO13^2)*TimeToExpiration)/(CO13*TimeToExpiration^0.5), 0, 1, TRUE) - 
       $H13*EXP(-RiskFreeRate*TimeToExpiration)*_xlfn.NORM.DIST(CQ$2*(LN(Underlying/$H13)+(RiskFreeRate-DividendYield-0.5*CO13^2)*TimeToExpiration)/(CO13*TimeToExpiration^0.5), 0, 1, TRUE)
)</f>
        <v>0.8636412291</v>
      </c>
      <c r="CR13" s="7">
        <f>CR$2*(Underlying*EXP(-DividendYield*TimeToExpiration)*_xlfn.NORM.DIST(CR$2*(LN(Underlying/$H13)+(RiskFreeRate-DividendYield+0.5*CP13^2)*TimeToExpiration)/(CP13*TimeToExpiration^0.5), 0, 1, TRUE) - 
       $H13*EXP(-RiskFreeRate*TimeToExpiration)*_xlfn.NORM.DIST(CR$2*(LN(Underlying/$H13)+(RiskFreeRate-DividendYield-0.5*CP13^2)*TimeToExpiration)/(CP13*TimeToExpiration^0.5), 0, 1, TRUE)
)</f>
        <v>0.8650945666</v>
      </c>
      <c r="CS13" s="40">
        <f t="shared" si="47"/>
        <v>0.4089145203</v>
      </c>
      <c r="CT13" s="8">
        <f>CT$2*(Underlying*EXP(-DividendYield*TimeToExpiration)*_xlfn.NORM.DIST(CT$2*(LN(Underlying/$H13)+(RiskFreeRate-DividendYield+0.5*CS13^2)*TimeToExpiration)/(CS13*TimeToExpiration^0.5), 0, 1, TRUE) - 
       $H13*EXP(-RiskFreeRate*TimeToExpiration)*_xlfn.NORM.DIST(CT$2*(LN(Underlying/$H13)+(RiskFreeRate-DividendYield-0.5*CS13^2)*TimeToExpiration)/(CS13*TimeToExpiration^0.5), 0, 1, TRUE)
)</f>
        <v>0.864367761</v>
      </c>
      <c r="CU13" s="40">
        <f t="shared" si="48"/>
        <v>0.4089145203</v>
      </c>
      <c r="CV13" s="40">
        <f t="shared" si="49"/>
        <v>0.4090060425</v>
      </c>
      <c r="CW13" s="7">
        <f>CW$2*(Underlying*EXP(-DividendYield*TimeToExpiration)*_xlfn.NORM.DIST(CW$2*(LN(Underlying/$H13)+(RiskFreeRate-DividendYield+0.5*CU13^2)*TimeToExpiration)/(CU13*TimeToExpiration^0.5), 0, 1, TRUE) - 
       $H13*EXP(-RiskFreeRate*TimeToExpiration)*_xlfn.NORM.DIST(CW$2*(LN(Underlying/$H13)+(RiskFreeRate-DividendYield-0.5*CU13^2)*TimeToExpiration)/(CU13*TimeToExpiration^0.5), 0, 1, TRUE)
)</f>
        <v>0.864367761</v>
      </c>
      <c r="CX13" s="7">
        <f>CX$2*(Underlying*EXP(-DividendYield*TimeToExpiration)*_xlfn.NORM.DIST(CX$2*(LN(Underlying/$H13)+(RiskFreeRate-DividendYield+0.5*CV13^2)*TimeToExpiration)/(CV13*TimeToExpiration^0.5), 0, 1, TRUE) - 
       $H13*EXP(-RiskFreeRate*TimeToExpiration)*_xlfn.NORM.DIST(CX$2*(LN(Underlying/$H13)+(RiskFreeRate-DividendYield-0.5*CV13^2)*TimeToExpiration)/(CV13*TimeToExpiration^0.5), 0, 1, TRUE)
)</f>
        <v>0.8650945666</v>
      </c>
      <c r="CY13" s="40">
        <f t="shared" si="50"/>
        <v>0.4089602814</v>
      </c>
      <c r="CZ13" s="8">
        <f>CZ$2*(Underlying*EXP(-DividendYield*TimeToExpiration)*_xlfn.NORM.DIST(CZ$2*(LN(Underlying/$H13)+(RiskFreeRate-DividendYield+0.5*CY13^2)*TimeToExpiration)/(CY13*TimeToExpiration^0.5), 0, 1, TRUE) - 
       $H13*EXP(-RiskFreeRate*TimeToExpiration)*_xlfn.NORM.DIST(CZ$2*(LN(Underlying/$H13)+(RiskFreeRate-DividendYield-0.5*CY13^2)*TimeToExpiration)/(CY13*TimeToExpiration^0.5), 0, 1, TRUE)
)</f>
        <v>0.8647311296</v>
      </c>
      <c r="DA13" s="40">
        <f t="shared" si="51"/>
        <v>0.4089602814</v>
      </c>
      <c r="DB13" s="40">
        <f t="shared" si="52"/>
        <v>0.4090060425</v>
      </c>
      <c r="DC13" s="7">
        <f>DC$2*(Underlying*EXP(-DividendYield*TimeToExpiration)*_xlfn.NORM.DIST(DC$2*(LN(Underlying/$H13)+(RiskFreeRate-DividendYield+0.5*DA13^2)*TimeToExpiration)/(DA13*TimeToExpiration^0.5), 0, 1, TRUE) - 
       $H13*EXP(-RiskFreeRate*TimeToExpiration)*_xlfn.NORM.DIST(DC$2*(LN(Underlying/$H13)+(RiskFreeRate-DividendYield-0.5*DA13^2)*TimeToExpiration)/(DA13*TimeToExpiration^0.5), 0, 1, TRUE)
)</f>
        <v>0.8647311296</v>
      </c>
      <c r="DD13" s="7">
        <f>DD$2*(Underlying*EXP(-DividendYield*TimeToExpiration)*_xlfn.NORM.DIST(DD$2*(LN(Underlying/$H13)+(RiskFreeRate-DividendYield+0.5*DB13^2)*TimeToExpiration)/(DB13*TimeToExpiration^0.5), 0, 1, TRUE) - 
       $H13*EXP(-RiskFreeRate*TimeToExpiration)*_xlfn.NORM.DIST(DD$2*(LN(Underlying/$H13)+(RiskFreeRate-DividendYield-0.5*DB13^2)*TimeToExpiration)/(DB13*TimeToExpiration^0.5), 0, 1, TRUE)
)</f>
        <v>0.8650945666</v>
      </c>
      <c r="DE13" s="40">
        <f t="shared" si="53"/>
        <v>0.4089831619</v>
      </c>
      <c r="DF13" s="8">
        <f>DF$2*(Underlying*EXP(-DividendYield*TimeToExpiration)*_xlfn.NORM.DIST(DF$2*(LN(Underlying/$H13)+(RiskFreeRate-DividendYield+0.5*DE13^2)*TimeToExpiration)/(DE13*TimeToExpiration^0.5), 0, 1, TRUE) - 
       $H13*EXP(-RiskFreeRate*TimeToExpiration)*_xlfn.NORM.DIST(DF$2*(LN(Underlying/$H13)+(RiskFreeRate-DividendYield-0.5*DE13^2)*TimeToExpiration)/(DE13*TimeToExpiration^0.5), 0, 1, TRUE)
)</f>
        <v>0.8649128396</v>
      </c>
    </row>
    <row r="14">
      <c r="A14" s="20">
        <f>'Option Mkt Data'!A14</f>
        <v>317.5</v>
      </c>
      <c r="B14" s="35">
        <f t="shared" ref="B14:C14" si="61">DE14</f>
        <v>0.4000597458</v>
      </c>
      <c r="C14" s="7">
        <f t="shared" si="61"/>
        <v>1.069846641</v>
      </c>
      <c r="D14" s="7">
        <f t="shared" si="3"/>
        <v>0.0001535308308</v>
      </c>
      <c r="E14" s="9">
        <f t="shared" si="4"/>
        <v>0.0001434867347</v>
      </c>
      <c r="F14" s="36">
        <f>D14/'Option Mkt Data'!M14</f>
        <v>0.007676731925</v>
      </c>
      <c r="G14" s="5">
        <f>'Option Mkt Data'!K14</f>
        <v>1.070000172</v>
      </c>
      <c r="H14" s="33">
        <f>'Option Mkt Data'!A14</f>
        <v>317.5</v>
      </c>
      <c r="I14" s="37">
        <f>MinSolverVola</f>
        <v>0.001</v>
      </c>
      <c r="J14" s="38">
        <f>MaxSolverVola</f>
        <v>3</v>
      </c>
      <c r="K14" s="39">
        <f>K$2*(Underlying*EXP(-DividendYield*TimeToExpiration)*_xlfn.NORM.DIST(K$2*(LN(Underlying/$H14)+(RiskFreeRate-DividendYield+0.5*I14^2)*TimeToExpiration)/(I14*TimeToExpiration^0.5), 0, 1, TRUE) - 
       $H14*EXP(-RiskFreeRate*TimeToExpiration)*_xlfn.NORM.DIST(K$2*(LN(Underlying/$H14)+(RiskFreeRate-DividendYield-0.5*I14^2)*TimeToExpiration)/(I14*TimeToExpiration^0.5), 0, 1, TRUE)
)</f>
        <v>0</v>
      </c>
      <c r="L14" s="7">
        <f>L$2*(Underlying*EXP(-DividendYield*TimeToExpiration)*_xlfn.NORM.DIST(L$2*(LN(Underlying/$H14)+(RiskFreeRate-DividendYield+0.5*J14^2)*TimeToExpiration)/(J14*TimeToExpiration^0.5), 0, 1, TRUE) - 
       $H14*EXP(-RiskFreeRate*TimeToExpiration)*_xlfn.NORM.DIST(L$2*(LN(Underlying/$H14)+(RiskFreeRate-DividendYield-0.5*J14^2)*TimeToExpiration)/(J14*TimeToExpiration^0.5), 0, 1, TRUE)
)</f>
        <v>44.80469482</v>
      </c>
      <c r="M14" s="40">
        <f t="shared" si="5"/>
        <v>1.5005</v>
      </c>
      <c r="N14" s="8">
        <f>N$2*(Underlying*EXP(-DividendYield*TimeToExpiration)*_xlfn.NORM.DIST(N$2*(LN(Underlying/$H14)+(RiskFreeRate-DividendYield+0.5*M14^2)*TimeToExpiration)/(M14*TimeToExpiration^0.5), 0, 1, TRUE) - 
       $H14*EXP(-RiskFreeRate*TimeToExpiration)*_xlfn.NORM.DIST(N$2*(LN(Underlying/$H14)+(RiskFreeRate-DividendYield-0.5*M14^2)*TimeToExpiration)/(M14*TimeToExpiration^0.5), 0, 1, TRUE)
)</f>
        <v>18.09131348</v>
      </c>
      <c r="O14" s="41">
        <f t="shared" si="6"/>
        <v>0.001</v>
      </c>
      <c r="P14" s="40">
        <f t="shared" si="7"/>
        <v>1.5005</v>
      </c>
      <c r="Q14" s="7">
        <f>Q$2*(Underlying*EXP(-DividendYield*TimeToExpiration)*_xlfn.NORM.DIST(Q$2*(LN(Underlying/$H14)+(RiskFreeRate-DividendYield+0.5*O14^2)*TimeToExpiration)/(O14*TimeToExpiration^0.5), 0, 1, TRUE) - 
       $H14*EXP(-RiskFreeRate*TimeToExpiration)*_xlfn.NORM.DIST(Q$2*(LN(Underlying/$H14)+(RiskFreeRate-DividendYield-0.5*O14^2)*TimeToExpiration)/(O14*TimeToExpiration^0.5), 0, 1, TRUE)
)</f>
        <v>0</v>
      </c>
      <c r="R14" s="7">
        <f>R$2*(Underlying*EXP(-DividendYield*TimeToExpiration)*_xlfn.NORM.DIST(R$2*(LN(Underlying/$H14)+(RiskFreeRate-DividendYield+0.5*P14^2)*TimeToExpiration)/(P14*TimeToExpiration^0.5), 0, 1, TRUE) - 
       $H14*EXP(-RiskFreeRate*TimeToExpiration)*_xlfn.NORM.DIST(R$2*(LN(Underlying/$H14)+(RiskFreeRate-DividendYield-0.5*P14^2)*TimeToExpiration)/(P14*TimeToExpiration^0.5), 0, 1, TRUE)
)</f>
        <v>18.09131348</v>
      </c>
      <c r="S14" s="40">
        <f t="shared" si="8"/>
        <v>0.75075</v>
      </c>
      <c r="T14" s="8">
        <f>T$2*(Underlying*EXP(-DividendYield*TimeToExpiration)*_xlfn.NORM.DIST(T$2*(LN(Underlying/$H14)+(RiskFreeRate-DividendYield+0.5*S14^2)*TimeToExpiration)/(S14*TimeToExpiration^0.5), 0, 1, TRUE) - 
       $H14*EXP(-RiskFreeRate*TimeToExpiration)*_xlfn.NORM.DIST(T$2*(LN(Underlying/$H14)+(RiskFreeRate-DividendYield-0.5*S14^2)*TimeToExpiration)/(S14*TimeToExpiration^0.5), 0, 1, TRUE)
)</f>
        <v>5.567565907</v>
      </c>
      <c r="U14" s="41">
        <f t="shared" si="9"/>
        <v>0.001</v>
      </c>
      <c r="V14" s="40">
        <f t="shared" si="10"/>
        <v>0.75075</v>
      </c>
      <c r="W14" s="7">
        <f>W$2*(Underlying*EXP(-DividendYield*TimeToExpiration)*_xlfn.NORM.DIST(W$2*(LN(Underlying/$H14)+(RiskFreeRate-DividendYield+0.5*U14^2)*TimeToExpiration)/(U14*TimeToExpiration^0.5), 0, 1, TRUE) - 
       $H14*EXP(-RiskFreeRate*TimeToExpiration)*_xlfn.NORM.DIST(W$2*(LN(Underlying/$H14)+(RiskFreeRate-DividendYield-0.5*U14^2)*TimeToExpiration)/(U14*TimeToExpiration^0.5), 0, 1, TRUE)
)</f>
        <v>0</v>
      </c>
      <c r="X14" s="7">
        <f>X$2*(Underlying*EXP(-DividendYield*TimeToExpiration)*_xlfn.NORM.DIST(X$2*(LN(Underlying/$H14)+(RiskFreeRate-DividendYield+0.5*V14^2)*TimeToExpiration)/(V14*TimeToExpiration^0.5), 0, 1, TRUE) - 
       $H14*EXP(-RiskFreeRate*TimeToExpiration)*_xlfn.NORM.DIST(X$2*(LN(Underlying/$H14)+(RiskFreeRate-DividendYield-0.5*V14^2)*TimeToExpiration)/(V14*TimeToExpiration^0.5), 0, 1, TRUE)
)</f>
        <v>5.567565907</v>
      </c>
      <c r="Y14" s="40">
        <f t="shared" si="11"/>
        <v>0.375875</v>
      </c>
      <c r="Z14" s="8">
        <f>Z$2*(Underlying*EXP(-DividendYield*TimeToExpiration)*_xlfn.NORM.DIST(Z$2*(LN(Underlying/$H14)+(RiskFreeRate-DividendYield+0.5*Y14^2)*TimeToExpiration)/(Y14*TimeToExpiration^0.5), 0, 1, TRUE) - 
       $H14*EXP(-RiskFreeRate*TimeToExpiration)*_xlfn.NORM.DIST(Z$2*(LN(Underlying/$H14)+(RiskFreeRate-DividendYield-0.5*Y14^2)*TimeToExpiration)/(Y14*TimeToExpiration^0.5), 0, 1, TRUE)
)</f>
        <v>0.8582763279</v>
      </c>
      <c r="AA14" s="40">
        <f t="shared" si="12"/>
        <v>0.375875</v>
      </c>
      <c r="AB14" s="40">
        <f t="shared" si="13"/>
        <v>0.75075</v>
      </c>
      <c r="AC14" s="7">
        <f>AC$2*(Underlying*EXP(-DividendYield*TimeToExpiration)*_xlfn.NORM.DIST(AC$2*(LN(Underlying/$H14)+(RiskFreeRate-DividendYield+0.5*AA14^2)*TimeToExpiration)/(AA14*TimeToExpiration^0.5), 0, 1, TRUE) - 
       $H14*EXP(-RiskFreeRate*TimeToExpiration)*_xlfn.NORM.DIST(AC$2*(LN(Underlying/$H14)+(RiskFreeRate-DividendYield-0.5*AA14^2)*TimeToExpiration)/(AA14*TimeToExpiration^0.5), 0, 1, TRUE)
)</f>
        <v>0.8582763279</v>
      </c>
      <c r="AD14" s="7">
        <f>AD$2*(Underlying*EXP(-DividendYield*TimeToExpiration)*_xlfn.NORM.DIST(AD$2*(LN(Underlying/$H14)+(RiskFreeRate-DividendYield+0.5*AB14^2)*TimeToExpiration)/(AB14*TimeToExpiration^0.5), 0, 1, TRUE) - 
       $H14*EXP(-RiskFreeRate*TimeToExpiration)*_xlfn.NORM.DIST(AD$2*(LN(Underlying/$H14)+(RiskFreeRate-DividendYield-0.5*AB14^2)*TimeToExpiration)/(AB14*TimeToExpiration^0.5), 0, 1, TRUE)
)</f>
        <v>5.567565907</v>
      </c>
      <c r="AE14" s="40">
        <f t="shared" si="14"/>
        <v>0.5633125</v>
      </c>
      <c r="AF14" s="8">
        <f>AF$2*(Underlying*EXP(-DividendYield*TimeToExpiration)*_xlfn.NORM.DIST(AF$2*(LN(Underlying/$H14)+(RiskFreeRate-DividendYield+0.5*AE14^2)*TimeToExpiration)/(AE14*TimeToExpiration^0.5), 0, 1, TRUE) - 
       $H14*EXP(-RiskFreeRate*TimeToExpiration)*_xlfn.NORM.DIST(AF$2*(LN(Underlying/$H14)+(RiskFreeRate-DividendYield-0.5*AE14^2)*TimeToExpiration)/(AE14*TimeToExpiration^0.5), 0, 1, TRUE)
)</f>
        <v>2.910264774</v>
      </c>
      <c r="AG14" s="40">
        <f t="shared" si="15"/>
        <v>0.375875</v>
      </c>
      <c r="AH14" s="40">
        <f t="shared" si="16"/>
        <v>0.5633125</v>
      </c>
      <c r="AI14" s="7">
        <f>AI$2*(Underlying*EXP(-DividendYield*TimeToExpiration)*_xlfn.NORM.DIST(AI$2*(LN(Underlying/$H14)+(RiskFreeRate-DividendYield+0.5*AG14^2)*TimeToExpiration)/(AG14*TimeToExpiration^0.5), 0, 1, TRUE) - 
       $H14*EXP(-RiskFreeRate*TimeToExpiration)*_xlfn.NORM.DIST(AI$2*(LN(Underlying/$H14)+(RiskFreeRate-DividendYield-0.5*AG14^2)*TimeToExpiration)/(AG14*TimeToExpiration^0.5), 0, 1, TRUE)
)</f>
        <v>0.8582763279</v>
      </c>
      <c r="AJ14" s="7">
        <f>AJ$2*(Underlying*EXP(-DividendYield*TimeToExpiration)*_xlfn.NORM.DIST(AJ$2*(LN(Underlying/$H14)+(RiskFreeRate-DividendYield+0.5*AH14^2)*TimeToExpiration)/(AH14*TimeToExpiration^0.5), 0, 1, TRUE) - 
       $H14*EXP(-RiskFreeRate*TimeToExpiration)*_xlfn.NORM.DIST(AJ$2*(LN(Underlying/$H14)+(RiskFreeRate-DividendYield-0.5*AH14^2)*TimeToExpiration)/(AH14*TimeToExpiration^0.5), 0, 1, TRUE)
)</f>
        <v>2.910264774</v>
      </c>
      <c r="AK14" s="40">
        <f t="shared" si="17"/>
        <v>0.46959375</v>
      </c>
      <c r="AL14" s="8">
        <f>AL$2*(Underlying*EXP(-DividendYield*TimeToExpiration)*_xlfn.NORM.DIST(AL$2*(LN(Underlying/$H14)+(RiskFreeRate-DividendYield+0.5*AK14^2)*TimeToExpiration)/(AK14*TimeToExpiration^0.5), 0, 1, TRUE) - 
       $H14*EXP(-RiskFreeRate*TimeToExpiration)*_xlfn.NORM.DIST(AL$2*(LN(Underlying/$H14)+(RiskFreeRate-DividendYield-0.5*AK14^2)*TimeToExpiration)/(AK14*TimeToExpiration^0.5), 0, 1, TRUE)
)</f>
        <v>1.777017133</v>
      </c>
      <c r="AM14" s="40">
        <f t="shared" si="18"/>
        <v>0.375875</v>
      </c>
      <c r="AN14" s="40">
        <f t="shared" si="19"/>
        <v>0.46959375</v>
      </c>
      <c r="AO14" s="7">
        <f>AO$2*(Underlying*EXP(-DividendYield*TimeToExpiration)*_xlfn.NORM.DIST(AO$2*(LN(Underlying/$H14)+(RiskFreeRate-DividendYield+0.5*AM14^2)*TimeToExpiration)/(AM14*TimeToExpiration^0.5), 0, 1, TRUE) - 
       $H14*EXP(-RiskFreeRate*TimeToExpiration)*_xlfn.NORM.DIST(AO$2*(LN(Underlying/$H14)+(RiskFreeRate-DividendYield-0.5*AM14^2)*TimeToExpiration)/(AM14*TimeToExpiration^0.5), 0, 1, TRUE)
)</f>
        <v>0.8582763279</v>
      </c>
      <c r="AP14" s="7">
        <f>AP$2*(Underlying*EXP(-DividendYield*TimeToExpiration)*_xlfn.NORM.DIST(AP$2*(LN(Underlying/$H14)+(RiskFreeRate-DividendYield+0.5*AN14^2)*TimeToExpiration)/(AN14*TimeToExpiration^0.5), 0, 1, TRUE) - 
       $H14*EXP(-RiskFreeRate*TimeToExpiration)*_xlfn.NORM.DIST(AP$2*(LN(Underlying/$H14)+(RiskFreeRate-DividendYield-0.5*AN14^2)*TimeToExpiration)/(AN14*TimeToExpiration^0.5), 0, 1, TRUE)
)</f>
        <v>1.777017133</v>
      </c>
      <c r="AQ14" s="40">
        <f t="shared" si="20"/>
        <v>0.422734375</v>
      </c>
      <c r="AR14" s="8">
        <f>AR$2*(Underlying*EXP(-DividendYield*TimeToExpiration)*_xlfn.NORM.DIST(AR$2*(LN(Underlying/$H14)+(RiskFreeRate-DividendYield+0.5*AQ14^2)*TimeToExpiration)/(AQ14*TimeToExpiration^0.5), 0, 1, TRUE) - 
       $H14*EXP(-RiskFreeRate*TimeToExpiration)*_xlfn.NORM.DIST(AR$2*(LN(Underlying/$H14)+(RiskFreeRate-DividendYield-0.5*AQ14^2)*TimeToExpiration)/(AQ14*TimeToExpiration^0.5), 0, 1, TRUE)
)</f>
        <v>1.285345937</v>
      </c>
      <c r="AS14" s="40">
        <f t="shared" si="21"/>
        <v>0.375875</v>
      </c>
      <c r="AT14" s="40">
        <f t="shared" si="22"/>
        <v>0.422734375</v>
      </c>
      <c r="AU14" s="7">
        <f>AU$2*(Underlying*EXP(-DividendYield*TimeToExpiration)*_xlfn.NORM.DIST(AU$2*(LN(Underlying/$H14)+(RiskFreeRate-DividendYield+0.5*AS14^2)*TimeToExpiration)/(AS14*TimeToExpiration^0.5), 0, 1, TRUE) - 
       $H14*EXP(-RiskFreeRate*TimeToExpiration)*_xlfn.NORM.DIST(AU$2*(LN(Underlying/$H14)+(RiskFreeRate-DividendYield-0.5*AS14^2)*TimeToExpiration)/(AS14*TimeToExpiration^0.5), 0, 1, TRUE)
)</f>
        <v>0.8582763279</v>
      </c>
      <c r="AV14" s="7">
        <f>AV$2*(Underlying*EXP(-DividendYield*TimeToExpiration)*_xlfn.NORM.DIST(AV$2*(LN(Underlying/$H14)+(RiskFreeRate-DividendYield+0.5*AT14^2)*TimeToExpiration)/(AT14*TimeToExpiration^0.5), 0, 1, TRUE) - 
       $H14*EXP(-RiskFreeRate*TimeToExpiration)*_xlfn.NORM.DIST(AV$2*(LN(Underlying/$H14)+(RiskFreeRate-DividendYield-0.5*AT14^2)*TimeToExpiration)/(AT14*TimeToExpiration^0.5), 0, 1, TRUE)
)</f>
        <v>1.285345937</v>
      </c>
      <c r="AW14" s="40">
        <f t="shared" si="23"/>
        <v>0.3993046875</v>
      </c>
      <c r="AX14" s="8">
        <f>AX$2*(Underlying*EXP(-DividendYield*TimeToExpiration)*_xlfn.NORM.DIST(AX$2*(LN(Underlying/$H14)+(RiskFreeRate-DividendYield+0.5*AW14^2)*TimeToExpiration)/(AW14*TimeToExpiration^0.5), 0, 1, TRUE) - 
       $H14*EXP(-RiskFreeRate*TimeToExpiration)*_xlfn.NORM.DIST(AX$2*(LN(Underlying/$H14)+(RiskFreeRate-DividendYield-0.5*AW14^2)*TimeToExpiration)/(AW14*TimeToExpiration^0.5), 0, 1, TRUE)
)</f>
        <v>1.062947089</v>
      </c>
      <c r="AY14" s="40">
        <f t="shared" si="24"/>
        <v>0.3993046875</v>
      </c>
      <c r="AZ14" s="40">
        <f t="shared" si="25"/>
        <v>0.422734375</v>
      </c>
      <c r="BA14" s="7">
        <f>BA$2*(Underlying*EXP(-DividendYield*TimeToExpiration)*_xlfn.NORM.DIST(BA$2*(LN(Underlying/$H14)+(RiskFreeRate-DividendYield+0.5*AY14^2)*TimeToExpiration)/(AY14*TimeToExpiration^0.5), 0, 1, TRUE) - 
       $H14*EXP(-RiskFreeRate*TimeToExpiration)*_xlfn.NORM.DIST(BA$2*(LN(Underlying/$H14)+(RiskFreeRate-DividendYield-0.5*AY14^2)*TimeToExpiration)/(AY14*TimeToExpiration^0.5), 0, 1, TRUE)
)</f>
        <v>1.062947089</v>
      </c>
      <c r="BB14" s="7">
        <f>BB$2*(Underlying*EXP(-DividendYield*TimeToExpiration)*_xlfn.NORM.DIST(BB$2*(LN(Underlying/$H14)+(RiskFreeRate-DividendYield+0.5*AZ14^2)*TimeToExpiration)/(AZ14*TimeToExpiration^0.5), 0, 1, TRUE) - 
       $H14*EXP(-RiskFreeRate*TimeToExpiration)*_xlfn.NORM.DIST(BB$2*(LN(Underlying/$H14)+(RiskFreeRate-DividendYield-0.5*AZ14^2)*TimeToExpiration)/(AZ14*TimeToExpiration^0.5), 0, 1, TRUE)
)</f>
        <v>1.285345937</v>
      </c>
      <c r="BC14" s="40">
        <f t="shared" si="26"/>
        <v>0.4110195313</v>
      </c>
      <c r="BD14" s="8">
        <f>BD$2*(Underlying*EXP(-DividendYield*TimeToExpiration)*_xlfn.NORM.DIST(BD$2*(LN(Underlying/$H14)+(RiskFreeRate-DividendYield+0.5*BC14^2)*TimeToExpiration)/(BC14*TimeToExpiration^0.5), 0, 1, TRUE) - 
       $H14*EXP(-RiskFreeRate*TimeToExpiration)*_xlfn.NORM.DIST(BD$2*(LN(Underlying/$H14)+(RiskFreeRate-DividendYield-0.5*BC14^2)*TimeToExpiration)/(BC14*TimeToExpiration^0.5), 0, 1, TRUE)
)</f>
        <v>1.172033034</v>
      </c>
      <c r="BE14" s="40">
        <f t="shared" si="27"/>
        <v>0.3993046875</v>
      </c>
      <c r="BF14" s="40">
        <f t="shared" si="28"/>
        <v>0.4110195313</v>
      </c>
      <c r="BG14" s="7">
        <f>BG$2*(Underlying*EXP(-DividendYield*TimeToExpiration)*_xlfn.NORM.DIST(BG$2*(LN(Underlying/$H14)+(RiskFreeRate-DividendYield+0.5*BE14^2)*TimeToExpiration)/(BE14*TimeToExpiration^0.5), 0, 1, TRUE) - 
       $H14*EXP(-RiskFreeRate*TimeToExpiration)*_xlfn.NORM.DIST(BG$2*(LN(Underlying/$H14)+(RiskFreeRate-DividendYield-0.5*BE14^2)*TimeToExpiration)/(BE14*TimeToExpiration^0.5), 0, 1, TRUE)
)</f>
        <v>1.062947089</v>
      </c>
      <c r="BH14" s="7">
        <f>BH$2*(Underlying*EXP(-DividendYield*TimeToExpiration)*_xlfn.NORM.DIST(BH$2*(LN(Underlying/$H14)+(RiskFreeRate-DividendYield+0.5*BF14^2)*TimeToExpiration)/(BF14*TimeToExpiration^0.5), 0, 1, TRUE) - 
       $H14*EXP(-RiskFreeRate*TimeToExpiration)*_xlfn.NORM.DIST(BH$2*(LN(Underlying/$H14)+(RiskFreeRate-DividendYield-0.5*BF14^2)*TimeToExpiration)/(BF14*TimeToExpiration^0.5), 0, 1, TRUE)
)</f>
        <v>1.172033034</v>
      </c>
      <c r="BI14" s="40">
        <f t="shared" si="29"/>
        <v>0.4051621094</v>
      </c>
      <c r="BJ14" s="8">
        <f>BJ$2*(Underlying*EXP(-DividendYield*TimeToExpiration)*_xlfn.NORM.DIST(BJ$2*(LN(Underlying/$H14)+(RiskFreeRate-DividendYield+0.5*BI14^2)*TimeToExpiration)/(BI14*TimeToExpiration^0.5), 0, 1, TRUE) - 
       $H14*EXP(-RiskFreeRate*TimeToExpiration)*_xlfn.NORM.DIST(BJ$2*(LN(Underlying/$H14)+(RiskFreeRate-DividendYield-0.5*BI14^2)*TimeToExpiration)/(BI14*TimeToExpiration^0.5), 0, 1, TRUE)
)</f>
        <v>1.116949079</v>
      </c>
      <c r="BK14" s="40">
        <f t="shared" si="30"/>
        <v>0.3993046875</v>
      </c>
      <c r="BL14" s="40">
        <f t="shared" si="31"/>
        <v>0.4051621094</v>
      </c>
      <c r="BM14" s="7">
        <f>BM$2*(Underlying*EXP(-DividendYield*TimeToExpiration)*_xlfn.NORM.DIST(BM$2*(LN(Underlying/$H14)+(RiskFreeRate-DividendYield+0.5*BK14^2)*TimeToExpiration)/(BK14*TimeToExpiration^0.5), 0, 1, TRUE) - 
       $H14*EXP(-RiskFreeRate*TimeToExpiration)*_xlfn.NORM.DIST(BM$2*(LN(Underlying/$H14)+(RiskFreeRate-DividendYield-0.5*BK14^2)*TimeToExpiration)/(BK14*TimeToExpiration^0.5), 0, 1, TRUE)
)</f>
        <v>1.062947089</v>
      </c>
      <c r="BN14" s="7">
        <f>BN$2*(Underlying*EXP(-DividendYield*TimeToExpiration)*_xlfn.NORM.DIST(BN$2*(LN(Underlying/$H14)+(RiskFreeRate-DividendYield+0.5*BL14^2)*TimeToExpiration)/(BL14*TimeToExpiration^0.5), 0, 1, TRUE) - 
       $H14*EXP(-RiskFreeRate*TimeToExpiration)*_xlfn.NORM.DIST(BN$2*(LN(Underlying/$H14)+(RiskFreeRate-DividendYield-0.5*BL14^2)*TimeToExpiration)/(BL14*TimeToExpiration^0.5), 0, 1, TRUE)
)</f>
        <v>1.116949079</v>
      </c>
      <c r="BO14" s="40">
        <f t="shared" si="32"/>
        <v>0.4022333984</v>
      </c>
      <c r="BP14" s="8">
        <f>BP$2*(Underlying*EXP(-DividendYield*TimeToExpiration)*_xlfn.NORM.DIST(BP$2*(LN(Underlying/$H14)+(RiskFreeRate-DividendYield+0.5*BO14^2)*TimeToExpiration)/(BO14*TimeToExpiration^0.5), 0, 1, TRUE) - 
       $H14*EXP(-RiskFreeRate*TimeToExpiration)*_xlfn.NORM.DIST(BP$2*(LN(Underlying/$H14)+(RiskFreeRate-DividendYield-0.5*BO14^2)*TimeToExpiration)/(BO14*TimeToExpiration^0.5), 0, 1, TRUE)
)</f>
        <v>1.089811242</v>
      </c>
      <c r="BQ14" s="40">
        <f t="shared" si="33"/>
        <v>0.3993046875</v>
      </c>
      <c r="BR14" s="40">
        <f t="shared" si="34"/>
        <v>0.4022333984</v>
      </c>
      <c r="BS14" s="7">
        <f>BS$2*(Underlying*EXP(-DividendYield*TimeToExpiration)*_xlfn.NORM.DIST(BS$2*(LN(Underlying/$H14)+(RiskFreeRate-DividendYield+0.5*BQ14^2)*TimeToExpiration)/(BQ14*TimeToExpiration^0.5), 0, 1, TRUE) - 
       $H14*EXP(-RiskFreeRate*TimeToExpiration)*_xlfn.NORM.DIST(BS$2*(LN(Underlying/$H14)+(RiskFreeRate-DividendYield-0.5*BQ14^2)*TimeToExpiration)/(BQ14*TimeToExpiration^0.5), 0, 1, TRUE)
)</f>
        <v>1.062947089</v>
      </c>
      <c r="BT14" s="7">
        <f>BT$2*(Underlying*EXP(-DividendYield*TimeToExpiration)*_xlfn.NORM.DIST(BT$2*(LN(Underlying/$H14)+(RiskFreeRate-DividendYield+0.5*BR14^2)*TimeToExpiration)/(BR14*TimeToExpiration^0.5), 0, 1, TRUE) - 
       $H14*EXP(-RiskFreeRate*TimeToExpiration)*_xlfn.NORM.DIST(BT$2*(LN(Underlying/$H14)+(RiskFreeRate-DividendYield-0.5*BR14^2)*TimeToExpiration)/(BR14*TimeToExpiration^0.5), 0, 1, TRUE)
)</f>
        <v>1.089811242</v>
      </c>
      <c r="BU14" s="40">
        <f t="shared" si="35"/>
        <v>0.400769043</v>
      </c>
      <c r="BV14" s="8">
        <f>BV$2*(Underlying*EXP(-DividendYield*TimeToExpiration)*_xlfn.NORM.DIST(BV$2*(LN(Underlying/$H14)+(RiskFreeRate-DividendYield+0.5*BU14^2)*TimeToExpiration)/(BU14*TimeToExpiration^0.5), 0, 1, TRUE) - 
       $H14*EXP(-RiskFreeRate*TimeToExpiration)*_xlfn.NORM.DIST(BV$2*(LN(Underlying/$H14)+(RiskFreeRate-DividendYield-0.5*BU14^2)*TimeToExpiration)/(BU14*TimeToExpiration^0.5), 0, 1, TRUE)
)</f>
        <v>1.076344755</v>
      </c>
      <c r="BW14" s="40">
        <f t="shared" si="36"/>
        <v>0.3993046875</v>
      </c>
      <c r="BX14" s="40">
        <f t="shared" si="37"/>
        <v>0.400769043</v>
      </c>
      <c r="BY14" s="7">
        <f>BY$2*(Underlying*EXP(-DividendYield*TimeToExpiration)*_xlfn.NORM.DIST(BY$2*(LN(Underlying/$H14)+(RiskFreeRate-DividendYield+0.5*BW14^2)*TimeToExpiration)/(BW14*TimeToExpiration^0.5), 0, 1, TRUE) - 
       $H14*EXP(-RiskFreeRate*TimeToExpiration)*_xlfn.NORM.DIST(BY$2*(LN(Underlying/$H14)+(RiskFreeRate-DividendYield-0.5*BW14^2)*TimeToExpiration)/(BW14*TimeToExpiration^0.5), 0, 1, TRUE)
)</f>
        <v>1.062947089</v>
      </c>
      <c r="BZ14" s="7">
        <f>BZ$2*(Underlying*EXP(-DividendYield*TimeToExpiration)*_xlfn.NORM.DIST(BZ$2*(LN(Underlying/$H14)+(RiskFreeRate-DividendYield+0.5*BX14^2)*TimeToExpiration)/(BX14*TimeToExpiration^0.5), 0, 1, TRUE) - 
       $H14*EXP(-RiskFreeRate*TimeToExpiration)*_xlfn.NORM.DIST(BZ$2*(LN(Underlying/$H14)+(RiskFreeRate-DividendYield-0.5*BX14^2)*TimeToExpiration)/(BX14*TimeToExpiration^0.5), 0, 1, TRUE)
)</f>
        <v>1.076344755</v>
      </c>
      <c r="CA14" s="40">
        <f t="shared" si="38"/>
        <v>0.4000368652</v>
      </c>
      <c r="CB14" s="8">
        <f>CB$2*(Underlying*EXP(-DividendYield*TimeToExpiration)*_xlfn.NORM.DIST(CB$2*(LN(Underlying/$H14)+(RiskFreeRate-DividendYield+0.5*CA14^2)*TimeToExpiration)/(CA14*TimeToExpiration^0.5), 0, 1, TRUE) - 
       $H14*EXP(-RiskFreeRate*TimeToExpiration)*_xlfn.NORM.DIST(CB$2*(LN(Underlying/$H14)+(RiskFreeRate-DividendYield-0.5*CA14^2)*TimeToExpiration)/(CA14*TimeToExpiration^0.5), 0, 1, TRUE)
)</f>
        <v>1.069637294</v>
      </c>
      <c r="CC14" s="40">
        <f t="shared" si="39"/>
        <v>0.4000368652</v>
      </c>
      <c r="CD14" s="40">
        <f t="shared" si="40"/>
        <v>0.400769043</v>
      </c>
      <c r="CE14" s="7">
        <f>CE$2*(Underlying*EXP(-DividendYield*TimeToExpiration)*_xlfn.NORM.DIST(CE$2*(LN(Underlying/$H14)+(RiskFreeRate-DividendYield+0.5*CC14^2)*TimeToExpiration)/(CC14*TimeToExpiration^0.5), 0, 1, TRUE) - 
       $H14*EXP(-RiskFreeRate*TimeToExpiration)*_xlfn.NORM.DIST(CE$2*(LN(Underlying/$H14)+(RiskFreeRate-DividendYield-0.5*CC14^2)*TimeToExpiration)/(CC14*TimeToExpiration^0.5), 0, 1, TRUE)
)</f>
        <v>1.069637294</v>
      </c>
      <c r="CF14" s="7">
        <f>CF$2*(Underlying*EXP(-DividendYield*TimeToExpiration)*_xlfn.NORM.DIST(CF$2*(LN(Underlying/$H14)+(RiskFreeRate-DividendYield+0.5*CD14^2)*TimeToExpiration)/(CD14*TimeToExpiration^0.5), 0, 1, TRUE) - 
       $H14*EXP(-RiskFreeRate*TimeToExpiration)*_xlfn.NORM.DIST(CF$2*(LN(Underlying/$H14)+(RiskFreeRate-DividendYield-0.5*CD14^2)*TimeToExpiration)/(CD14*TimeToExpiration^0.5), 0, 1, TRUE)
)</f>
        <v>1.076344755</v>
      </c>
      <c r="CG14" s="40">
        <f t="shared" si="41"/>
        <v>0.4004029541</v>
      </c>
      <c r="CH14" s="8">
        <f>CH$2*(Underlying*EXP(-DividendYield*TimeToExpiration)*_xlfn.NORM.DIST(CH$2*(LN(Underlying/$H14)+(RiskFreeRate-DividendYield+0.5*CG14^2)*TimeToExpiration)/(CG14*TimeToExpiration^0.5), 0, 1, TRUE) - 
       $H14*EXP(-RiskFreeRate*TimeToExpiration)*_xlfn.NORM.DIST(CH$2*(LN(Underlying/$H14)+(RiskFreeRate-DividendYield-0.5*CG14^2)*TimeToExpiration)/(CG14*TimeToExpiration^0.5), 0, 1, TRUE)
)</f>
        <v>1.07298887</v>
      </c>
      <c r="CI14" s="40">
        <f t="shared" si="42"/>
        <v>0.4000368652</v>
      </c>
      <c r="CJ14" s="40">
        <f t="shared" si="43"/>
        <v>0.4004029541</v>
      </c>
      <c r="CK14" s="7">
        <f>CK$2*(Underlying*EXP(-DividendYield*TimeToExpiration)*_xlfn.NORM.DIST(CK$2*(LN(Underlying/$H14)+(RiskFreeRate-DividendYield+0.5*CI14^2)*TimeToExpiration)/(CI14*TimeToExpiration^0.5), 0, 1, TRUE) - 
       $H14*EXP(-RiskFreeRate*TimeToExpiration)*_xlfn.NORM.DIST(CK$2*(LN(Underlying/$H14)+(RiskFreeRate-DividendYield-0.5*CI14^2)*TimeToExpiration)/(CI14*TimeToExpiration^0.5), 0, 1, TRUE)
)</f>
        <v>1.069637294</v>
      </c>
      <c r="CL14" s="7">
        <f>CL$2*(Underlying*EXP(-DividendYield*TimeToExpiration)*_xlfn.NORM.DIST(CL$2*(LN(Underlying/$H14)+(RiskFreeRate-DividendYield+0.5*CJ14^2)*TimeToExpiration)/(CJ14*TimeToExpiration^0.5), 0, 1, TRUE) - 
       $H14*EXP(-RiskFreeRate*TimeToExpiration)*_xlfn.NORM.DIST(CL$2*(LN(Underlying/$H14)+(RiskFreeRate-DividendYield-0.5*CJ14^2)*TimeToExpiration)/(CJ14*TimeToExpiration^0.5), 0, 1, TRUE)
)</f>
        <v>1.07298887</v>
      </c>
      <c r="CM14" s="40">
        <f t="shared" si="44"/>
        <v>0.4002199097</v>
      </c>
      <c r="CN14" s="8">
        <f>CN$2*(Underlying*EXP(-DividendYield*TimeToExpiration)*_xlfn.NORM.DIST(CN$2*(LN(Underlying/$H14)+(RiskFreeRate-DividendYield+0.5*CM14^2)*TimeToExpiration)/(CM14*TimeToExpiration^0.5), 0, 1, TRUE) - 
       $H14*EXP(-RiskFreeRate*TimeToExpiration)*_xlfn.NORM.DIST(CN$2*(LN(Underlying/$H14)+(RiskFreeRate-DividendYield-0.5*CM14^2)*TimeToExpiration)/(CM14*TimeToExpiration^0.5), 0, 1, TRUE)
)</f>
        <v>1.071312543</v>
      </c>
      <c r="CO14" s="40">
        <f t="shared" si="45"/>
        <v>0.4000368652</v>
      </c>
      <c r="CP14" s="40">
        <f t="shared" si="46"/>
        <v>0.4002199097</v>
      </c>
      <c r="CQ14" s="7">
        <f>CQ$2*(Underlying*EXP(-DividendYield*TimeToExpiration)*_xlfn.NORM.DIST(CQ$2*(LN(Underlying/$H14)+(RiskFreeRate-DividendYield+0.5*CO14^2)*TimeToExpiration)/(CO14*TimeToExpiration^0.5), 0, 1, TRUE) - 
       $H14*EXP(-RiskFreeRate*TimeToExpiration)*_xlfn.NORM.DIST(CQ$2*(LN(Underlying/$H14)+(RiskFreeRate-DividendYield-0.5*CO14^2)*TimeToExpiration)/(CO14*TimeToExpiration^0.5), 0, 1, TRUE)
)</f>
        <v>1.069637294</v>
      </c>
      <c r="CR14" s="7">
        <f>CR$2*(Underlying*EXP(-DividendYield*TimeToExpiration)*_xlfn.NORM.DIST(CR$2*(LN(Underlying/$H14)+(RiskFreeRate-DividendYield+0.5*CP14^2)*TimeToExpiration)/(CP14*TimeToExpiration^0.5), 0, 1, TRUE) - 
       $H14*EXP(-RiskFreeRate*TimeToExpiration)*_xlfn.NORM.DIST(CR$2*(LN(Underlying/$H14)+(RiskFreeRate-DividendYield-0.5*CP14^2)*TimeToExpiration)/(CP14*TimeToExpiration^0.5), 0, 1, TRUE)
)</f>
        <v>1.071312543</v>
      </c>
      <c r="CS14" s="40">
        <f t="shared" si="47"/>
        <v>0.4001283875</v>
      </c>
      <c r="CT14" s="8">
        <f>CT$2*(Underlying*EXP(-DividendYield*TimeToExpiration)*_xlfn.NORM.DIST(CT$2*(LN(Underlying/$H14)+(RiskFreeRate-DividendYield+0.5*CS14^2)*TimeToExpiration)/(CS14*TimeToExpiration^0.5), 0, 1, TRUE) - 
       $H14*EXP(-RiskFreeRate*TimeToExpiration)*_xlfn.NORM.DIST(CT$2*(LN(Underlying/$H14)+(RiskFreeRate-DividendYield-0.5*CS14^2)*TimeToExpiration)/(CS14*TimeToExpiration^0.5), 0, 1, TRUE)
)</f>
        <v>1.070474784</v>
      </c>
      <c r="CU14" s="40">
        <f t="shared" si="48"/>
        <v>0.4000368652</v>
      </c>
      <c r="CV14" s="40">
        <f t="shared" si="49"/>
        <v>0.4001283875</v>
      </c>
      <c r="CW14" s="7">
        <f>CW$2*(Underlying*EXP(-DividendYield*TimeToExpiration)*_xlfn.NORM.DIST(CW$2*(LN(Underlying/$H14)+(RiskFreeRate-DividendYield+0.5*CU14^2)*TimeToExpiration)/(CU14*TimeToExpiration^0.5), 0, 1, TRUE) - 
       $H14*EXP(-RiskFreeRate*TimeToExpiration)*_xlfn.NORM.DIST(CW$2*(LN(Underlying/$H14)+(RiskFreeRate-DividendYield-0.5*CU14^2)*TimeToExpiration)/(CU14*TimeToExpiration^0.5), 0, 1, TRUE)
)</f>
        <v>1.069637294</v>
      </c>
      <c r="CX14" s="7">
        <f>CX$2*(Underlying*EXP(-DividendYield*TimeToExpiration)*_xlfn.NORM.DIST(CX$2*(LN(Underlying/$H14)+(RiskFreeRate-DividendYield+0.5*CV14^2)*TimeToExpiration)/(CV14*TimeToExpiration^0.5), 0, 1, TRUE) - 
       $H14*EXP(-RiskFreeRate*TimeToExpiration)*_xlfn.NORM.DIST(CX$2*(LN(Underlying/$H14)+(RiskFreeRate-DividendYield-0.5*CV14^2)*TimeToExpiration)/(CV14*TimeToExpiration^0.5), 0, 1, TRUE)
)</f>
        <v>1.070474784</v>
      </c>
      <c r="CY14" s="40">
        <f t="shared" si="50"/>
        <v>0.4000826263</v>
      </c>
      <c r="CZ14" s="8">
        <f>CZ$2*(Underlying*EXP(-DividendYield*TimeToExpiration)*_xlfn.NORM.DIST(CZ$2*(LN(Underlying/$H14)+(RiskFreeRate-DividendYield+0.5*CY14^2)*TimeToExpiration)/(CY14*TimeToExpiration^0.5), 0, 1, TRUE) - 
       $H14*EXP(-RiskFreeRate*TimeToExpiration)*_xlfn.NORM.DIST(CZ$2*(LN(Underlying/$H14)+(RiskFreeRate-DividendYield-0.5*CY14^2)*TimeToExpiration)/(CY14*TimeToExpiration^0.5), 0, 1, TRUE)
)</f>
        <v>1.070056005</v>
      </c>
      <c r="DA14" s="40">
        <f t="shared" si="51"/>
        <v>0.4000368652</v>
      </c>
      <c r="DB14" s="40">
        <f t="shared" si="52"/>
        <v>0.4000826263</v>
      </c>
      <c r="DC14" s="7">
        <f>DC$2*(Underlying*EXP(-DividendYield*TimeToExpiration)*_xlfn.NORM.DIST(DC$2*(LN(Underlying/$H14)+(RiskFreeRate-DividendYield+0.5*DA14^2)*TimeToExpiration)/(DA14*TimeToExpiration^0.5), 0, 1, TRUE) - 
       $H14*EXP(-RiskFreeRate*TimeToExpiration)*_xlfn.NORM.DIST(DC$2*(LN(Underlying/$H14)+(RiskFreeRate-DividendYield-0.5*DA14^2)*TimeToExpiration)/(DA14*TimeToExpiration^0.5), 0, 1, TRUE)
)</f>
        <v>1.069637294</v>
      </c>
      <c r="DD14" s="7">
        <f>DD$2*(Underlying*EXP(-DividendYield*TimeToExpiration)*_xlfn.NORM.DIST(DD$2*(LN(Underlying/$H14)+(RiskFreeRate-DividendYield+0.5*DB14^2)*TimeToExpiration)/(DB14*TimeToExpiration^0.5), 0, 1, TRUE) - 
       $H14*EXP(-RiskFreeRate*TimeToExpiration)*_xlfn.NORM.DIST(DD$2*(LN(Underlying/$H14)+(RiskFreeRate-DividendYield-0.5*DB14^2)*TimeToExpiration)/(DB14*TimeToExpiration^0.5), 0, 1, TRUE)
)</f>
        <v>1.070056005</v>
      </c>
      <c r="DE14" s="40">
        <f t="shared" si="53"/>
        <v>0.4000597458</v>
      </c>
      <c r="DF14" s="8">
        <f>DF$2*(Underlying*EXP(-DividendYield*TimeToExpiration)*_xlfn.NORM.DIST(DF$2*(LN(Underlying/$H14)+(RiskFreeRate-DividendYield+0.5*DE14^2)*TimeToExpiration)/(DE14*TimeToExpiration^0.5), 0, 1, TRUE) - 
       $H14*EXP(-RiskFreeRate*TimeToExpiration)*_xlfn.NORM.DIST(DF$2*(LN(Underlying/$H14)+(RiskFreeRate-DividendYield-0.5*DE14^2)*TimeToExpiration)/(DE14*TimeToExpiration^0.5), 0, 1, TRUE)
)</f>
        <v>1.069846641</v>
      </c>
    </row>
    <row r="15">
      <c r="A15" s="20">
        <f>'Option Mkt Data'!A15</f>
        <v>320</v>
      </c>
      <c r="B15" s="35">
        <f t="shared" ref="B15:C15" si="62">DE15</f>
        <v>0.3910448074</v>
      </c>
      <c r="C15" s="7">
        <f t="shared" si="62"/>
        <v>1.319791807</v>
      </c>
      <c r="D15" s="7">
        <f t="shared" si="3"/>
        <v>0.0002083645863</v>
      </c>
      <c r="E15" s="9">
        <f t="shared" si="4"/>
        <v>0.0001578519388</v>
      </c>
      <c r="F15" s="36">
        <f>D15/'Option Mkt Data'!M15</f>
        <v>0.01041848769</v>
      </c>
      <c r="G15" s="5">
        <f>'Option Mkt Data'!K15</f>
        <v>1.320000172</v>
      </c>
      <c r="H15" s="33">
        <f>'Option Mkt Data'!A15</f>
        <v>320</v>
      </c>
      <c r="I15" s="37">
        <f>MinSolverVola</f>
        <v>0.001</v>
      </c>
      <c r="J15" s="38">
        <f>MaxSolverVola</f>
        <v>3</v>
      </c>
      <c r="K15" s="39">
        <f>K$2*(Underlying*EXP(-DividendYield*TimeToExpiration)*_xlfn.NORM.DIST(K$2*(LN(Underlying/$H15)+(RiskFreeRate-DividendYield+0.5*I15^2)*TimeToExpiration)/(I15*TimeToExpiration^0.5), 0, 1, TRUE) - 
       $H15*EXP(-RiskFreeRate*TimeToExpiration)*_xlfn.NORM.DIST(K$2*(LN(Underlying/$H15)+(RiskFreeRate-DividendYield-0.5*I15^2)*TimeToExpiration)/(I15*TimeToExpiration^0.5), 0, 1, TRUE)
)</f>
        <v>0</v>
      </c>
      <c r="L15" s="7">
        <f>L$2*(Underlying*EXP(-DividendYield*TimeToExpiration)*_xlfn.NORM.DIST(L$2*(LN(Underlying/$H15)+(RiskFreeRate-DividendYield+0.5*J15^2)*TimeToExpiration)/(J15*TimeToExpiration^0.5), 0, 1, TRUE) - 
       $H15*EXP(-RiskFreeRate*TimeToExpiration)*_xlfn.NORM.DIST(L$2*(LN(Underlying/$H15)+(RiskFreeRate-DividendYield-0.5*J15^2)*TimeToExpiration)/(J15*TimeToExpiration^0.5), 0, 1, TRUE)
)</f>
        <v>46.11647918</v>
      </c>
      <c r="M15" s="40">
        <f t="shared" si="5"/>
        <v>1.5005</v>
      </c>
      <c r="N15" s="8">
        <f>N$2*(Underlying*EXP(-DividendYield*TimeToExpiration)*_xlfn.NORM.DIST(N$2*(LN(Underlying/$H15)+(RiskFreeRate-DividendYield+0.5*M15^2)*TimeToExpiration)/(M15*TimeToExpiration^0.5), 0, 1, TRUE) - 
       $H15*EXP(-RiskFreeRate*TimeToExpiration)*_xlfn.NORM.DIST(N$2*(LN(Underlying/$H15)+(RiskFreeRate-DividendYield-0.5*M15^2)*TimeToExpiration)/(M15*TimeToExpiration^0.5), 0, 1, TRUE)
)</f>
        <v>19.15030254</v>
      </c>
      <c r="O15" s="41">
        <f t="shared" si="6"/>
        <v>0.001</v>
      </c>
      <c r="P15" s="40">
        <f t="shared" si="7"/>
        <v>1.5005</v>
      </c>
      <c r="Q15" s="7">
        <f>Q$2*(Underlying*EXP(-DividendYield*TimeToExpiration)*_xlfn.NORM.DIST(Q$2*(LN(Underlying/$H15)+(RiskFreeRate-DividendYield+0.5*O15^2)*TimeToExpiration)/(O15*TimeToExpiration^0.5), 0, 1, TRUE) - 
       $H15*EXP(-RiskFreeRate*TimeToExpiration)*_xlfn.NORM.DIST(Q$2*(LN(Underlying/$H15)+(RiskFreeRate-DividendYield-0.5*O15^2)*TimeToExpiration)/(O15*TimeToExpiration^0.5), 0, 1, TRUE)
)</f>
        <v>0</v>
      </c>
      <c r="R15" s="7">
        <f>R$2*(Underlying*EXP(-DividendYield*TimeToExpiration)*_xlfn.NORM.DIST(R$2*(LN(Underlying/$H15)+(RiskFreeRate-DividendYield+0.5*P15^2)*TimeToExpiration)/(P15*TimeToExpiration^0.5), 0, 1, TRUE) - 
       $H15*EXP(-RiskFreeRate*TimeToExpiration)*_xlfn.NORM.DIST(R$2*(LN(Underlying/$H15)+(RiskFreeRate-DividendYield-0.5*P15^2)*TimeToExpiration)/(P15*TimeToExpiration^0.5), 0, 1, TRUE)
)</f>
        <v>19.15030254</v>
      </c>
      <c r="S15" s="40">
        <f t="shared" si="8"/>
        <v>0.75075</v>
      </c>
      <c r="T15" s="8">
        <f>T$2*(Underlying*EXP(-DividendYield*TimeToExpiration)*_xlfn.NORM.DIST(T$2*(LN(Underlying/$H15)+(RiskFreeRate-DividendYield+0.5*S15^2)*TimeToExpiration)/(S15*TimeToExpiration^0.5), 0, 1, TRUE) - 
       $H15*EXP(-RiskFreeRate*TimeToExpiration)*_xlfn.NORM.DIST(T$2*(LN(Underlying/$H15)+(RiskFreeRate-DividendYield-0.5*S15^2)*TimeToExpiration)/(S15*TimeToExpiration^0.5), 0, 1, TRUE)
)</f>
        <v>6.301586645</v>
      </c>
      <c r="U15" s="41">
        <f t="shared" si="9"/>
        <v>0.001</v>
      </c>
      <c r="V15" s="40">
        <f t="shared" si="10"/>
        <v>0.75075</v>
      </c>
      <c r="W15" s="7">
        <f>W$2*(Underlying*EXP(-DividendYield*TimeToExpiration)*_xlfn.NORM.DIST(W$2*(LN(Underlying/$H15)+(RiskFreeRate-DividendYield+0.5*U15^2)*TimeToExpiration)/(U15*TimeToExpiration^0.5), 0, 1, TRUE) - 
       $H15*EXP(-RiskFreeRate*TimeToExpiration)*_xlfn.NORM.DIST(W$2*(LN(Underlying/$H15)+(RiskFreeRate-DividendYield-0.5*U15^2)*TimeToExpiration)/(U15*TimeToExpiration^0.5), 0, 1, TRUE)
)</f>
        <v>0</v>
      </c>
      <c r="X15" s="7">
        <f>X$2*(Underlying*EXP(-DividendYield*TimeToExpiration)*_xlfn.NORM.DIST(X$2*(LN(Underlying/$H15)+(RiskFreeRate-DividendYield+0.5*V15^2)*TimeToExpiration)/(V15*TimeToExpiration^0.5), 0, 1, TRUE) - 
       $H15*EXP(-RiskFreeRate*TimeToExpiration)*_xlfn.NORM.DIST(X$2*(LN(Underlying/$H15)+(RiskFreeRate-DividendYield-0.5*V15^2)*TimeToExpiration)/(V15*TimeToExpiration^0.5), 0, 1, TRUE)
)</f>
        <v>6.301586645</v>
      </c>
      <c r="Y15" s="40">
        <f t="shared" si="11"/>
        <v>0.375875</v>
      </c>
      <c r="Z15" s="8">
        <f>Z$2*(Underlying*EXP(-DividendYield*TimeToExpiration)*_xlfn.NORM.DIST(Z$2*(LN(Underlying/$H15)+(RiskFreeRate-DividendYield+0.5*Y15^2)*TimeToExpiration)/(Y15*TimeToExpiration^0.5), 0, 1, TRUE) - 
       $H15*EXP(-RiskFreeRate*TimeToExpiration)*_xlfn.NORM.DIST(Z$2*(LN(Underlying/$H15)+(RiskFreeRate-DividendYield-0.5*Y15^2)*TimeToExpiration)/(Y15*TimeToExpiration^0.5), 0, 1, TRUE)
)</f>
        <v>1.164828013</v>
      </c>
      <c r="AA15" s="40">
        <f t="shared" si="12"/>
        <v>0.375875</v>
      </c>
      <c r="AB15" s="40">
        <f t="shared" si="13"/>
        <v>0.75075</v>
      </c>
      <c r="AC15" s="7">
        <f>AC$2*(Underlying*EXP(-DividendYield*TimeToExpiration)*_xlfn.NORM.DIST(AC$2*(LN(Underlying/$H15)+(RiskFreeRate-DividendYield+0.5*AA15^2)*TimeToExpiration)/(AA15*TimeToExpiration^0.5), 0, 1, TRUE) - 
       $H15*EXP(-RiskFreeRate*TimeToExpiration)*_xlfn.NORM.DIST(AC$2*(LN(Underlying/$H15)+(RiskFreeRate-DividendYield-0.5*AA15^2)*TimeToExpiration)/(AA15*TimeToExpiration^0.5), 0, 1, TRUE)
)</f>
        <v>1.164828013</v>
      </c>
      <c r="AD15" s="7">
        <f>AD$2*(Underlying*EXP(-DividendYield*TimeToExpiration)*_xlfn.NORM.DIST(AD$2*(LN(Underlying/$H15)+(RiskFreeRate-DividendYield+0.5*AB15^2)*TimeToExpiration)/(AB15*TimeToExpiration^0.5), 0, 1, TRUE) - 
       $H15*EXP(-RiskFreeRate*TimeToExpiration)*_xlfn.NORM.DIST(AD$2*(LN(Underlying/$H15)+(RiskFreeRate-DividendYield-0.5*AB15^2)*TimeToExpiration)/(AB15*TimeToExpiration^0.5), 0, 1, TRUE)
)</f>
        <v>6.301586645</v>
      </c>
      <c r="AE15" s="40">
        <f t="shared" si="14"/>
        <v>0.5633125</v>
      </c>
      <c r="AF15" s="8">
        <f>AF$2*(Underlying*EXP(-DividendYield*TimeToExpiration)*_xlfn.NORM.DIST(AF$2*(LN(Underlying/$H15)+(RiskFreeRate-DividendYield+0.5*AE15^2)*TimeToExpiration)/(AE15*TimeToExpiration^0.5), 0, 1, TRUE) - 
       $H15*EXP(-RiskFreeRate*TimeToExpiration)*_xlfn.NORM.DIST(AF$2*(LN(Underlying/$H15)+(RiskFreeRate-DividendYield-0.5*AE15^2)*TimeToExpiration)/(AE15*TimeToExpiration^0.5), 0, 1, TRUE)
)</f>
        <v>3.473863506</v>
      </c>
      <c r="AG15" s="40">
        <f t="shared" si="15"/>
        <v>0.375875</v>
      </c>
      <c r="AH15" s="40">
        <f t="shared" si="16"/>
        <v>0.5633125</v>
      </c>
      <c r="AI15" s="7">
        <f>AI$2*(Underlying*EXP(-DividendYield*TimeToExpiration)*_xlfn.NORM.DIST(AI$2*(LN(Underlying/$H15)+(RiskFreeRate-DividendYield+0.5*AG15^2)*TimeToExpiration)/(AG15*TimeToExpiration^0.5), 0, 1, TRUE) - 
       $H15*EXP(-RiskFreeRate*TimeToExpiration)*_xlfn.NORM.DIST(AI$2*(LN(Underlying/$H15)+(RiskFreeRate-DividendYield-0.5*AG15^2)*TimeToExpiration)/(AG15*TimeToExpiration^0.5), 0, 1, TRUE)
)</f>
        <v>1.164828013</v>
      </c>
      <c r="AJ15" s="7">
        <f>AJ$2*(Underlying*EXP(-DividendYield*TimeToExpiration)*_xlfn.NORM.DIST(AJ$2*(LN(Underlying/$H15)+(RiskFreeRate-DividendYield+0.5*AH15^2)*TimeToExpiration)/(AH15*TimeToExpiration^0.5), 0, 1, TRUE) - 
       $H15*EXP(-RiskFreeRate*TimeToExpiration)*_xlfn.NORM.DIST(AJ$2*(LN(Underlying/$H15)+(RiskFreeRate-DividendYield-0.5*AH15^2)*TimeToExpiration)/(AH15*TimeToExpiration^0.5), 0, 1, TRUE)
)</f>
        <v>3.473863506</v>
      </c>
      <c r="AK15" s="40">
        <f t="shared" si="17"/>
        <v>0.46959375</v>
      </c>
      <c r="AL15" s="8">
        <f>AL$2*(Underlying*EXP(-DividendYield*TimeToExpiration)*_xlfn.NORM.DIST(AL$2*(LN(Underlying/$H15)+(RiskFreeRate-DividendYield+0.5*AK15^2)*TimeToExpiration)/(AK15*TimeToExpiration^0.5), 0, 1, TRUE) - 
       $H15*EXP(-RiskFreeRate*TimeToExpiration)*_xlfn.NORM.DIST(AL$2*(LN(Underlying/$H15)+(RiskFreeRate-DividendYield-0.5*AK15^2)*TimeToExpiration)/(AK15*TimeToExpiration^0.5), 0, 1, TRUE)
)</f>
        <v>2.22487325</v>
      </c>
      <c r="AM15" s="40">
        <f t="shared" si="18"/>
        <v>0.375875</v>
      </c>
      <c r="AN15" s="40">
        <f t="shared" si="19"/>
        <v>0.46959375</v>
      </c>
      <c r="AO15" s="7">
        <f>AO$2*(Underlying*EXP(-DividendYield*TimeToExpiration)*_xlfn.NORM.DIST(AO$2*(LN(Underlying/$H15)+(RiskFreeRate-DividendYield+0.5*AM15^2)*TimeToExpiration)/(AM15*TimeToExpiration^0.5), 0, 1, TRUE) - 
       $H15*EXP(-RiskFreeRate*TimeToExpiration)*_xlfn.NORM.DIST(AO$2*(LN(Underlying/$H15)+(RiskFreeRate-DividendYield-0.5*AM15^2)*TimeToExpiration)/(AM15*TimeToExpiration^0.5), 0, 1, TRUE)
)</f>
        <v>1.164828013</v>
      </c>
      <c r="AP15" s="7">
        <f>AP$2*(Underlying*EXP(-DividendYield*TimeToExpiration)*_xlfn.NORM.DIST(AP$2*(LN(Underlying/$H15)+(RiskFreeRate-DividendYield+0.5*AN15^2)*TimeToExpiration)/(AN15*TimeToExpiration^0.5), 0, 1, TRUE) - 
       $H15*EXP(-RiskFreeRate*TimeToExpiration)*_xlfn.NORM.DIST(AP$2*(LN(Underlying/$H15)+(RiskFreeRate-DividendYield-0.5*AN15^2)*TimeToExpiration)/(AN15*TimeToExpiration^0.5), 0, 1, TRUE)
)</f>
        <v>2.22487325</v>
      </c>
      <c r="AQ15" s="40">
        <f t="shared" si="20"/>
        <v>0.422734375</v>
      </c>
      <c r="AR15" s="8">
        <f>AR$2*(Underlying*EXP(-DividendYield*TimeToExpiration)*_xlfn.NORM.DIST(AR$2*(LN(Underlying/$H15)+(RiskFreeRate-DividendYield+0.5*AQ15^2)*TimeToExpiration)/(AQ15*TimeToExpiration^0.5), 0, 1, TRUE) - 
       $H15*EXP(-RiskFreeRate*TimeToExpiration)*_xlfn.NORM.DIST(AR$2*(LN(Underlying/$H15)+(RiskFreeRate-DividendYield-0.5*AQ15^2)*TimeToExpiration)/(AQ15*TimeToExpiration^0.5), 0, 1, TRUE)
)</f>
        <v>1.665743111</v>
      </c>
      <c r="AS15" s="40">
        <f t="shared" si="21"/>
        <v>0.375875</v>
      </c>
      <c r="AT15" s="40">
        <f t="shared" si="22"/>
        <v>0.422734375</v>
      </c>
      <c r="AU15" s="7">
        <f>AU$2*(Underlying*EXP(-DividendYield*TimeToExpiration)*_xlfn.NORM.DIST(AU$2*(LN(Underlying/$H15)+(RiskFreeRate-DividendYield+0.5*AS15^2)*TimeToExpiration)/(AS15*TimeToExpiration^0.5), 0, 1, TRUE) - 
       $H15*EXP(-RiskFreeRate*TimeToExpiration)*_xlfn.NORM.DIST(AU$2*(LN(Underlying/$H15)+(RiskFreeRate-DividendYield-0.5*AS15^2)*TimeToExpiration)/(AS15*TimeToExpiration^0.5), 0, 1, TRUE)
)</f>
        <v>1.164828013</v>
      </c>
      <c r="AV15" s="7">
        <f>AV$2*(Underlying*EXP(-DividendYield*TimeToExpiration)*_xlfn.NORM.DIST(AV$2*(LN(Underlying/$H15)+(RiskFreeRate-DividendYield+0.5*AT15^2)*TimeToExpiration)/(AT15*TimeToExpiration^0.5), 0, 1, TRUE) - 
       $H15*EXP(-RiskFreeRate*TimeToExpiration)*_xlfn.NORM.DIST(AV$2*(LN(Underlying/$H15)+(RiskFreeRate-DividendYield-0.5*AT15^2)*TimeToExpiration)/(AT15*TimeToExpiration^0.5), 0, 1, TRUE)
)</f>
        <v>1.665743111</v>
      </c>
      <c r="AW15" s="40">
        <f t="shared" si="23"/>
        <v>0.3993046875</v>
      </c>
      <c r="AX15" s="8">
        <f>AX$2*(Underlying*EXP(-DividendYield*TimeToExpiration)*_xlfn.NORM.DIST(AX$2*(LN(Underlying/$H15)+(RiskFreeRate-DividendYield+0.5*AW15^2)*TimeToExpiration)/(AW15*TimeToExpiration^0.5), 0, 1, TRUE) - 
       $H15*EXP(-RiskFreeRate*TimeToExpiration)*_xlfn.NORM.DIST(AX$2*(LN(Underlying/$H15)+(RiskFreeRate-DividendYield-0.5*AW15^2)*TimeToExpiration)/(AW15*TimeToExpiration^0.5), 0, 1, TRUE)
)</f>
        <v>1.407173535</v>
      </c>
      <c r="AY15" s="40">
        <f t="shared" si="24"/>
        <v>0.375875</v>
      </c>
      <c r="AZ15" s="40">
        <f t="shared" si="25"/>
        <v>0.3993046875</v>
      </c>
      <c r="BA15" s="7">
        <f>BA$2*(Underlying*EXP(-DividendYield*TimeToExpiration)*_xlfn.NORM.DIST(BA$2*(LN(Underlying/$H15)+(RiskFreeRate-DividendYield+0.5*AY15^2)*TimeToExpiration)/(AY15*TimeToExpiration^0.5), 0, 1, TRUE) - 
       $H15*EXP(-RiskFreeRate*TimeToExpiration)*_xlfn.NORM.DIST(BA$2*(LN(Underlying/$H15)+(RiskFreeRate-DividendYield-0.5*AY15^2)*TimeToExpiration)/(AY15*TimeToExpiration^0.5), 0, 1, TRUE)
)</f>
        <v>1.164828013</v>
      </c>
      <c r="BB15" s="7">
        <f>BB$2*(Underlying*EXP(-DividendYield*TimeToExpiration)*_xlfn.NORM.DIST(BB$2*(LN(Underlying/$H15)+(RiskFreeRate-DividendYield+0.5*AZ15^2)*TimeToExpiration)/(AZ15*TimeToExpiration^0.5), 0, 1, TRUE) - 
       $H15*EXP(-RiskFreeRate*TimeToExpiration)*_xlfn.NORM.DIST(BB$2*(LN(Underlying/$H15)+(RiskFreeRate-DividendYield-0.5*AZ15^2)*TimeToExpiration)/(AZ15*TimeToExpiration^0.5), 0, 1, TRUE)
)</f>
        <v>1.407173535</v>
      </c>
      <c r="BC15" s="40">
        <f t="shared" si="26"/>
        <v>0.3875898438</v>
      </c>
      <c r="BD15" s="8">
        <f>BD$2*(Underlying*EXP(-DividendYield*TimeToExpiration)*_xlfn.NORM.DIST(BD$2*(LN(Underlying/$H15)+(RiskFreeRate-DividendYield+0.5*BC15^2)*TimeToExpiration)/(BC15*TimeToExpiration^0.5), 0, 1, TRUE) - 
       $H15*EXP(-RiskFreeRate*TimeToExpiration)*_xlfn.NORM.DIST(BD$2*(LN(Underlying/$H15)+(RiskFreeRate-DividendYield-0.5*BC15^2)*TimeToExpiration)/(BC15*TimeToExpiration^0.5), 0, 1, TRUE)
)</f>
        <v>1.283858349</v>
      </c>
      <c r="BE15" s="40">
        <f t="shared" si="27"/>
        <v>0.3875898438</v>
      </c>
      <c r="BF15" s="40">
        <f t="shared" si="28"/>
        <v>0.3993046875</v>
      </c>
      <c r="BG15" s="7">
        <f>BG$2*(Underlying*EXP(-DividendYield*TimeToExpiration)*_xlfn.NORM.DIST(BG$2*(LN(Underlying/$H15)+(RiskFreeRate-DividendYield+0.5*BE15^2)*TimeToExpiration)/(BE15*TimeToExpiration^0.5), 0, 1, TRUE) - 
       $H15*EXP(-RiskFreeRate*TimeToExpiration)*_xlfn.NORM.DIST(BG$2*(LN(Underlying/$H15)+(RiskFreeRate-DividendYield-0.5*BE15^2)*TimeToExpiration)/(BE15*TimeToExpiration^0.5), 0, 1, TRUE)
)</f>
        <v>1.283858349</v>
      </c>
      <c r="BH15" s="7">
        <f>BH$2*(Underlying*EXP(-DividendYield*TimeToExpiration)*_xlfn.NORM.DIST(BH$2*(LN(Underlying/$H15)+(RiskFreeRate-DividendYield+0.5*BF15^2)*TimeToExpiration)/(BF15*TimeToExpiration^0.5), 0, 1, TRUE) - 
       $H15*EXP(-RiskFreeRate*TimeToExpiration)*_xlfn.NORM.DIST(BH$2*(LN(Underlying/$H15)+(RiskFreeRate-DividendYield-0.5*BF15^2)*TimeToExpiration)/(BF15*TimeToExpiration^0.5), 0, 1, TRUE)
)</f>
        <v>1.407173535</v>
      </c>
      <c r="BI15" s="40">
        <f t="shared" si="29"/>
        <v>0.3934472656</v>
      </c>
      <c r="BJ15" s="8">
        <f>BJ$2*(Underlying*EXP(-DividendYield*TimeToExpiration)*_xlfn.NORM.DIST(BJ$2*(LN(Underlying/$H15)+(RiskFreeRate-DividendYield+0.5*BI15^2)*TimeToExpiration)/(BI15*TimeToExpiration^0.5), 0, 1, TRUE) - 
       $H15*EXP(-RiskFreeRate*TimeToExpiration)*_xlfn.NORM.DIST(BJ$2*(LN(Underlying/$H15)+(RiskFreeRate-DividendYield-0.5*BI15^2)*TimeToExpiration)/(BI15*TimeToExpiration^0.5), 0, 1, TRUE)
)</f>
        <v>1.344995083</v>
      </c>
      <c r="BK15" s="40">
        <f t="shared" si="30"/>
        <v>0.3875898438</v>
      </c>
      <c r="BL15" s="40">
        <f t="shared" si="31"/>
        <v>0.3934472656</v>
      </c>
      <c r="BM15" s="7">
        <f>BM$2*(Underlying*EXP(-DividendYield*TimeToExpiration)*_xlfn.NORM.DIST(BM$2*(LN(Underlying/$H15)+(RiskFreeRate-DividendYield+0.5*BK15^2)*TimeToExpiration)/(BK15*TimeToExpiration^0.5), 0, 1, TRUE) - 
       $H15*EXP(-RiskFreeRate*TimeToExpiration)*_xlfn.NORM.DIST(BM$2*(LN(Underlying/$H15)+(RiskFreeRate-DividendYield-0.5*BK15^2)*TimeToExpiration)/(BK15*TimeToExpiration^0.5), 0, 1, TRUE)
)</f>
        <v>1.283858349</v>
      </c>
      <c r="BN15" s="7">
        <f>BN$2*(Underlying*EXP(-DividendYield*TimeToExpiration)*_xlfn.NORM.DIST(BN$2*(LN(Underlying/$H15)+(RiskFreeRate-DividendYield+0.5*BL15^2)*TimeToExpiration)/(BL15*TimeToExpiration^0.5), 0, 1, TRUE) - 
       $H15*EXP(-RiskFreeRate*TimeToExpiration)*_xlfn.NORM.DIST(BN$2*(LN(Underlying/$H15)+(RiskFreeRate-DividendYield-0.5*BL15^2)*TimeToExpiration)/(BL15*TimeToExpiration^0.5), 0, 1, TRUE)
)</f>
        <v>1.344995083</v>
      </c>
      <c r="BO15" s="40">
        <f t="shared" si="32"/>
        <v>0.3905185547</v>
      </c>
      <c r="BP15" s="8">
        <f>BP$2*(Underlying*EXP(-DividendYield*TimeToExpiration)*_xlfn.NORM.DIST(BP$2*(LN(Underlying/$H15)+(RiskFreeRate-DividendYield+0.5*BO15^2)*TimeToExpiration)/(BO15*TimeToExpiration^0.5), 0, 1, TRUE) - 
       $H15*EXP(-RiskFreeRate*TimeToExpiration)*_xlfn.NORM.DIST(BP$2*(LN(Underlying/$H15)+(RiskFreeRate-DividendYield-0.5*BO15^2)*TimeToExpiration)/(BO15*TimeToExpiration^0.5), 0, 1, TRUE)
)</f>
        <v>1.314294685</v>
      </c>
      <c r="BQ15" s="40">
        <f t="shared" si="33"/>
        <v>0.3905185547</v>
      </c>
      <c r="BR15" s="40">
        <f t="shared" si="34"/>
        <v>0.3934472656</v>
      </c>
      <c r="BS15" s="7">
        <f>BS$2*(Underlying*EXP(-DividendYield*TimeToExpiration)*_xlfn.NORM.DIST(BS$2*(LN(Underlying/$H15)+(RiskFreeRate-DividendYield+0.5*BQ15^2)*TimeToExpiration)/(BQ15*TimeToExpiration^0.5), 0, 1, TRUE) - 
       $H15*EXP(-RiskFreeRate*TimeToExpiration)*_xlfn.NORM.DIST(BS$2*(LN(Underlying/$H15)+(RiskFreeRate-DividendYield-0.5*BQ15^2)*TimeToExpiration)/(BQ15*TimeToExpiration^0.5), 0, 1, TRUE)
)</f>
        <v>1.314294685</v>
      </c>
      <c r="BT15" s="7">
        <f>BT$2*(Underlying*EXP(-DividendYield*TimeToExpiration)*_xlfn.NORM.DIST(BT$2*(LN(Underlying/$H15)+(RiskFreeRate-DividendYield+0.5*BR15^2)*TimeToExpiration)/(BR15*TimeToExpiration^0.5), 0, 1, TRUE) - 
       $H15*EXP(-RiskFreeRate*TimeToExpiration)*_xlfn.NORM.DIST(BT$2*(LN(Underlying/$H15)+(RiskFreeRate-DividendYield-0.5*BR15^2)*TimeToExpiration)/(BR15*TimeToExpiration^0.5), 0, 1, TRUE)
)</f>
        <v>1.344995083</v>
      </c>
      <c r="BU15" s="40">
        <f t="shared" si="35"/>
        <v>0.3919829102</v>
      </c>
      <c r="BV15" s="8">
        <f>BV$2*(Underlying*EXP(-DividendYield*TimeToExpiration)*_xlfn.NORM.DIST(BV$2*(LN(Underlying/$H15)+(RiskFreeRate-DividendYield+0.5*BU15^2)*TimeToExpiration)/(BU15*TimeToExpiration^0.5), 0, 1, TRUE) - 
       $H15*EXP(-RiskFreeRate*TimeToExpiration)*_xlfn.NORM.DIST(BV$2*(LN(Underlying/$H15)+(RiskFreeRate-DividendYield-0.5*BU15^2)*TimeToExpiration)/(BU15*TimeToExpiration^0.5), 0, 1, TRUE)
)</f>
        <v>1.329612105</v>
      </c>
      <c r="BW15" s="40">
        <f t="shared" si="36"/>
        <v>0.3905185547</v>
      </c>
      <c r="BX15" s="40">
        <f t="shared" si="37"/>
        <v>0.3919829102</v>
      </c>
      <c r="BY15" s="7">
        <f>BY$2*(Underlying*EXP(-DividendYield*TimeToExpiration)*_xlfn.NORM.DIST(BY$2*(LN(Underlying/$H15)+(RiskFreeRate-DividendYield+0.5*BW15^2)*TimeToExpiration)/(BW15*TimeToExpiration^0.5), 0, 1, TRUE) - 
       $H15*EXP(-RiskFreeRate*TimeToExpiration)*_xlfn.NORM.DIST(BY$2*(LN(Underlying/$H15)+(RiskFreeRate-DividendYield-0.5*BW15^2)*TimeToExpiration)/(BW15*TimeToExpiration^0.5), 0, 1, TRUE)
)</f>
        <v>1.314294685</v>
      </c>
      <c r="BZ15" s="7">
        <f>BZ$2*(Underlying*EXP(-DividendYield*TimeToExpiration)*_xlfn.NORM.DIST(BZ$2*(LN(Underlying/$H15)+(RiskFreeRate-DividendYield+0.5*BX15^2)*TimeToExpiration)/(BX15*TimeToExpiration^0.5), 0, 1, TRUE) - 
       $H15*EXP(-RiskFreeRate*TimeToExpiration)*_xlfn.NORM.DIST(BZ$2*(LN(Underlying/$H15)+(RiskFreeRate-DividendYield-0.5*BX15^2)*TimeToExpiration)/(BX15*TimeToExpiration^0.5), 0, 1, TRUE)
)</f>
        <v>1.329612105</v>
      </c>
      <c r="CA15" s="40">
        <f t="shared" si="38"/>
        <v>0.3912507324</v>
      </c>
      <c r="CB15" s="8">
        <f>CB$2*(Underlying*EXP(-DividendYield*TimeToExpiration)*_xlfn.NORM.DIST(CB$2*(LN(Underlying/$H15)+(RiskFreeRate-DividendYield+0.5*CA15^2)*TimeToExpiration)/(CA15*TimeToExpiration^0.5), 0, 1, TRUE) - 
       $H15*EXP(-RiskFreeRate*TimeToExpiration)*_xlfn.NORM.DIST(CB$2*(LN(Underlying/$H15)+(RiskFreeRate-DividendYield-0.5*CA15^2)*TimeToExpiration)/(CA15*TimeToExpiration^0.5), 0, 1, TRUE)
)</f>
        <v>1.321945172</v>
      </c>
      <c r="CC15" s="40">
        <f t="shared" si="39"/>
        <v>0.3905185547</v>
      </c>
      <c r="CD15" s="40">
        <f t="shared" si="40"/>
        <v>0.3912507324</v>
      </c>
      <c r="CE15" s="7">
        <f>CE$2*(Underlying*EXP(-DividendYield*TimeToExpiration)*_xlfn.NORM.DIST(CE$2*(LN(Underlying/$H15)+(RiskFreeRate-DividendYield+0.5*CC15^2)*TimeToExpiration)/(CC15*TimeToExpiration^0.5), 0, 1, TRUE) - 
       $H15*EXP(-RiskFreeRate*TimeToExpiration)*_xlfn.NORM.DIST(CE$2*(LN(Underlying/$H15)+(RiskFreeRate-DividendYield-0.5*CC15^2)*TimeToExpiration)/(CC15*TimeToExpiration^0.5), 0, 1, TRUE)
)</f>
        <v>1.314294685</v>
      </c>
      <c r="CF15" s="7">
        <f>CF$2*(Underlying*EXP(-DividendYield*TimeToExpiration)*_xlfn.NORM.DIST(CF$2*(LN(Underlying/$H15)+(RiskFreeRate-DividendYield+0.5*CD15^2)*TimeToExpiration)/(CD15*TimeToExpiration^0.5), 0, 1, TRUE) - 
       $H15*EXP(-RiskFreeRate*TimeToExpiration)*_xlfn.NORM.DIST(CF$2*(LN(Underlying/$H15)+(RiskFreeRate-DividendYield-0.5*CD15^2)*TimeToExpiration)/(CD15*TimeToExpiration^0.5), 0, 1, TRUE)
)</f>
        <v>1.321945172</v>
      </c>
      <c r="CG15" s="40">
        <f t="shared" si="41"/>
        <v>0.3908846436</v>
      </c>
      <c r="CH15" s="8">
        <f>CH$2*(Underlying*EXP(-DividendYield*TimeToExpiration)*_xlfn.NORM.DIST(CH$2*(LN(Underlying/$H15)+(RiskFreeRate-DividendYield+0.5*CG15^2)*TimeToExpiration)/(CG15*TimeToExpiration^0.5), 0, 1, TRUE) - 
       $H15*EXP(-RiskFreeRate*TimeToExpiration)*_xlfn.NORM.DIST(CH$2*(LN(Underlying/$H15)+(RiskFreeRate-DividendYield-0.5*CG15^2)*TimeToExpiration)/(CG15*TimeToExpiration^0.5), 0, 1, TRUE)
)</f>
        <v>1.318117869</v>
      </c>
      <c r="CI15" s="40">
        <f t="shared" si="42"/>
        <v>0.3908846436</v>
      </c>
      <c r="CJ15" s="40">
        <f t="shared" si="43"/>
        <v>0.3912507324</v>
      </c>
      <c r="CK15" s="7">
        <f>CK$2*(Underlying*EXP(-DividendYield*TimeToExpiration)*_xlfn.NORM.DIST(CK$2*(LN(Underlying/$H15)+(RiskFreeRate-DividendYield+0.5*CI15^2)*TimeToExpiration)/(CI15*TimeToExpiration^0.5), 0, 1, TRUE) - 
       $H15*EXP(-RiskFreeRate*TimeToExpiration)*_xlfn.NORM.DIST(CK$2*(LN(Underlying/$H15)+(RiskFreeRate-DividendYield-0.5*CI15^2)*TimeToExpiration)/(CI15*TimeToExpiration^0.5), 0, 1, TRUE)
)</f>
        <v>1.318117869</v>
      </c>
      <c r="CL15" s="7">
        <f>CL$2*(Underlying*EXP(-DividendYield*TimeToExpiration)*_xlfn.NORM.DIST(CL$2*(LN(Underlying/$H15)+(RiskFreeRate-DividendYield+0.5*CJ15^2)*TimeToExpiration)/(CJ15*TimeToExpiration^0.5), 0, 1, TRUE) - 
       $H15*EXP(-RiskFreeRate*TimeToExpiration)*_xlfn.NORM.DIST(CL$2*(LN(Underlying/$H15)+(RiskFreeRate-DividendYield-0.5*CJ15^2)*TimeToExpiration)/(CJ15*TimeToExpiration^0.5), 0, 1, TRUE)
)</f>
        <v>1.321945172</v>
      </c>
      <c r="CM15" s="40">
        <f t="shared" si="44"/>
        <v>0.391067688</v>
      </c>
      <c r="CN15" s="8">
        <f>CN$2*(Underlying*EXP(-DividendYield*TimeToExpiration)*_xlfn.NORM.DIST(CN$2*(LN(Underlying/$H15)+(RiskFreeRate-DividendYield+0.5*CM15^2)*TimeToExpiration)/(CM15*TimeToExpiration^0.5), 0, 1, TRUE) - 
       $H15*EXP(-RiskFreeRate*TimeToExpiration)*_xlfn.NORM.DIST(CN$2*(LN(Underlying/$H15)+(RiskFreeRate-DividendYield-0.5*CM15^2)*TimeToExpiration)/(CM15*TimeToExpiration^0.5), 0, 1, TRUE)
)</f>
        <v>1.320031006</v>
      </c>
      <c r="CO15" s="40">
        <f t="shared" si="45"/>
        <v>0.3908846436</v>
      </c>
      <c r="CP15" s="40">
        <f t="shared" si="46"/>
        <v>0.391067688</v>
      </c>
      <c r="CQ15" s="7">
        <f>CQ$2*(Underlying*EXP(-DividendYield*TimeToExpiration)*_xlfn.NORM.DIST(CQ$2*(LN(Underlying/$H15)+(RiskFreeRate-DividendYield+0.5*CO15^2)*TimeToExpiration)/(CO15*TimeToExpiration^0.5), 0, 1, TRUE) - 
       $H15*EXP(-RiskFreeRate*TimeToExpiration)*_xlfn.NORM.DIST(CQ$2*(LN(Underlying/$H15)+(RiskFreeRate-DividendYield-0.5*CO15^2)*TimeToExpiration)/(CO15*TimeToExpiration^0.5), 0, 1, TRUE)
)</f>
        <v>1.318117869</v>
      </c>
      <c r="CR15" s="7">
        <f>CR$2*(Underlying*EXP(-DividendYield*TimeToExpiration)*_xlfn.NORM.DIST(CR$2*(LN(Underlying/$H15)+(RiskFreeRate-DividendYield+0.5*CP15^2)*TimeToExpiration)/(CP15*TimeToExpiration^0.5), 0, 1, TRUE) - 
       $H15*EXP(-RiskFreeRate*TimeToExpiration)*_xlfn.NORM.DIST(CR$2*(LN(Underlying/$H15)+(RiskFreeRate-DividendYield-0.5*CP15^2)*TimeToExpiration)/(CP15*TimeToExpiration^0.5), 0, 1, TRUE)
)</f>
        <v>1.320031006</v>
      </c>
      <c r="CS15" s="40">
        <f t="shared" si="47"/>
        <v>0.3909761658</v>
      </c>
      <c r="CT15" s="8">
        <f>CT$2*(Underlying*EXP(-DividendYield*TimeToExpiration)*_xlfn.NORM.DIST(CT$2*(LN(Underlying/$H15)+(RiskFreeRate-DividendYield+0.5*CS15^2)*TimeToExpiration)/(CS15*TimeToExpiration^0.5), 0, 1, TRUE) - 
       $H15*EXP(-RiskFreeRate*TimeToExpiration)*_xlfn.NORM.DIST(CT$2*(LN(Underlying/$H15)+(RiskFreeRate-DividendYield-0.5*CS15^2)*TimeToExpiration)/(CS15*TimeToExpiration^0.5), 0, 1, TRUE)
)</f>
        <v>1.319074309</v>
      </c>
      <c r="CU15" s="40">
        <f t="shared" si="48"/>
        <v>0.3909761658</v>
      </c>
      <c r="CV15" s="40">
        <f t="shared" si="49"/>
        <v>0.391067688</v>
      </c>
      <c r="CW15" s="7">
        <f>CW$2*(Underlying*EXP(-DividendYield*TimeToExpiration)*_xlfn.NORM.DIST(CW$2*(LN(Underlying/$H15)+(RiskFreeRate-DividendYield+0.5*CU15^2)*TimeToExpiration)/(CU15*TimeToExpiration^0.5), 0, 1, TRUE) - 
       $H15*EXP(-RiskFreeRate*TimeToExpiration)*_xlfn.NORM.DIST(CW$2*(LN(Underlying/$H15)+(RiskFreeRate-DividendYield-0.5*CU15^2)*TimeToExpiration)/(CU15*TimeToExpiration^0.5), 0, 1, TRUE)
)</f>
        <v>1.319074309</v>
      </c>
      <c r="CX15" s="7">
        <f>CX$2*(Underlying*EXP(-DividendYield*TimeToExpiration)*_xlfn.NORM.DIST(CX$2*(LN(Underlying/$H15)+(RiskFreeRate-DividendYield+0.5*CV15^2)*TimeToExpiration)/(CV15*TimeToExpiration^0.5), 0, 1, TRUE) - 
       $H15*EXP(-RiskFreeRate*TimeToExpiration)*_xlfn.NORM.DIST(CX$2*(LN(Underlying/$H15)+(RiskFreeRate-DividendYield-0.5*CV15^2)*TimeToExpiration)/(CV15*TimeToExpiration^0.5), 0, 1, TRUE)
)</f>
        <v>1.320031006</v>
      </c>
      <c r="CY15" s="40">
        <f t="shared" si="50"/>
        <v>0.3910219269</v>
      </c>
      <c r="CZ15" s="8">
        <f>CZ$2*(Underlying*EXP(-DividendYield*TimeToExpiration)*_xlfn.NORM.DIST(CZ$2*(LN(Underlying/$H15)+(RiskFreeRate-DividendYield+0.5*CY15^2)*TimeToExpiration)/(CY15*TimeToExpiration^0.5), 0, 1, TRUE) - 
       $H15*EXP(-RiskFreeRate*TimeToExpiration)*_xlfn.NORM.DIST(CZ$2*(LN(Underlying/$H15)+(RiskFreeRate-DividendYield-0.5*CY15^2)*TimeToExpiration)/(CY15*TimeToExpiration^0.5), 0, 1, TRUE)
)</f>
        <v>1.319552625</v>
      </c>
      <c r="DA15" s="40">
        <f t="shared" si="51"/>
        <v>0.3910219269</v>
      </c>
      <c r="DB15" s="40">
        <f t="shared" si="52"/>
        <v>0.391067688</v>
      </c>
      <c r="DC15" s="7">
        <f>DC$2*(Underlying*EXP(-DividendYield*TimeToExpiration)*_xlfn.NORM.DIST(DC$2*(LN(Underlying/$H15)+(RiskFreeRate-DividendYield+0.5*DA15^2)*TimeToExpiration)/(DA15*TimeToExpiration^0.5), 0, 1, TRUE) - 
       $H15*EXP(-RiskFreeRate*TimeToExpiration)*_xlfn.NORM.DIST(DC$2*(LN(Underlying/$H15)+(RiskFreeRate-DividendYield-0.5*DA15^2)*TimeToExpiration)/(DA15*TimeToExpiration^0.5), 0, 1, TRUE)
)</f>
        <v>1.319552625</v>
      </c>
      <c r="DD15" s="7">
        <f>DD$2*(Underlying*EXP(-DividendYield*TimeToExpiration)*_xlfn.NORM.DIST(DD$2*(LN(Underlying/$H15)+(RiskFreeRate-DividendYield+0.5*DB15^2)*TimeToExpiration)/(DB15*TimeToExpiration^0.5), 0, 1, TRUE) - 
       $H15*EXP(-RiskFreeRate*TimeToExpiration)*_xlfn.NORM.DIST(DD$2*(LN(Underlying/$H15)+(RiskFreeRate-DividendYield-0.5*DB15^2)*TimeToExpiration)/(DB15*TimeToExpiration^0.5), 0, 1, TRUE)
)</f>
        <v>1.320031006</v>
      </c>
      <c r="DE15" s="40">
        <f t="shared" si="53"/>
        <v>0.3910448074</v>
      </c>
      <c r="DF15" s="8">
        <f>DF$2*(Underlying*EXP(-DividendYield*TimeToExpiration)*_xlfn.NORM.DIST(DF$2*(LN(Underlying/$H15)+(RiskFreeRate-DividendYield+0.5*DE15^2)*TimeToExpiration)/(DE15*TimeToExpiration^0.5), 0, 1, TRUE) - 
       $H15*EXP(-RiskFreeRate*TimeToExpiration)*_xlfn.NORM.DIST(DF$2*(LN(Underlying/$H15)+(RiskFreeRate-DividendYield-0.5*DE15^2)*TimeToExpiration)/(DE15*TimeToExpiration^0.5), 0, 1, TRUE)
)</f>
        <v>1.319791807</v>
      </c>
    </row>
    <row r="16">
      <c r="A16" s="20">
        <f>'Option Mkt Data'!A16</f>
        <v>322.5</v>
      </c>
      <c r="B16" s="35">
        <f t="shared" ref="B16:C16" si="63">DE16</f>
        <v>0.3854161911</v>
      </c>
      <c r="C16" s="7">
        <f t="shared" si="63"/>
        <v>1.664895396</v>
      </c>
      <c r="D16" s="7">
        <f t="shared" si="3"/>
        <v>0.000104089096</v>
      </c>
      <c r="E16" s="9">
        <f t="shared" si="4"/>
        <v>0.0000625159929</v>
      </c>
      <c r="F16" s="36">
        <f>D16/'Option Mkt Data'!M16</f>
        <v>0.003469667414</v>
      </c>
      <c r="G16" s="5">
        <f>'Option Mkt Data'!K16</f>
        <v>1.664999486</v>
      </c>
      <c r="H16" s="33">
        <f>'Option Mkt Data'!A16</f>
        <v>322.5</v>
      </c>
      <c r="I16" s="37">
        <f>MinSolverVola</f>
        <v>0.001</v>
      </c>
      <c r="J16" s="38">
        <f>MaxSolverVola</f>
        <v>3</v>
      </c>
      <c r="K16" s="39">
        <f>K$2*(Underlying*EXP(-DividendYield*TimeToExpiration)*_xlfn.NORM.DIST(K$2*(LN(Underlying/$H16)+(RiskFreeRate-DividendYield+0.5*I16^2)*TimeToExpiration)/(I16*TimeToExpiration^0.5), 0, 1, TRUE) - 
       $H16*EXP(-RiskFreeRate*TimeToExpiration)*_xlfn.NORM.DIST(K$2*(LN(Underlying/$H16)+(RiskFreeRate-DividendYield-0.5*I16^2)*TimeToExpiration)/(I16*TimeToExpiration^0.5), 0, 1, TRUE)
)</f>
        <v>0</v>
      </c>
      <c r="L16" s="7">
        <f>L$2*(Underlying*EXP(-DividendYield*TimeToExpiration)*_xlfn.NORM.DIST(L$2*(LN(Underlying/$H16)+(RiskFreeRate-DividendYield+0.5*J16^2)*TimeToExpiration)/(J16*TimeToExpiration^0.5), 0, 1, TRUE) - 
       $H16*EXP(-RiskFreeRate*TimeToExpiration)*_xlfn.NORM.DIST(L$2*(LN(Underlying/$H16)+(RiskFreeRate-DividendYield-0.5*J16^2)*TimeToExpiration)/(J16*TimeToExpiration^0.5), 0, 1, TRUE)
)</f>
        <v>47.44656568</v>
      </c>
      <c r="M16" s="40">
        <f t="shared" si="5"/>
        <v>1.5005</v>
      </c>
      <c r="N16" s="8">
        <f>N$2*(Underlying*EXP(-DividendYield*TimeToExpiration)*_xlfn.NORM.DIST(N$2*(LN(Underlying/$H16)+(RiskFreeRate-DividendYield+0.5*M16^2)*TimeToExpiration)/(M16*TimeToExpiration^0.5), 0, 1, TRUE) - 
       $H16*EXP(-RiskFreeRate*TimeToExpiration)*_xlfn.NORM.DIST(N$2*(LN(Underlying/$H16)+(RiskFreeRate-DividendYield-0.5*M16^2)*TimeToExpiration)/(M16*TimeToExpiration^0.5), 0, 1, TRUE)
)</f>
        <v>20.24542925</v>
      </c>
      <c r="O16" s="41">
        <f t="shared" si="6"/>
        <v>0.001</v>
      </c>
      <c r="P16" s="40">
        <f t="shared" si="7"/>
        <v>1.5005</v>
      </c>
      <c r="Q16" s="7">
        <f>Q$2*(Underlying*EXP(-DividendYield*TimeToExpiration)*_xlfn.NORM.DIST(Q$2*(LN(Underlying/$H16)+(RiskFreeRate-DividendYield+0.5*O16^2)*TimeToExpiration)/(O16*TimeToExpiration^0.5), 0, 1, TRUE) - 
       $H16*EXP(-RiskFreeRate*TimeToExpiration)*_xlfn.NORM.DIST(Q$2*(LN(Underlying/$H16)+(RiskFreeRate-DividendYield-0.5*O16^2)*TimeToExpiration)/(O16*TimeToExpiration^0.5), 0, 1, TRUE)
)</f>
        <v>0</v>
      </c>
      <c r="R16" s="7">
        <f>R$2*(Underlying*EXP(-DividendYield*TimeToExpiration)*_xlfn.NORM.DIST(R$2*(LN(Underlying/$H16)+(RiskFreeRate-DividendYield+0.5*P16^2)*TimeToExpiration)/(P16*TimeToExpiration^0.5), 0, 1, TRUE) - 
       $H16*EXP(-RiskFreeRate*TimeToExpiration)*_xlfn.NORM.DIST(R$2*(LN(Underlying/$H16)+(RiskFreeRate-DividendYield-0.5*P16^2)*TimeToExpiration)/(P16*TimeToExpiration^0.5), 0, 1, TRUE)
)</f>
        <v>20.24542925</v>
      </c>
      <c r="S16" s="40">
        <f t="shared" si="8"/>
        <v>0.75075</v>
      </c>
      <c r="T16" s="8">
        <f>T$2*(Underlying*EXP(-DividendYield*TimeToExpiration)*_xlfn.NORM.DIST(T$2*(LN(Underlying/$H16)+(RiskFreeRate-DividendYield+0.5*S16^2)*TimeToExpiration)/(S16*TimeToExpiration^0.5), 0, 1, TRUE) - 
       $H16*EXP(-RiskFreeRate*TimeToExpiration)*_xlfn.NORM.DIST(T$2*(LN(Underlying/$H16)+(RiskFreeRate-DividendYield-0.5*S16^2)*TimeToExpiration)/(S16*TimeToExpiration^0.5), 0, 1, TRUE)
)</f>
        <v>7.100119478</v>
      </c>
      <c r="U16" s="41">
        <f t="shared" si="9"/>
        <v>0.001</v>
      </c>
      <c r="V16" s="40">
        <f t="shared" si="10"/>
        <v>0.75075</v>
      </c>
      <c r="W16" s="7">
        <f>W$2*(Underlying*EXP(-DividendYield*TimeToExpiration)*_xlfn.NORM.DIST(W$2*(LN(Underlying/$H16)+(RiskFreeRate-DividendYield+0.5*U16^2)*TimeToExpiration)/(U16*TimeToExpiration^0.5), 0, 1, TRUE) - 
       $H16*EXP(-RiskFreeRate*TimeToExpiration)*_xlfn.NORM.DIST(W$2*(LN(Underlying/$H16)+(RiskFreeRate-DividendYield-0.5*U16^2)*TimeToExpiration)/(U16*TimeToExpiration^0.5), 0, 1, TRUE)
)</f>
        <v>0</v>
      </c>
      <c r="X16" s="7">
        <f>X$2*(Underlying*EXP(-DividendYield*TimeToExpiration)*_xlfn.NORM.DIST(X$2*(LN(Underlying/$H16)+(RiskFreeRate-DividendYield+0.5*V16^2)*TimeToExpiration)/(V16*TimeToExpiration^0.5), 0, 1, TRUE) - 
       $H16*EXP(-RiskFreeRate*TimeToExpiration)*_xlfn.NORM.DIST(X$2*(LN(Underlying/$H16)+(RiskFreeRate-DividendYield-0.5*V16^2)*TimeToExpiration)/(V16*TimeToExpiration^0.5), 0, 1, TRUE)
)</f>
        <v>7.100119478</v>
      </c>
      <c r="Y16" s="40">
        <f t="shared" si="11"/>
        <v>0.375875</v>
      </c>
      <c r="Z16" s="8">
        <f>Z$2*(Underlying*EXP(-DividendYield*TimeToExpiration)*_xlfn.NORM.DIST(Z$2*(LN(Underlying/$H16)+(RiskFreeRate-DividendYield+0.5*Y16^2)*TimeToExpiration)/(Y16*TimeToExpiration^0.5), 0, 1, TRUE) - 
       $H16*EXP(-RiskFreeRate*TimeToExpiration)*_xlfn.NORM.DIST(Z$2*(LN(Underlying/$H16)+(RiskFreeRate-DividendYield-0.5*Y16^2)*TimeToExpiration)/(Y16*TimeToExpiration^0.5), 0, 1, TRUE)
)</f>
        <v>1.552344633</v>
      </c>
      <c r="AA16" s="40">
        <f t="shared" si="12"/>
        <v>0.375875</v>
      </c>
      <c r="AB16" s="40">
        <f t="shared" si="13"/>
        <v>0.75075</v>
      </c>
      <c r="AC16" s="7">
        <f>AC$2*(Underlying*EXP(-DividendYield*TimeToExpiration)*_xlfn.NORM.DIST(AC$2*(LN(Underlying/$H16)+(RiskFreeRate-DividendYield+0.5*AA16^2)*TimeToExpiration)/(AA16*TimeToExpiration^0.5), 0, 1, TRUE) - 
       $H16*EXP(-RiskFreeRate*TimeToExpiration)*_xlfn.NORM.DIST(AC$2*(LN(Underlying/$H16)+(RiskFreeRate-DividendYield-0.5*AA16^2)*TimeToExpiration)/(AA16*TimeToExpiration^0.5), 0, 1, TRUE)
)</f>
        <v>1.552344633</v>
      </c>
      <c r="AD16" s="7">
        <f>AD$2*(Underlying*EXP(-DividendYield*TimeToExpiration)*_xlfn.NORM.DIST(AD$2*(LN(Underlying/$H16)+(RiskFreeRate-DividendYield+0.5*AB16^2)*TimeToExpiration)/(AB16*TimeToExpiration^0.5), 0, 1, TRUE) - 
       $H16*EXP(-RiskFreeRate*TimeToExpiration)*_xlfn.NORM.DIST(AD$2*(LN(Underlying/$H16)+(RiskFreeRate-DividendYield-0.5*AB16^2)*TimeToExpiration)/(AB16*TimeToExpiration^0.5), 0, 1, TRUE)
)</f>
        <v>7.100119478</v>
      </c>
      <c r="AE16" s="40">
        <f t="shared" si="14"/>
        <v>0.5633125</v>
      </c>
      <c r="AF16" s="8">
        <f>AF$2*(Underlying*EXP(-DividendYield*TimeToExpiration)*_xlfn.NORM.DIST(AF$2*(LN(Underlying/$H16)+(RiskFreeRate-DividendYield+0.5*AE16^2)*TimeToExpiration)/(AE16*TimeToExpiration^0.5), 0, 1, TRUE) - 
       $H16*EXP(-RiskFreeRate*TimeToExpiration)*_xlfn.NORM.DIST(AF$2*(LN(Underlying/$H16)+(RiskFreeRate-DividendYield-0.5*AE16^2)*TimeToExpiration)/(AE16*TimeToExpiration^0.5), 0, 1, TRUE)
)</f>
        <v>4.113676042</v>
      </c>
      <c r="AG16" s="40">
        <f t="shared" si="15"/>
        <v>0.375875</v>
      </c>
      <c r="AH16" s="40">
        <f t="shared" si="16"/>
        <v>0.5633125</v>
      </c>
      <c r="AI16" s="7">
        <f>AI$2*(Underlying*EXP(-DividendYield*TimeToExpiration)*_xlfn.NORM.DIST(AI$2*(LN(Underlying/$H16)+(RiskFreeRate-DividendYield+0.5*AG16^2)*TimeToExpiration)/(AG16*TimeToExpiration^0.5), 0, 1, TRUE) - 
       $H16*EXP(-RiskFreeRate*TimeToExpiration)*_xlfn.NORM.DIST(AI$2*(LN(Underlying/$H16)+(RiskFreeRate-DividendYield-0.5*AG16^2)*TimeToExpiration)/(AG16*TimeToExpiration^0.5), 0, 1, TRUE)
)</f>
        <v>1.552344633</v>
      </c>
      <c r="AJ16" s="7">
        <f>AJ$2*(Underlying*EXP(-DividendYield*TimeToExpiration)*_xlfn.NORM.DIST(AJ$2*(LN(Underlying/$H16)+(RiskFreeRate-DividendYield+0.5*AH16^2)*TimeToExpiration)/(AH16*TimeToExpiration^0.5), 0, 1, TRUE) - 
       $H16*EXP(-RiskFreeRate*TimeToExpiration)*_xlfn.NORM.DIST(AJ$2*(LN(Underlying/$H16)+(RiskFreeRate-DividendYield-0.5*AH16^2)*TimeToExpiration)/(AH16*TimeToExpiration^0.5), 0, 1, TRUE)
)</f>
        <v>4.113676042</v>
      </c>
      <c r="AK16" s="40">
        <f t="shared" si="17"/>
        <v>0.46959375</v>
      </c>
      <c r="AL16" s="8">
        <f>AL$2*(Underlying*EXP(-DividendYield*TimeToExpiration)*_xlfn.NORM.DIST(AL$2*(LN(Underlying/$H16)+(RiskFreeRate-DividendYield+0.5*AK16^2)*TimeToExpiration)/(AK16*TimeToExpiration^0.5), 0, 1, TRUE) - 
       $H16*EXP(-RiskFreeRate*TimeToExpiration)*_xlfn.NORM.DIST(AL$2*(LN(Underlying/$H16)+(RiskFreeRate-DividendYield-0.5*AK16^2)*TimeToExpiration)/(AK16*TimeToExpiration^0.5), 0, 1, TRUE)
)</f>
        <v>2.753709937</v>
      </c>
      <c r="AM16" s="40">
        <f t="shared" si="18"/>
        <v>0.375875</v>
      </c>
      <c r="AN16" s="40">
        <f t="shared" si="19"/>
        <v>0.46959375</v>
      </c>
      <c r="AO16" s="7">
        <f>AO$2*(Underlying*EXP(-DividendYield*TimeToExpiration)*_xlfn.NORM.DIST(AO$2*(LN(Underlying/$H16)+(RiskFreeRate-DividendYield+0.5*AM16^2)*TimeToExpiration)/(AM16*TimeToExpiration^0.5), 0, 1, TRUE) - 
       $H16*EXP(-RiskFreeRate*TimeToExpiration)*_xlfn.NORM.DIST(AO$2*(LN(Underlying/$H16)+(RiskFreeRate-DividendYield-0.5*AM16^2)*TimeToExpiration)/(AM16*TimeToExpiration^0.5), 0, 1, TRUE)
)</f>
        <v>1.552344633</v>
      </c>
      <c r="AP16" s="7">
        <f>AP$2*(Underlying*EXP(-DividendYield*TimeToExpiration)*_xlfn.NORM.DIST(AP$2*(LN(Underlying/$H16)+(RiskFreeRate-DividendYield+0.5*AN16^2)*TimeToExpiration)/(AN16*TimeToExpiration^0.5), 0, 1, TRUE) - 
       $H16*EXP(-RiskFreeRate*TimeToExpiration)*_xlfn.NORM.DIST(AP$2*(LN(Underlying/$H16)+(RiskFreeRate-DividendYield-0.5*AN16^2)*TimeToExpiration)/(AN16*TimeToExpiration^0.5), 0, 1, TRUE)
)</f>
        <v>2.753709937</v>
      </c>
      <c r="AQ16" s="40">
        <f t="shared" si="20"/>
        <v>0.422734375</v>
      </c>
      <c r="AR16" s="8">
        <f>AR$2*(Underlying*EXP(-DividendYield*TimeToExpiration)*_xlfn.NORM.DIST(AR$2*(LN(Underlying/$H16)+(RiskFreeRate-DividendYield+0.5*AQ16^2)*TimeToExpiration)/(AQ16*TimeToExpiration^0.5), 0, 1, TRUE) - 
       $H16*EXP(-RiskFreeRate*TimeToExpiration)*_xlfn.NORM.DIST(AR$2*(LN(Underlying/$H16)+(RiskFreeRate-DividendYield-0.5*AQ16^2)*TimeToExpiration)/(AQ16*TimeToExpiration^0.5), 0, 1, TRUE)
)</f>
        <v>2.128108387</v>
      </c>
      <c r="AS16" s="40">
        <f t="shared" si="21"/>
        <v>0.375875</v>
      </c>
      <c r="AT16" s="40">
        <f t="shared" si="22"/>
        <v>0.422734375</v>
      </c>
      <c r="AU16" s="7">
        <f>AU$2*(Underlying*EXP(-DividendYield*TimeToExpiration)*_xlfn.NORM.DIST(AU$2*(LN(Underlying/$H16)+(RiskFreeRate-DividendYield+0.5*AS16^2)*TimeToExpiration)/(AS16*TimeToExpiration^0.5), 0, 1, TRUE) - 
       $H16*EXP(-RiskFreeRate*TimeToExpiration)*_xlfn.NORM.DIST(AU$2*(LN(Underlying/$H16)+(RiskFreeRate-DividendYield-0.5*AS16^2)*TimeToExpiration)/(AS16*TimeToExpiration^0.5), 0, 1, TRUE)
)</f>
        <v>1.552344633</v>
      </c>
      <c r="AV16" s="7">
        <f>AV$2*(Underlying*EXP(-DividendYield*TimeToExpiration)*_xlfn.NORM.DIST(AV$2*(LN(Underlying/$H16)+(RiskFreeRate-DividendYield+0.5*AT16^2)*TimeToExpiration)/(AT16*TimeToExpiration^0.5), 0, 1, TRUE) - 
       $H16*EXP(-RiskFreeRate*TimeToExpiration)*_xlfn.NORM.DIST(AV$2*(LN(Underlying/$H16)+(RiskFreeRate-DividendYield-0.5*AT16^2)*TimeToExpiration)/(AT16*TimeToExpiration^0.5), 0, 1, TRUE)
)</f>
        <v>2.128108387</v>
      </c>
      <c r="AW16" s="40">
        <f t="shared" si="23"/>
        <v>0.3993046875</v>
      </c>
      <c r="AX16" s="8">
        <f>AX$2*(Underlying*EXP(-DividendYield*TimeToExpiration)*_xlfn.NORM.DIST(AX$2*(LN(Underlying/$H16)+(RiskFreeRate-DividendYield+0.5*AW16^2)*TimeToExpiration)/(AW16*TimeToExpiration^0.5), 0, 1, TRUE) - 
       $H16*EXP(-RiskFreeRate*TimeToExpiration)*_xlfn.NORM.DIST(AX$2*(LN(Underlying/$H16)+(RiskFreeRate-DividendYield-0.5*AW16^2)*TimeToExpiration)/(AW16*TimeToExpiration^0.5), 0, 1, TRUE)
)</f>
        <v>1.8331884</v>
      </c>
      <c r="AY16" s="40">
        <f t="shared" si="24"/>
        <v>0.375875</v>
      </c>
      <c r="AZ16" s="40">
        <f t="shared" si="25"/>
        <v>0.3993046875</v>
      </c>
      <c r="BA16" s="7">
        <f>BA$2*(Underlying*EXP(-DividendYield*TimeToExpiration)*_xlfn.NORM.DIST(BA$2*(LN(Underlying/$H16)+(RiskFreeRate-DividendYield+0.5*AY16^2)*TimeToExpiration)/(AY16*TimeToExpiration^0.5), 0, 1, TRUE) - 
       $H16*EXP(-RiskFreeRate*TimeToExpiration)*_xlfn.NORM.DIST(BA$2*(LN(Underlying/$H16)+(RiskFreeRate-DividendYield-0.5*AY16^2)*TimeToExpiration)/(AY16*TimeToExpiration^0.5), 0, 1, TRUE)
)</f>
        <v>1.552344633</v>
      </c>
      <c r="BB16" s="7">
        <f>BB$2*(Underlying*EXP(-DividendYield*TimeToExpiration)*_xlfn.NORM.DIST(BB$2*(LN(Underlying/$H16)+(RiskFreeRate-DividendYield+0.5*AZ16^2)*TimeToExpiration)/(AZ16*TimeToExpiration^0.5), 0, 1, TRUE) - 
       $H16*EXP(-RiskFreeRate*TimeToExpiration)*_xlfn.NORM.DIST(BB$2*(LN(Underlying/$H16)+(RiskFreeRate-DividendYield-0.5*AZ16^2)*TimeToExpiration)/(AZ16*TimeToExpiration^0.5), 0, 1, TRUE)
)</f>
        <v>1.8331884</v>
      </c>
      <c r="BC16" s="40">
        <f t="shared" si="26"/>
        <v>0.3875898438</v>
      </c>
      <c r="BD16" s="8">
        <f>BD$2*(Underlying*EXP(-DividendYield*TimeToExpiration)*_xlfn.NORM.DIST(BD$2*(LN(Underlying/$H16)+(RiskFreeRate-DividendYield+0.5*BC16^2)*TimeToExpiration)/(BC16*TimeToExpiration^0.5), 0, 1, TRUE) - 
       $H16*EXP(-RiskFreeRate*TimeToExpiration)*_xlfn.NORM.DIST(BD$2*(LN(Underlying/$H16)+(RiskFreeRate-DividendYield-0.5*BC16^2)*TimeToExpiration)/(BC16*TimeToExpiration^0.5), 0, 1, TRUE)
)</f>
        <v>1.69089293</v>
      </c>
      <c r="BE16" s="40">
        <f t="shared" si="27"/>
        <v>0.375875</v>
      </c>
      <c r="BF16" s="40">
        <f t="shared" si="28"/>
        <v>0.3875898438</v>
      </c>
      <c r="BG16" s="7">
        <f>BG$2*(Underlying*EXP(-DividendYield*TimeToExpiration)*_xlfn.NORM.DIST(BG$2*(LN(Underlying/$H16)+(RiskFreeRate-DividendYield+0.5*BE16^2)*TimeToExpiration)/(BE16*TimeToExpiration^0.5), 0, 1, TRUE) - 
       $H16*EXP(-RiskFreeRate*TimeToExpiration)*_xlfn.NORM.DIST(BG$2*(LN(Underlying/$H16)+(RiskFreeRate-DividendYield-0.5*BE16^2)*TimeToExpiration)/(BE16*TimeToExpiration^0.5), 0, 1, TRUE)
)</f>
        <v>1.552344633</v>
      </c>
      <c r="BH16" s="7">
        <f>BH$2*(Underlying*EXP(-DividendYield*TimeToExpiration)*_xlfn.NORM.DIST(BH$2*(LN(Underlying/$H16)+(RiskFreeRate-DividendYield+0.5*BF16^2)*TimeToExpiration)/(BF16*TimeToExpiration^0.5), 0, 1, TRUE) - 
       $H16*EXP(-RiskFreeRate*TimeToExpiration)*_xlfn.NORM.DIST(BH$2*(LN(Underlying/$H16)+(RiskFreeRate-DividendYield-0.5*BF16^2)*TimeToExpiration)/(BF16*TimeToExpiration^0.5), 0, 1, TRUE)
)</f>
        <v>1.69089293</v>
      </c>
      <c r="BI16" s="40">
        <f t="shared" si="29"/>
        <v>0.3817324219</v>
      </c>
      <c r="BJ16" s="8">
        <f>BJ$2*(Underlying*EXP(-DividendYield*TimeToExpiration)*_xlfn.NORM.DIST(BJ$2*(LN(Underlying/$H16)+(RiskFreeRate-DividendYield+0.5*BI16^2)*TimeToExpiration)/(BI16*TimeToExpiration^0.5), 0, 1, TRUE) - 
       $H16*EXP(-RiskFreeRate*TimeToExpiration)*_xlfn.NORM.DIST(BJ$2*(LN(Underlying/$H16)+(RiskFreeRate-DividendYield-0.5*BI16^2)*TimeToExpiration)/(BI16*TimeToExpiration^0.5), 0, 1, TRUE)
)</f>
        <v>1.621135243</v>
      </c>
      <c r="BK16" s="40">
        <f t="shared" si="30"/>
        <v>0.3817324219</v>
      </c>
      <c r="BL16" s="40">
        <f t="shared" si="31"/>
        <v>0.3875898438</v>
      </c>
      <c r="BM16" s="7">
        <f>BM$2*(Underlying*EXP(-DividendYield*TimeToExpiration)*_xlfn.NORM.DIST(BM$2*(LN(Underlying/$H16)+(RiskFreeRate-DividendYield+0.5*BK16^2)*TimeToExpiration)/(BK16*TimeToExpiration^0.5), 0, 1, TRUE) - 
       $H16*EXP(-RiskFreeRate*TimeToExpiration)*_xlfn.NORM.DIST(BM$2*(LN(Underlying/$H16)+(RiskFreeRate-DividendYield-0.5*BK16^2)*TimeToExpiration)/(BK16*TimeToExpiration^0.5), 0, 1, TRUE)
)</f>
        <v>1.621135243</v>
      </c>
      <c r="BN16" s="7">
        <f>BN$2*(Underlying*EXP(-DividendYield*TimeToExpiration)*_xlfn.NORM.DIST(BN$2*(LN(Underlying/$H16)+(RiskFreeRate-DividendYield+0.5*BL16^2)*TimeToExpiration)/(BL16*TimeToExpiration^0.5), 0, 1, TRUE) - 
       $H16*EXP(-RiskFreeRate*TimeToExpiration)*_xlfn.NORM.DIST(BN$2*(LN(Underlying/$H16)+(RiskFreeRate-DividendYield-0.5*BL16^2)*TimeToExpiration)/(BL16*TimeToExpiration^0.5), 0, 1, TRUE)
)</f>
        <v>1.69089293</v>
      </c>
      <c r="BO16" s="40">
        <f t="shared" si="32"/>
        <v>0.3846611328</v>
      </c>
      <c r="BP16" s="8">
        <f>BP$2*(Underlying*EXP(-DividendYield*TimeToExpiration)*_xlfn.NORM.DIST(BP$2*(LN(Underlying/$H16)+(RiskFreeRate-DividendYield+0.5*BO16^2)*TimeToExpiration)/(BO16*TimeToExpiration^0.5), 0, 1, TRUE) - 
       $H16*EXP(-RiskFreeRate*TimeToExpiration)*_xlfn.NORM.DIST(BP$2*(LN(Underlying/$H16)+(RiskFreeRate-DividendYield-0.5*BO16^2)*TimeToExpiration)/(BO16*TimeToExpiration^0.5), 0, 1, TRUE)
)</f>
        <v>1.655895135</v>
      </c>
      <c r="BQ16" s="40">
        <f t="shared" si="33"/>
        <v>0.3846611328</v>
      </c>
      <c r="BR16" s="40">
        <f t="shared" si="34"/>
        <v>0.3875898438</v>
      </c>
      <c r="BS16" s="7">
        <f>BS$2*(Underlying*EXP(-DividendYield*TimeToExpiration)*_xlfn.NORM.DIST(BS$2*(LN(Underlying/$H16)+(RiskFreeRate-DividendYield+0.5*BQ16^2)*TimeToExpiration)/(BQ16*TimeToExpiration^0.5), 0, 1, TRUE) - 
       $H16*EXP(-RiskFreeRate*TimeToExpiration)*_xlfn.NORM.DIST(BS$2*(LN(Underlying/$H16)+(RiskFreeRate-DividendYield-0.5*BQ16^2)*TimeToExpiration)/(BQ16*TimeToExpiration^0.5), 0, 1, TRUE)
)</f>
        <v>1.655895135</v>
      </c>
      <c r="BT16" s="7">
        <f>BT$2*(Underlying*EXP(-DividendYield*TimeToExpiration)*_xlfn.NORM.DIST(BT$2*(LN(Underlying/$H16)+(RiskFreeRate-DividendYield+0.5*BR16^2)*TimeToExpiration)/(BR16*TimeToExpiration^0.5), 0, 1, TRUE) - 
       $H16*EXP(-RiskFreeRate*TimeToExpiration)*_xlfn.NORM.DIST(BT$2*(LN(Underlying/$H16)+(RiskFreeRate-DividendYield-0.5*BR16^2)*TimeToExpiration)/(BR16*TimeToExpiration^0.5), 0, 1, TRUE)
)</f>
        <v>1.69089293</v>
      </c>
      <c r="BU16" s="40">
        <f t="shared" si="35"/>
        <v>0.3861254883</v>
      </c>
      <c r="BV16" s="8">
        <f>BV$2*(Underlying*EXP(-DividendYield*TimeToExpiration)*_xlfn.NORM.DIST(BV$2*(LN(Underlying/$H16)+(RiskFreeRate-DividendYield+0.5*BU16^2)*TimeToExpiration)/(BU16*TimeToExpiration^0.5), 0, 1, TRUE) - 
       $H16*EXP(-RiskFreeRate*TimeToExpiration)*_xlfn.NORM.DIST(BV$2*(LN(Underlying/$H16)+(RiskFreeRate-DividendYield-0.5*BU16^2)*TimeToExpiration)/(BU16*TimeToExpiration^0.5), 0, 1, TRUE)
)</f>
        <v>1.673364533</v>
      </c>
      <c r="BW16" s="40">
        <f t="shared" si="36"/>
        <v>0.3846611328</v>
      </c>
      <c r="BX16" s="40">
        <f t="shared" si="37"/>
        <v>0.3861254883</v>
      </c>
      <c r="BY16" s="7">
        <f>BY$2*(Underlying*EXP(-DividendYield*TimeToExpiration)*_xlfn.NORM.DIST(BY$2*(LN(Underlying/$H16)+(RiskFreeRate-DividendYield+0.5*BW16^2)*TimeToExpiration)/(BW16*TimeToExpiration^0.5), 0, 1, TRUE) - 
       $H16*EXP(-RiskFreeRate*TimeToExpiration)*_xlfn.NORM.DIST(BY$2*(LN(Underlying/$H16)+(RiskFreeRate-DividendYield-0.5*BW16^2)*TimeToExpiration)/(BW16*TimeToExpiration^0.5), 0, 1, TRUE)
)</f>
        <v>1.655895135</v>
      </c>
      <c r="BZ16" s="7">
        <f>BZ$2*(Underlying*EXP(-DividendYield*TimeToExpiration)*_xlfn.NORM.DIST(BZ$2*(LN(Underlying/$H16)+(RiskFreeRate-DividendYield+0.5*BX16^2)*TimeToExpiration)/(BX16*TimeToExpiration^0.5), 0, 1, TRUE) - 
       $H16*EXP(-RiskFreeRate*TimeToExpiration)*_xlfn.NORM.DIST(BZ$2*(LN(Underlying/$H16)+(RiskFreeRate-DividendYield-0.5*BX16^2)*TimeToExpiration)/(BX16*TimeToExpiration^0.5), 0, 1, TRUE)
)</f>
        <v>1.673364533</v>
      </c>
      <c r="CA16" s="40">
        <f t="shared" si="38"/>
        <v>0.3853933105</v>
      </c>
      <c r="CB16" s="8">
        <f>CB$2*(Underlying*EXP(-DividendYield*TimeToExpiration)*_xlfn.NORM.DIST(CB$2*(LN(Underlying/$H16)+(RiskFreeRate-DividendYield+0.5*CA16^2)*TimeToExpiration)/(CA16*TimeToExpiration^0.5), 0, 1, TRUE) - 
       $H16*EXP(-RiskFreeRate*TimeToExpiration)*_xlfn.NORM.DIST(CB$2*(LN(Underlying/$H16)+(RiskFreeRate-DividendYield-0.5*CA16^2)*TimeToExpiration)/(CA16*TimeToExpiration^0.5), 0, 1, TRUE)
)</f>
        <v>1.66462243</v>
      </c>
      <c r="CC16" s="40">
        <f t="shared" si="39"/>
        <v>0.3853933105</v>
      </c>
      <c r="CD16" s="40">
        <f t="shared" si="40"/>
        <v>0.3861254883</v>
      </c>
      <c r="CE16" s="7">
        <f>CE$2*(Underlying*EXP(-DividendYield*TimeToExpiration)*_xlfn.NORM.DIST(CE$2*(LN(Underlying/$H16)+(RiskFreeRate-DividendYield+0.5*CC16^2)*TimeToExpiration)/(CC16*TimeToExpiration^0.5), 0, 1, TRUE) - 
       $H16*EXP(-RiskFreeRate*TimeToExpiration)*_xlfn.NORM.DIST(CE$2*(LN(Underlying/$H16)+(RiskFreeRate-DividendYield-0.5*CC16^2)*TimeToExpiration)/(CC16*TimeToExpiration^0.5), 0, 1, TRUE)
)</f>
        <v>1.66462243</v>
      </c>
      <c r="CF16" s="7">
        <f>CF$2*(Underlying*EXP(-DividendYield*TimeToExpiration)*_xlfn.NORM.DIST(CF$2*(LN(Underlying/$H16)+(RiskFreeRate-DividendYield+0.5*CD16^2)*TimeToExpiration)/(CD16*TimeToExpiration^0.5), 0, 1, TRUE) - 
       $H16*EXP(-RiskFreeRate*TimeToExpiration)*_xlfn.NORM.DIST(CF$2*(LN(Underlying/$H16)+(RiskFreeRate-DividendYield-0.5*CD16^2)*TimeToExpiration)/(CD16*TimeToExpiration^0.5), 0, 1, TRUE)
)</f>
        <v>1.673364533</v>
      </c>
      <c r="CG16" s="40">
        <f t="shared" si="41"/>
        <v>0.3857593994</v>
      </c>
      <c r="CH16" s="8">
        <f>CH$2*(Underlying*EXP(-DividendYield*TimeToExpiration)*_xlfn.NORM.DIST(CH$2*(LN(Underlying/$H16)+(RiskFreeRate-DividendYield+0.5*CG16^2)*TimeToExpiration)/(CG16*TimeToExpiration^0.5), 0, 1, TRUE) - 
       $H16*EXP(-RiskFreeRate*TimeToExpiration)*_xlfn.NORM.DIST(CH$2*(LN(Underlying/$H16)+(RiskFreeRate-DividendYield-0.5*CG16^2)*TimeToExpiration)/(CG16*TimeToExpiration^0.5), 0, 1, TRUE)
)</f>
        <v>1.668991634</v>
      </c>
      <c r="CI16" s="40">
        <f t="shared" si="42"/>
        <v>0.3853933105</v>
      </c>
      <c r="CJ16" s="40">
        <f t="shared" si="43"/>
        <v>0.3857593994</v>
      </c>
      <c r="CK16" s="7">
        <f>CK$2*(Underlying*EXP(-DividendYield*TimeToExpiration)*_xlfn.NORM.DIST(CK$2*(LN(Underlying/$H16)+(RiskFreeRate-DividendYield+0.5*CI16^2)*TimeToExpiration)/(CI16*TimeToExpiration^0.5), 0, 1, TRUE) - 
       $H16*EXP(-RiskFreeRate*TimeToExpiration)*_xlfn.NORM.DIST(CK$2*(LN(Underlying/$H16)+(RiskFreeRate-DividendYield-0.5*CI16^2)*TimeToExpiration)/(CI16*TimeToExpiration^0.5), 0, 1, TRUE)
)</f>
        <v>1.66462243</v>
      </c>
      <c r="CL16" s="7">
        <f>CL$2*(Underlying*EXP(-DividendYield*TimeToExpiration)*_xlfn.NORM.DIST(CL$2*(LN(Underlying/$H16)+(RiskFreeRate-DividendYield+0.5*CJ16^2)*TimeToExpiration)/(CJ16*TimeToExpiration^0.5), 0, 1, TRUE) - 
       $H16*EXP(-RiskFreeRate*TimeToExpiration)*_xlfn.NORM.DIST(CL$2*(LN(Underlying/$H16)+(RiskFreeRate-DividendYield-0.5*CJ16^2)*TimeToExpiration)/(CJ16*TimeToExpiration^0.5), 0, 1, TRUE)
)</f>
        <v>1.668991634</v>
      </c>
      <c r="CM16" s="40">
        <f t="shared" si="44"/>
        <v>0.385576355</v>
      </c>
      <c r="CN16" s="8">
        <f>CN$2*(Underlying*EXP(-DividendYield*TimeToExpiration)*_xlfn.NORM.DIST(CN$2*(LN(Underlying/$H16)+(RiskFreeRate-DividendYield+0.5*CM16^2)*TimeToExpiration)/(CM16*TimeToExpiration^0.5), 0, 1, TRUE) - 
       $H16*EXP(-RiskFreeRate*TimeToExpiration)*_xlfn.NORM.DIST(CN$2*(LN(Underlying/$H16)+(RiskFreeRate-DividendYield-0.5*CM16^2)*TimeToExpiration)/(CM16*TimeToExpiration^0.5), 0, 1, TRUE)
)</f>
        <v>1.666806569</v>
      </c>
      <c r="CO16" s="40">
        <f t="shared" si="45"/>
        <v>0.3853933105</v>
      </c>
      <c r="CP16" s="40">
        <f t="shared" si="46"/>
        <v>0.385576355</v>
      </c>
      <c r="CQ16" s="7">
        <f>CQ$2*(Underlying*EXP(-DividendYield*TimeToExpiration)*_xlfn.NORM.DIST(CQ$2*(LN(Underlying/$H16)+(RiskFreeRate-DividendYield+0.5*CO16^2)*TimeToExpiration)/(CO16*TimeToExpiration^0.5), 0, 1, TRUE) - 
       $H16*EXP(-RiskFreeRate*TimeToExpiration)*_xlfn.NORM.DIST(CQ$2*(LN(Underlying/$H16)+(RiskFreeRate-DividendYield-0.5*CO16^2)*TimeToExpiration)/(CO16*TimeToExpiration^0.5), 0, 1, TRUE)
)</f>
        <v>1.66462243</v>
      </c>
      <c r="CR16" s="7">
        <f>CR$2*(Underlying*EXP(-DividendYield*TimeToExpiration)*_xlfn.NORM.DIST(CR$2*(LN(Underlying/$H16)+(RiskFreeRate-DividendYield+0.5*CP16^2)*TimeToExpiration)/(CP16*TimeToExpiration^0.5), 0, 1, TRUE) - 
       $H16*EXP(-RiskFreeRate*TimeToExpiration)*_xlfn.NORM.DIST(CR$2*(LN(Underlying/$H16)+(RiskFreeRate-DividendYield-0.5*CP16^2)*TimeToExpiration)/(CP16*TimeToExpiration^0.5), 0, 1, TRUE)
)</f>
        <v>1.666806569</v>
      </c>
      <c r="CS16" s="40">
        <f t="shared" si="47"/>
        <v>0.3854848328</v>
      </c>
      <c r="CT16" s="8">
        <f>CT$2*(Underlying*EXP(-DividendYield*TimeToExpiration)*_xlfn.NORM.DIST(CT$2*(LN(Underlying/$H16)+(RiskFreeRate-DividendYield+0.5*CS16^2)*TimeToExpiration)/(CS16*TimeToExpiration^0.5), 0, 1, TRUE) - 
       $H16*EXP(-RiskFreeRate*TimeToExpiration)*_xlfn.NORM.DIST(CT$2*(LN(Underlying/$H16)+(RiskFreeRate-DividendYield-0.5*CS16^2)*TimeToExpiration)/(CS16*TimeToExpiration^0.5), 0, 1, TRUE)
)</f>
        <v>1.665714384</v>
      </c>
      <c r="CU16" s="40">
        <f t="shared" si="48"/>
        <v>0.3853933105</v>
      </c>
      <c r="CV16" s="40">
        <f t="shared" si="49"/>
        <v>0.3854848328</v>
      </c>
      <c r="CW16" s="7">
        <f>CW$2*(Underlying*EXP(-DividendYield*TimeToExpiration)*_xlfn.NORM.DIST(CW$2*(LN(Underlying/$H16)+(RiskFreeRate-DividendYield+0.5*CU16^2)*TimeToExpiration)/(CU16*TimeToExpiration^0.5), 0, 1, TRUE) - 
       $H16*EXP(-RiskFreeRate*TimeToExpiration)*_xlfn.NORM.DIST(CW$2*(LN(Underlying/$H16)+(RiskFreeRate-DividendYield-0.5*CU16^2)*TimeToExpiration)/(CU16*TimeToExpiration^0.5), 0, 1, TRUE)
)</f>
        <v>1.66462243</v>
      </c>
      <c r="CX16" s="7">
        <f>CX$2*(Underlying*EXP(-DividendYield*TimeToExpiration)*_xlfn.NORM.DIST(CX$2*(LN(Underlying/$H16)+(RiskFreeRate-DividendYield+0.5*CV16^2)*TimeToExpiration)/(CV16*TimeToExpiration^0.5), 0, 1, TRUE) - 
       $H16*EXP(-RiskFreeRate*TimeToExpiration)*_xlfn.NORM.DIST(CX$2*(LN(Underlying/$H16)+(RiskFreeRate-DividendYield-0.5*CV16^2)*TimeToExpiration)/(CV16*TimeToExpiration^0.5), 0, 1, TRUE)
)</f>
        <v>1.665714384</v>
      </c>
      <c r="CY16" s="40">
        <f t="shared" si="50"/>
        <v>0.3854390717</v>
      </c>
      <c r="CZ16" s="8">
        <f>CZ$2*(Underlying*EXP(-DividendYield*TimeToExpiration)*_xlfn.NORM.DIST(CZ$2*(LN(Underlying/$H16)+(RiskFreeRate-DividendYield+0.5*CY16^2)*TimeToExpiration)/(CY16*TimeToExpiration^0.5), 0, 1, TRUE) - 
       $H16*EXP(-RiskFreeRate*TimeToExpiration)*_xlfn.NORM.DIST(CZ$2*(LN(Underlying/$H16)+(RiskFreeRate-DividendYield-0.5*CY16^2)*TimeToExpiration)/(CY16*TimeToExpiration^0.5), 0, 1, TRUE)
)</f>
        <v>1.665168378</v>
      </c>
      <c r="DA16" s="40">
        <f t="shared" si="51"/>
        <v>0.3853933105</v>
      </c>
      <c r="DB16" s="40">
        <f t="shared" si="52"/>
        <v>0.3854390717</v>
      </c>
      <c r="DC16" s="7">
        <f>DC$2*(Underlying*EXP(-DividendYield*TimeToExpiration)*_xlfn.NORM.DIST(DC$2*(LN(Underlying/$H16)+(RiskFreeRate-DividendYield+0.5*DA16^2)*TimeToExpiration)/(DA16*TimeToExpiration^0.5), 0, 1, TRUE) - 
       $H16*EXP(-RiskFreeRate*TimeToExpiration)*_xlfn.NORM.DIST(DC$2*(LN(Underlying/$H16)+(RiskFreeRate-DividendYield-0.5*DA16^2)*TimeToExpiration)/(DA16*TimeToExpiration^0.5), 0, 1, TRUE)
)</f>
        <v>1.66462243</v>
      </c>
      <c r="DD16" s="7">
        <f>DD$2*(Underlying*EXP(-DividendYield*TimeToExpiration)*_xlfn.NORM.DIST(DD$2*(LN(Underlying/$H16)+(RiskFreeRate-DividendYield+0.5*DB16^2)*TimeToExpiration)/(DB16*TimeToExpiration^0.5), 0, 1, TRUE) - 
       $H16*EXP(-RiskFreeRate*TimeToExpiration)*_xlfn.NORM.DIST(DD$2*(LN(Underlying/$H16)+(RiskFreeRate-DividendYield-0.5*DB16^2)*TimeToExpiration)/(DB16*TimeToExpiration^0.5), 0, 1, TRUE)
)</f>
        <v>1.665168378</v>
      </c>
      <c r="DE16" s="40">
        <f t="shared" si="53"/>
        <v>0.3854161911</v>
      </c>
      <c r="DF16" s="8">
        <f>DF$2*(Underlying*EXP(-DividendYield*TimeToExpiration)*_xlfn.NORM.DIST(DF$2*(LN(Underlying/$H16)+(RiskFreeRate-DividendYield+0.5*DE16^2)*TimeToExpiration)/(DE16*TimeToExpiration^0.5), 0, 1, TRUE) - 
       $H16*EXP(-RiskFreeRate*TimeToExpiration)*_xlfn.NORM.DIST(DF$2*(LN(Underlying/$H16)+(RiskFreeRate-DividendYield-0.5*DE16^2)*TimeToExpiration)/(DE16*TimeToExpiration^0.5), 0, 1, TRUE)
)</f>
        <v>1.664895396</v>
      </c>
    </row>
    <row r="17">
      <c r="A17" s="20">
        <f>'Option Mkt Data'!A17</f>
        <v>325</v>
      </c>
      <c r="B17" s="35">
        <f t="shared" ref="B17:C17" si="64">DE17</f>
        <v>0.3797418137</v>
      </c>
      <c r="C17" s="7">
        <f t="shared" si="64"/>
        <v>2.084767004</v>
      </c>
      <c r="D17" s="7">
        <f t="shared" si="3"/>
        <v>0.0002330337538</v>
      </c>
      <c r="E17" s="9">
        <f t="shared" si="4"/>
        <v>0.0001117667864</v>
      </c>
      <c r="F17" s="36">
        <f>D17/'Option Mkt Data'!M17</f>
        <v>0.007767614175</v>
      </c>
      <c r="G17" s="5">
        <f>'Option Mkt Data'!K17</f>
        <v>2.085000038</v>
      </c>
      <c r="H17" s="33">
        <f>'Option Mkt Data'!A17</f>
        <v>325</v>
      </c>
      <c r="I17" s="37">
        <f>MinSolverVola</f>
        <v>0.001</v>
      </c>
      <c r="J17" s="38">
        <f>MaxSolverVola</f>
        <v>3</v>
      </c>
      <c r="K17" s="39">
        <f>K$2*(Underlying*EXP(-DividendYield*TimeToExpiration)*_xlfn.NORM.DIST(K$2*(LN(Underlying/$H17)+(RiskFreeRate-DividendYield+0.5*I17^2)*TimeToExpiration)/(I17*TimeToExpiration^0.5), 0, 1, TRUE) - 
       $H17*EXP(-RiskFreeRate*TimeToExpiration)*_xlfn.NORM.DIST(K$2*(LN(Underlying/$H17)+(RiskFreeRate-DividendYield-0.5*I17^2)*TimeToExpiration)/(I17*TimeToExpiration^0.5), 0, 1, TRUE)
)</f>
        <v>0</v>
      </c>
      <c r="L17" s="7">
        <f>L$2*(Underlying*EXP(-DividendYield*TimeToExpiration)*_xlfn.NORM.DIST(L$2*(LN(Underlying/$H17)+(RiskFreeRate-DividendYield+0.5*J17^2)*TimeToExpiration)/(J17*TimeToExpiration^0.5), 0, 1, TRUE) - 
       $H17*EXP(-RiskFreeRate*TimeToExpiration)*_xlfn.NORM.DIST(L$2*(LN(Underlying/$H17)+(RiskFreeRate-DividendYield-0.5*J17^2)*TimeToExpiration)/(J17*TimeToExpiration^0.5), 0, 1, TRUE)
)</f>
        <v>48.79478532</v>
      </c>
      <c r="M17" s="40">
        <f t="shared" si="5"/>
        <v>1.5005</v>
      </c>
      <c r="N17" s="8">
        <f>N$2*(Underlying*EXP(-DividendYield*TimeToExpiration)*_xlfn.NORM.DIST(N$2*(LN(Underlying/$H17)+(RiskFreeRate-DividendYield+0.5*M17^2)*TimeToExpiration)/(M17*TimeToExpiration^0.5), 0, 1, TRUE) - 
       $H17*EXP(-RiskFreeRate*TimeToExpiration)*_xlfn.NORM.DIST(N$2*(LN(Underlying/$H17)+(RiskFreeRate-DividendYield-0.5*M17^2)*TimeToExpiration)/(M17*TimeToExpiration^0.5), 0, 1, TRUE)
)</f>
        <v>21.37661799</v>
      </c>
      <c r="O17" s="41">
        <f t="shared" si="6"/>
        <v>0.001</v>
      </c>
      <c r="P17" s="40">
        <f t="shared" si="7"/>
        <v>1.5005</v>
      </c>
      <c r="Q17" s="7">
        <f>Q$2*(Underlying*EXP(-DividendYield*TimeToExpiration)*_xlfn.NORM.DIST(Q$2*(LN(Underlying/$H17)+(RiskFreeRate-DividendYield+0.5*O17^2)*TimeToExpiration)/(O17*TimeToExpiration^0.5), 0, 1, TRUE) - 
       $H17*EXP(-RiskFreeRate*TimeToExpiration)*_xlfn.NORM.DIST(Q$2*(LN(Underlying/$H17)+(RiskFreeRate-DividendYield-0.5*O17^2)*TimeToExpiration)/(O17*TimeToExpiration^0.5), 0, 1, TRUE)
)</f>
        <v>0</v>
      </c>
      <c r="R17" s="7">
        <f>R$2*(Underlying*EXP(-DividendYield*TimeToExpiration)*_xlfn.NORM.DIST(R$2*(LN(Underlying/$H17)+(RiskFreeRate-DividendYield+0.5*P17^2)*TimeToExpiration)/(P17*TimeToExpiration^0.5), 0, 1, TRUE) - 
       $H17*EXP(-RiskFreeRate*TimeToExpiration)*_xlfn.NORM.DIST(R$2*(LN(Underlying/$H17)+(RiskFreeRate-DividendYield-0.5*P17^2)*TimeToExpiration)/(P17*TimeToExpiration^0.5), 0, 1, TRUE)
)</f>
        <v>21.37661799</v>
      </c>
      <c r="S17" s="40">
        <f t="shared" si="8"/>
        <v>0.75075</v>
      </c>
      <c r="T17" s="8">
        <f>T$2*(Underlying*EXP(-DividendYield*TimeToExpiration)*_xlfn.NORM.DIST(T$2*(LN(Underlying/$H17)+(RiskFreeRate-DividendYield+0.5*S17^2)*TimeToExpiration)/(S17*TimeToExpiration^0.5), 0, 1, TRUE) - 
       $H17*EXP(-RiskFreeRate*TimeToExpiration)*_xlfn.NORM.DIST(T$2*(LN(Underlying/$H17)+(RiskFreeRate-DividendYield-0.5*S17^2)*TimeToExpiration)/(S17*TimeToExpiration^0.5), 0, 1, TRUE)
)</f>
        <v>7.964900871</v>
      </c>
      <c r="U17" s="41">
        <f t="shared" si="9"/>
        <v>0.001</v>
      </c>
      <c r="V17" s="40">
        <f t="shared" si="10"/>
        <v>0.75075</v>
      </c>
      <c r="W17" s="7">
        <f>W$2*(Underlying*EXP(-DividendYield*TimeToExpiration)*_xlfn.NORM.DIST(W$2*(LN(Underlying/$H17)+(RiskFreeRate-DividendYield+0.5*U17^2)*TimeToExpiration)/(U17*TimeToExpiration^0.5), 0, 1, TRUE) - 
       $H17*EXP(-RiskFreeRate*TimeToExpiration)*_xlfn.NORM.DIST(W$2*(LN(Underlying/$H17)+(RiskFreeRate-DividendYield-0.5*U17^2)*TimeToExpiration)/(U17*TimeToExpiration^0.5), 0, 1, TRUE)
)</f>
        <v>0</v>
      </c>
      <c r="X17" s="7">
        <f>X$2*(Underlying*EXP(-DividendYield*TimeToExpiration)*_xlfn.NORM.DIST(X$2*(LN(Underlying/$H17)+(RiskFreeRate-DividendYield+0.5*V17^2)*TimeToExpiration)/(V17*TimeToExpiration^0.5), 0, 1, TRUE) - 
       $H17*EXP(-RiskFreeRate*TimeToExpiration)*_xlfn.NORM.DIST(X$2*(LN(Underlying/$H17)+(RiskFreeRate-DividendYield-0.5*V17^2)*TimeToExpiration)/(V17*TimeToExpiration^0.5), 0, 1, TRUE)
)</f>
        <v>7.964900871</v>
      </c>
      <c r="Y17" s="40">
        <f t="shared" si="11"/>
        <v>0.375875</v>
      </c>
      <c r="Z17" s="8">
        <f>Z$2*(Underlying*EXP(-DividendYield*TimeToExpiration)*_xlfn.NORM.DIST(Z$2*(LN(Underlying/$H17)+(RiskFreeRate-DividendYield+0.5*Y17^2)*TimeToExpiration)/(Y17*TimeToExpiration^0.5), 0, 1, TRUE) - 
       $H17*EXP(-RiskFreeRate*TimeToExpiration)*_xlfn.NORM.DIST(Z$2*(LN(Underlying/$H17)+(RiskFreeRate-DividendYield-0.5*Y17^2)*TimeToExpiration)/(Y17*TimeToExpiration^0.5), 0, 1, TRUE)
)</f>
        <v>2.033032963</v>
      </c>
      <c r="AA17" s="40">
        <f t="shared" si="12"/>
        <v>0.375875</v>
      </c>
      <c r="AB17" s="40">
        <f t="shared" si="13"/>
        <v>0.75075</v>
      </c>
      <c r="AC17" s="7">
        <f>AC$2*(Underlying*EXP(-DividendYield*TimeToExpiration)*_xlfn.NORM.DIST(AC$2*(LN(Underlying/$H17)+(RiskFreeRate-DividendYield+0.5*AA17^2)*TimeToExpiration)/(AA17*TimeToExpiration^0.5), 0, 1, TRUE) - 
       $H17*EXP(-RiskFreeRate*TimeToExpiration)*_xlfn.NORM.DIST(AC$2*(LN(Underlying/$H17)+(RiskFreeRate-DividendYield-0.5*AA17^2)*TimeToExpiration)/(AA17*TimeToExpiration^0.5), 0, 1, TRUE)
)</f>
        <v>2.033032963</v>
      </c>
      <c r="AD17" s="7">
        <f>AD$2*(Underlying*EXP(-DividendYield*TimeToExpiration)*_xlfn.NORM.DIST(AD$2*(LN(Underlying/$H17)+(RiskFreeRate-DividendYield+0.5*AB17^2)*TimeToExpiration)/(AB17*TimeToExpiration^0.5), 0, 1, TRUE) - 
       $H17*EXP(-RiskFreeRate*TimeToExpiration)*_xlfn.NORM.DIST(AD$2*(LN(Underlying/$H17)+(RiskFreeRate-DividendYield-0.5*AB17^2)*TimeToExpiration)/(AB17*TimeToExpiration^0.5), 0, 1, TRUE)
)</f>
        <v>7.964900871</v>
      </c>
      <c r="AE17" s="40">
        <f t="shared" si="14"/>
        <v>0.5633125</v>
      </c>
      <c r="AF17" s="8">
        <f>AF$2*(Underlying*EXP(-DividendYield*TimeToExpiration)*_xlfn.NORM.DIST(AF$2*(LN(Underlying/$H17)+(RiskFreeRate-DividendYield+0.5*AE17^2)*TimeToExpiration)/(AE17*TimeToExpiration^0.5), 0, 1, TRUE) - 
       $H17*EXP(-RiskFreeRate*TimeToExpiration)*_xlfn.NORM.DIST(AF$2*(LN(Underlying/$H17)+(RiskFreeRate-DividendYield-0.5*AE17^2)*TimeToExpiration)/(AE17*TimeToExpiration^0.5), 0, 1, TRUE)
)</f>
        <v>4.834107339</v>
      </c>
      <c r="AG17" s="40">
        <f t="shared" si="15"/>
        <v>0.375875</v>
      </c>
      <c r="AH17" s="40">
        <f t="shared" si="16"/>
        <v>0.5633125</v>
      </c>
      <c r="AI17" s="7">
        <f>AI$2*(Underlying*EXP(-DividendYield*TimeToExpiration)*_xlfn.NORM.DIST(AI$2*(LN(Underlying/$H17)+(RiskFreeRate-DividendYield+0.5*AG17^2)*TimeToExpiration)/(AG17*TimeToExpiration^0.5), 0, 1, TRUE) - 
       $H17*EXP(-RiskFreeRate*TimeToExpiration)*_xlfn.NORM.DIST(AI$2*(LN(Underlying/$H17)+(RiskFreeRate-DividendYield-0.5*AG17^2)*TimeToExpiration)/(AG17*TimeToExpiration^0.5), 0, 1, TRUE)
)</f>
        <v>2.033032963</v>
      </c>
      <c r="AJ17" s="7">
        <f>AJ$2*(Underlying*EXP(-DividendYield*TimeToExpiration)*_xlfn.NORM.DIST(AJ$2*(LN(Underlying/$H17)+(RiskFreeRate-DividendYield+0.5*AH17^2)*TimeToExpiration)/(AH17*TimeToExpiration^0.5), 0, 1, TRUE) - 
       $H17*EXP(-RiskFreeRate*TimeToExpiration)*_xlfn.NORM.DIST(AJ$2*(LN(Underlying/$H17)+(RiskFreeRate-DividendYield-0.5*AH17^2)*TimeToExpiration)/(AH17*TimeToExpiration^0.5), 0, 1, TRUE)
)</f>
        <v>4.834107339</v>
      </c>
      <c r="AK17" s="40">
        <f t="shared" si="17"/>
        <v>0.46959375</v>
      </c>
      <c r="AL17" s="8">
        <f>AL$2*(Underlying*EXP(-DividendYield*TimeToExpiration)*_xlfn.NORM.DIST(AL$2*(LN(Underlying/$H17)+(RiskFreeRate-DividendYield+0.5*AK17^2)*TimeToExpiration)/(AK17*TimeToExpiration^0.5), 0, 1, TRUE) - 
       $H17*EXP(-RiskFreeRate*TimeToExpiration)*_xlfn.NORM.DIST(AL$2*(LN(Underlying/$H17)+(RiskFreeRate-DividendYield-0.5*AK17^2)*TimeToExpiration)/(AK17*TimeToExpiration^0.5), 0, 1, TRUE)
)</f>
        <v>3.370791551</v>
      </c>
      <c r="AM17" s="40">
        <f t="shared" si="18"/>
        <v>0.375875</v>
      </c>
      <c r="AN17" s="40">
        <f t="shared" si="19"/>
        <v>0.46959375</v>
      </c>
      <c r="AO17" s="7">
        <f>AO$2*(Underlying*EXP(-DividendYield*TimeToExpiration)*_xlfn.NORM.DIST(AO$2*(LN(Underlying/$H17)+(RiskFreeRate-DividendYield+0.5*AM17^2)*TimeToExpiration)/(AM17*TimeToExpiration^0.5), 0, 1, TRUE) - 
       $H17*EXP(-RiskFreeRate*TimeToExpiration)*_xlfn.NORM.DIST(AO$2*(LN(Underlying/$H17)+(RiskFreeRate-DividendYield-0.5*AM17^2)*TimeToExpiration)/(AM17*TimeToExpiration^0.5), 0, 1, TRUE)
)</f>
        <v>2.033032963</v>
      </c>
      <c r="AP17" s="7">
        <f>AP$2*(Underlying*EXP(-DividendYield*TimeToExpiration)*_xlfn.NORM.DIST(AP$2*(LN(Underlying/$H17)+(RiskFreeRate-DividendYield+0.5*AN17^2)*TimeToExpiration)/(AN17*TimeToExpiration^0.5), 0, 1, TRUE) - 
       $H17*EXP(-RiskFreeRate*TimeToExpiration)*_xlfn.NORM.DIST(AP$2*(LN(Underlying/$H17)+(RiskFreeRate-DividendYield-0.5*AN17^2)*TimeToExpiration)/(AN17*TimeToExpiration^0.5), 0, 1, TRUE)
)</f>
        <v>3.370791551</v>
      </c>
      <c r="AQ17" s="40">
        <f t="shared" si="20"/>
        <v>0.422734375</v>
      </c>
      <c r="AR17" s="8">
        <f>AR$2*(Underlying*EXP(-DividendYield*TimeToExpiration)*_xlfn.NORM.DIST(AR$2*(LN(Underlying/$H17)+(RiskFreeRate-DividendYield+0.5*AQ17^2)*TimeToExpiration)/(AQ17*TimeToExpiration^0.5), 0, 1, TRUE) - 
       $H17*EXP(-RiskFreeRate*TimeToExpiration)*_xlfn.NORM.DIST(AR$2*(LN(Underlying/$H17)+(RiskFreeRate-DividendYield-0.5*AQ17^2)*TimeToExpiration)/(AQ17*TimeToExpiration^0.5), 0, 1, TRUE)
)</f>
        <v>2.681851364</v>
      </c>
      <c r="AS17" s="40">
        <f t="shared" si="21"/>
        <v>0.375875</v>
      </c>
      <c r="AT17" s="40">
        <f t="shared" si="22"/>
        <v>0.422734375</v>
      </c>
      <c r="AU17" s="7">
        <f>AU$2*(Underlying*EXP(-DividendYield*TimeToExpiration)*_xlfn.NORM.DIST(AU$2*(LN(Underlying/$H17)+(RiskFreeRate-DividendYield+0.5*AS17^2)*TimeToExpiration)/(AS17*TimeToExpiration^0.5), 0, 1, TRUE) - 
       $H17*EXP(-RiskFreeRate*TimeToExpiration)*_xlfn.NORM.DIST(AU$2*(LN(Underlying/$H17)+(RiskFreeRate-DividendYield-0.5*AS17^2)*TimeToExpiration)/(AS17*TimeToExpiration^0.5), 0, 1, TRUE)
)</f>
        <v>2.033032963</v>
      </c>
      <c r="AV17" s="7">
        <f>AV$2*(Underlying*EXP(-DividendYield*TimeToExpiration)*_xlfn.NORM.DIST(AV$2*(LN(Underlying/$H17)+(RiskFreeRate-DividendYield+0.5*AT17^2)*TimeToExpiration)/(AT17*TimeToExpiration^0.5), 0, 1, TRUE) - 
       $H17*EXP(-RiskFreeRate*TimeToExpiration)*_xlfn.NORM.DIST(AV$2*(LN(Underlying/$H17)+(RiskFreeRate-DividendYield-0.5*AT17^2)*TimeToExpiration)/(AT17*TimeToExpiration^0.5), 0, 1, TRUE)
)</f>
        <v>2.681851364</v>
      </c>
      <c r="AW17" s="40">
        <f t="shared" si="23"/>
        <v>0.3993046875</v>
      </c>
      <c r="AX17" s="8">
        <f>AX$2*(Underlying*EXP(-DividendYield*TimeToExpiration)*_xlfn.NORM.DIST(AX$2*(LN(Underlying/$H17)+(RiskFreeRate-DividendYield+0.5*AW17^2)*TimeToExpiration)/(AW17*TimeToExpiration^0.5), 0, 1, TRUE) - 
       $H17*EXP(-RiskFreeRate*TimeToExpiration)*_xlfn.NORM.DIST(AX$2*(LN(Underlying/$H17)+(RiskFreeRate-DividendYield-0.5*AW17^2)*TimeToExpiration)/(AW17*TimeToExpiration^0.5), 0, 1, TRUE)
)</f>
        <v>2.351711307</v>
      </c>
      <c r="AY17" s="40">
        <f t="shared" si="24"/>
        <v>0.375875</v>
      </c>
      <c r="AZ17" s="40">
        <f t="shared" si="25"/>
        <v>0.3993046875</v>
      </c>
      <c r="BA17" s="7">
        <f>BA$2*(Underlying*EXP(-DividendYield*TimeToExpiration)*_xlfn.NORM.DIST(BA$2*(LN(Underlying/$H17)+(RiskFreeRate-DividendYield+0.5*AY17^2)*TimeToExpiration)/(AY17*TimeToExpiration^0.5), 0, 1, TRUE) - 
       $H17*EXP(-RiskFreeRate*TimeToExpiration)*_xlfn.NORM.DIST(BA$2*(LN(Underlying/$H17)+(RiskFreeRate-DividendYield-0.5*AY17^2)*TimeToExpiration)/(AY17*TimeToExpiration^0.5), 0, 1, TRUE)
)</f>
        <v>2.033032963</v>
      </c>
      <c r="BB17" s="7">
        <f>BB$2*(Underlying*EXP(-DividendYield*TimeToExpiration)*_xlfn.NORM.DIST(BB$2*(LN(Underlying/$H17)+(RiskFreeRate-DividendYield+0.5*AZ17^2)*TimeToExpiration)/(AZ17*TimeToExpiration^0.5), 0, 1, TRUE) - 
       $H17*EXP(-RiskFreeRate*TimeToExpiration)*_xlfn.NORM.DIST(BB$2*(LN(Underlying/$H17)+(RiskFreeRate-DividendYield-0.5*AZ17^2)*TimeToExpiration)/(AZ17*TimeToExpiration^0.5), 0, 1, TRUE)
)</f>
        <v>2.351711307</v>
      </c>
      <c r="BC17" s="40">
        <f t="shared" si="26"/>
        <v>0.3875898438</v>
      </c>
      <c r="BD17" s="8">
        <f>BD$2*(Underlying*EXP(-DividendYield*TimeToExpiration)*_xlfn.NORM.DIST(BD$2*(LN(Underlying/$H17)+(RiskFreeRate-DividendYield+0.5*BC17^2)*TimeToExpiration)/(BC17*TimeToExpiration^0.5), 0, 1, TRUE) - 
       $H17*EXP(-RiskFreeRate*TimeToExpiration)*_xlfn.NORM.DIST(BD$2*(LN(Underlying/$H17)+(RiskFreeRate-DividendYield-0.5*BC17^2)*TimeToExpiration)/(BC17*TimeToExpiration^0.5), 0, 1, TRUE)
)</f>
        <v>2.190836202</v>
      </c>
      <c r="BE17" s="40">
        <f t="shared" si="27"/>
        <v>0.375875</v>
      </c>
      <c r="BF17" s="40">
        <f t="shared" si="28"/>
        <v>0.3875898438</v>
      </c>
      <c r="BG17" s="7">
        <f>BG$2*(Underlying*EXP(-DividendYield*TimeToExpiration)*_xlfn.NORM.DIST(BG$2*(LN(Underlying/$H17)+(RiskFreeRate-DividendYield+0.5*BE17^2)*TimeToExpiration)/(BE17*TimeToExpiration^0.5), 0, 1, TRUE) - 
       $H17*EXP(-RiskFreeRate*TimeToExpiration)*_xlfn.NORM.DIST(BG$2*(LN(Underlying/$H17)+(RiskFreeRate-DividendYield-0.5*BE17^2)*TimeToExpiration)/(BE17*TimeToExpiration^0.5), 0, 1, TRUE)
)</f>
        <v>2.033032963</v>
      </c>
      <c r="BH17" s="7">
        <f>BH$2*(Underlying*EXP(-DividendYield*TimeToExpiration)*_xlfn.NORM.DIST(BH$2*(LN(Underlying/$H17)+(RiskFreeRate-DividendYield+0.5*BF17^2)*TimeToExpiration)/(BF17*TimeToExpiration^0.5), 0, 1, TRUE) - 
       $H17*EXP(-RiskFreeRate*TimeToExpiration)*_xlfn.NORM.DIST(BH$2*(LN(Underlying/$H17)+(RiskFreeRate-DividendYield-0.5*BF17^2)*TimeToExpiration)/(BF17*TimeToExpiration^0.5), 0, 1, TRUE)
)</f>
        <v>2.190836202</v>
      </c>
      <c r="BI17" s="40">
        <f t="shared" si="29"/>
        <v>0.3817324219</v>
      </c>
      <c r="BJ17" s="8">
        <f>BJ$2*(Underlying*EXP(-DividendYield*TimeToExpiration)*_xlfn.NORM.DIST(BJ$2*(LN(Underlying/$H17)+(RiskFreeRate-DividendYield+0.5*BI17^2)*TimeToExpiration)/(BI17*TimeToExpiration^0.5), 0, 1, TRUE) - 
       $H17*EXP(-RiskFreeRate*TimeToExpiration)*_xlfn.NORM.DIST(BJ$2*(LN(Underlying/$H17)+(RiskFreeRate-DividendYield-0.5*BI17^2)*TimeToExpiration)/(BI17*TimeToExpiration^0.5), 0, 1, TRUE)
)</f>
        <v>2.111536716</v>
      </c>
      <c r="BK17" s="40">
        <f t="shared" si="30"/>
        <v>0.375875</v>
      </c>
      <c r="BL17" s="40">
        <f t="shared" si="31"/>
        <v>0.3817324219</v>
      </c>
      <c r="BM17" s="7">
        <f>BM$2*(Underlying*EXP(-DividendYield*TimeToExpiration)*_xlfn.NORM.DIST(BM$2*(LN(Underlying/$H17)+(RiskFreeRate-DividendYield+0.5*BK17^2)*TimeToExpiration)/(BK17*TimeToExpiration^0.5), 0, 1, TRUE) - 
       $H17*EXP(-RiskFreeRate*TimeToExpiration)*_xlfn.NORM.DIST(BM$2*(LN(Underlying/$H17)+(RiskFreeRate-DividendYield-0.5*BK17^2)*TimeToExpiration)/(BK17*TimeToExpiration^0.5), 0, 1, TRUE)
)</f>
        <v>2.033032963</v>
      </c>
      <c r="BN17" s="7">
        <f>BN$2*(Underlying*EXP(-DividendYield*TimeToExpiration)*_xlfn.NORM.DIST(BN$2*(LN(Underlying/$H17)+(RiskFreeRate-DividendYield+0.5*BL17^2)*TimeToExpiration)/(BL17*TimeToExpiration^0.5), 0, 1, TRUE) - 
       $H17*EXP(-RiskFreeRate*TimeToExpiration)*_xlfn.NORM.DIST(BN$2*(LN(Underlying/$H17)+(RiskFreeRate-DividendYield-0.5*BL17^2)*TimeToExpiration)/(BL17*TimeToExpiration^0.5), 0, 1, TRUE)
)</f>
        <v>2.111536716</v>
      </c>
      <c r="BO17" s="40">
        <f t="shared" si="32"/>
        <v>0.3788037109</v>
      </c>
      <c r="BP17" s="8">
        <f>BP$2*(Underlying*EXP(-DividendYield*TimeToExpiration)*_xlfn.NORM.DIST(BP$2*(LN(Underlying/$H17)+(RiskFreeRate-DividendYield+0.5*BO17^2)*TimeToExpiration)/(BO17*TimeToExpiration^0.5), 0, 1, TRUE) - 
       $H17*EXP(-RiskFreeRate*TimeToExpiration)*_xlfn.NORM.DIST(BP$2*(LN(Underlying/$H17)+(RiskFreeRate-DividendYield-0.5*BO17^2)*TimeToExpiration)/(BO17*TimeToExpiration^0.5), 0, 1, TRUE)
)</f>
        <v>2.072183573</v>
      </c>
      <c r="BQ17" s="40">
        <f t="shared" si="33"/>
        <v>0.3788037109</v>
      </c>
      <c r="BR17" s="40">
        <f t="shared" si="34"/>
        <v>0.3817324219</v>
      </c>
      <c r="BS17" s="7">
        <f>BS$2*(Underlying*EXP(-DividendYield*TimeToExpiration)*_xlfn.NORM.DIST(BS$2*(LN(Underlying/$H17)+(RiskFreeRate-DividendYield+0.5*BQ17^2)*TimeToExpiration)/(BQ17*TimeToExpiration^0.5), 0, 1, TRUE) - 
       $H17*EXP(-RiskFreeRate*TimeToExpiration)*_xlfn.NORM.DIST(BS$2*(LN(Underlying/$H17)+(RiskFreeRate-DividendYield-0.5*BQ17^2)*TimeToExpiration)/(BQ17*TimeToExpiration^0.5), 0, 1, TRUE)
)</f>
        <v>2.072183573</v>
      </c>
      <c r="BT17" s="7">
        <f>BT$2*(Underlying*EXP(-DividendYield*TimeToExpiration)*_xlfn.NORM.DIST(BT$2*(LN(Underlying/$H17)+(RiskFreeRate-DividendYield+0.5*BR17^2)*TimeToExpiration)/(BR17*TimeToExpiration^0.5), 0, 1, TRUE) - 
       $H17*EXP(-RiskFreeRate*TimeToExpiration)*_xlfn.NORM.DIST(BT$2*(LN(Underlying/$H17)+(RiskFreeRate-DividendYield-0.5*BR17^2)*TimeToExpiration)/(BR17*TimeToExpiration^0.5), 0, 1, TRUE)
)</f>
        <v>2.111536716</v>
      </c>
      <c r="BU17" s="40">
        <f t="shared" si="35"/>
        <v>0.3802680664</v>
      </c>
      <c r="BV17" s="8">
        <f>BV$2*(Underlying*EXP(-DividendYield*TimeToExpiration)*_xlfn.NORM.DIST(BV$2*(LN(Underlying/$H17)+(RiskFreeRate-DividendYield+0.5*BU17^2)*TimeToExpiration)/(BU17*TimeToExpiration^0.5), 0, 1, TRUE) - 
       $H17*EXP(-RiskFreeRate*TimeToExpiration)*_xlfn.NORM.DIST(BV$2*(LN(Underlying/$H17)+(RiskFreeRate-DividendYield-0.5*BU17^2)*TimeToExpiration)/(BU17*TimeToExpiration^0.5), 0, 1, TRUE)
)</f>
        <v>2.091835056</v>
      </c>
      <c r="BW17" s="40">
        <f t="shared" si="36"/>
        <v>0.3788037109</v>
      </c>
      <c r="BX17" s="40">
        <f t="shared" si="37"/>
        <v>0.3802680664</v>
      </c>
      <c r="BY17" s="7">
        <f>BY$2*(Underlying*EXP(-DividendYield*TimeToExpiration)*_xlfn.NORM.DIST(BY$2*(LN(Underlying/$H17)+(RiskFreeRate-DividendYield+0.5*BW17^2)*TimeToExpiration)/(BW17*TimeToExpiration^0.5), 0, 1, TRUE) - 
       $H17*EXP(-RiskFreeRate*TimeToExpiration)*_xlfn.NORM.DIST(BY$2*(LN(Underlying/$H17)+(RiskFreeRate-DividendYield-0.5*BW17^2)*TimeToExpiration)/(BW17*TimeToExpiration^0.5), 0, 1, TRUE)
)</f>
        <v>2.072183573</v>
      </c>
      <c r="BZ17" s="7">
        <f>BZ$2*(Underlying*EXP(-DividendYield*TimeToExpiration)*_xlfn.NORM.DIST(BZ$2*(LN(Underlying/$H17)+(RiskFreeRate-DividendYield+0.5*BX17^2)*TimeToExpiration)/(BX17*TimeToExpiration^0.5), 0, 1, TRUE) - 
       $H17*EXP(-RiskFreeRate*TimeToExpiration)*_xlfn.NORM.DIST(BZ$2*(LN(Underlying/$H17)+(RiskFreeRate-DividendYield-0.5*BX17^2)*TimeToExpiration)/(BX17*TimeToExpiration^0.5), 0, 1, TRUE)
)</f>
        <v>2.091835056</v>
      </c>
      <c r="CA17" s="40">
        <f t="shared" si="38"/>
        <v>0.3795358887</v>
      </c>
      <c r="CB17" s="8">
        <f>CB$2*(Underlying*EXP(-DividendYield*TimeToExpiration)*_xlfn.NORM.DIST(CB$2*(LN(Underlying/$H17)+(RiskFreeRate-DividendYield+0.5*CA17^2)*TimeToExpiration)/(CA17*TimeToExpiration^0.5), 0, 1, TRUE) - 
       $H17*EXP(-RiskFreeRate*TimeToExpiration)*_xlfn.NORM.DIST(CB$2*(LN(Underlying/$H17)+(RiskFreeRate-DividendYield-0.5*CA17^2)*TimeToExpiration)/(CA17*TimeToExpiration^0.5), 0, 1, TRUE)
)</f>
        <v>2.082003014</v>
      </c>
      <c r="CC17" s="40">
        <f t="shared" si="39"/>
        <v>0.3795358887</v>
      </c>
      <c r="CD17" s="40">
        <f t="shared" si="40"/>
        <v>0.3802680664</v>
      </c>
      <c r="CE17" s="7">
        <f>CE$2*(Underlying*EXP(-DividendYield*TimeToExpiration)*_xlfn.NORM.DIST(CE$2*(LN(Underlying/$H17)+(RiskFreeRate-DividendYield+0.5*CC17^2)*TimeToExpiration)/(CC17*TimeToExpiration^0.5), 0, 1, TRUE) - 
       $H17*EXP(-RiskFreeRate*TimeToExpiration)*_xlfn.NORM.DIST(CE$2*(LN(Underlying/$H17)+(RiskFreeRate-DividendYield-0.5*CC17^2)*TimeToExpiration)/(CC17*TimeToExpiration^0.5), 0, 1, TRUE)
)</f>
        <v>2.082003014</v>
      </c>
      <c r="CF17" s="7">
        <f>CF$2*(Underlying*EXP(-DividendYield*TimeToExpiration)*_xlfn.NORM.DIST(CF$2*(LN(Underlying/$H17)+(RiskFreeRate-DividendYield+0.5*CD17^2)*TimeToExpiration)/(CD17*TimeToExpiration^0.5), 0, 1, TRUE) - 
       $H17*EXP(-RiskFreeRate*TimeToExpiration)*_xlfn.NORM.DIST(CF$2*(LN(Underlying/$H17)+(RiskFreeRate-DividendYield-0.5*CD17^2)*TimeToExpiration)/(CD17*TimeToExpiration^0.5), 0, 1, TRUE)
)</f>
        <v>2.091835056</v>
      </c>
      <c r="CG17" s="40">
        <f t="shared" si="41"/>
        <v>0.3799019775</v>
      </c>
      <c r="CH17" s="8">
        <f>CH$2*(Underlying*EXP(-DividendYield*TimeToExpiration)*_xlfn.NORM.DIST(CH$2*(LN(Underlying/$H17)+(RiskFreeRate-DividendYield+0.5*CG17^2)*TimeToExpiration)/(CG17*TimeToExpiration^0.5), 0, 1, TRUE) - 
       $H17*EXP(-RiskFreeRate*TimeToExpiration)*_xlfn.NORM.DIST(CH$2*(LN(Underlying/$H17)+(RiskFreeRate-DividendYield-0.5*CG17^2)*TimeToExpiration)/(CG17*TimeToExpiration^0.5), 0, 1, TRUE)
)</f>
        <v>2.086917463</v>
      </c>
      <c r="CI17" s="40">
        <f t="shared" si="42"/>
        <v>0.3795358887</v>
      </c>
      <c r="CJ17" s="40">
        <f t="shared" si="43"/>
        <v>0.3799019775</v>
      </c>
      <c r="CK17" s="7">
        <f>CK$2*(Underlying*EXP(-DividendYield*TimeToExpiration)*_xlfn.NORM.DIST(CK$2*(LN(Underlying/$H17)+(RiskFreeRate-DividendYield+0.5*CI17^2)*TimeToExpiration)/(CI17*TimeToExpiration^0.5), 0, 1, TRUE) - 
       $H17*EXP(-RiskFreeRate*TimeToExpiration)*_xlfn.NORM.DIST(CK$2*(LN(Underlying/$H17)+(RiskFreeRate-DividendYield-0.5*CI17^2)*TimeToExpiration)/(CI17*TimeToExpiration^0.5), 0, 1, TRUE)
)</f>
        <v>2.082003014</v>
      </c>
      <c r="CL17" s="7">
        <f>CL$2*(Underlying*EXP(-DividendYield*TimeToExpiration)*_xlfn.NORM.DIST(CL$2*(LN(Underlying/$H17)+(RiskFreeRate-DividendYield+0.5*CJ17^2)*TimeToExpiration)/(CJ17*TimeToExpiration^0.5), 0, 1, TRUE) - 
       $H17*EXP(-RiskFreeRate*TimeToExpiration)*_xlfn.NORM.DIST(CL$2*(LN(Underlying/$H17)+(RiskFreeRate-DividendYield-0.5*CJ17^2)*TimeToExpiration)/(CJ17*TimeToExpiration^0.5), 0, 1, TRUE)
)</f>
        <v>2.086917463</v>
      </c>
      <c r="CM17" s="40">
        <f t="shared" si="44"/>
        <v>0.3797189331</v>
      </c>
      <c r="CN17" s="8">
        <f>CN$2*(Underlying*EXP(-DividendYield*TimeToExpiration)*_xlfn.NORM.DIST(CN$2*(LN(Underlying/$H17)+(RiskFreeRate-DividendYield+0.5*CM17^2)*TimeToExpiration)/(CM17*TimeToExpiration^0.5), 0, 1, TRUE) - 
       $H17*EXP(-RiskFreeRate*TimeToExpiration)*_xlfn.NORM.DIST(CN$2*(LN(Underlying/$H17)+(RiskFreeRate-DividendYield-0.5*CM17^2)*TimeToExpiration)/(CM17*TimeToExpiration^0.5), 0, 1, TRUE)
)</f>
        <v>2.084459845</v>
      </c>
      <c r="CO17" s="40">
        <f t="shared" si="45"/>
        <v>0.3797189331</v>
      </c>
      <c r="CP17" s="40">
        <f t="shared" si="46"/>
        <v>0.3799019775</v>
      </c>
      <c r="CQ17" s="7">
        <f>CQ$2*(Underlying*EXP(-DividendYield*TimeToExpiration)*_xlfn.NORM.DIST(CQ$2*(LN(Underlying/$H17)+(RiskFreeRate-DividendYield+0.5*CO17^2)*TimeToExpiration)/(CO17*TimeToExpiration^0.5), 0, 1, TRUE) - 
       $H17*EXP(-RiskFreeRate*TimeToExpiration)*_xlfn.NORM.DIST(CQ$2*(LN(Underlying/$H17)+(RiskFreeRate-DividendYield-0.5*CO17^2)*TimeToExpiration)/(CO17*TimeToExpiration^0.5), 0, 1, TRUE)
)</f>
        <v>2.084459845</v>
      </c>
      <c r="CR17" s="7">
        <f>CR$2*(Underlying*EXP(-DividendYield*TimeToExpiration)*_xlfn.NORM.DIST(CR$2*(LN(Underlying/$H17)+(RiskFreeRate-DividendYield+0.5*CP17^2)*TimeToExpiration)/(CP17*TimeToExpiration^0.5), 0, 1, TRUE) - 
       $H17*EXP(-RiskFreeRate*TimeToExpiration)*_xlfn.NORM.DIST(CR$2*(LN(Underlying/$H17)+(RiskFreeRate-DividendYield-0.5*CP17^2)*TimeToExpiration)/(CP17*TimeToExpiration^0.5), 0, 1, TRUE)
)</f>
        <v>2.086917463</v>
      </c>
      <c r="CS17" s="40">
        <f t="shared" si="47"/>
        <v>0.3798104553</v>
      </c>
      <c r="CT17" s="8">
        <f>CT$2*(Underlying*EXP(-DividendYield*TimeToExpiration)*_xlfn.NORM.DIST(CT$2*(LN(Underlying/$H17)+(RiskFreeRate-DividendYield+0.5*CS17^2)*TimeToExpiration)/(CS17*TimeToExpiration^0.5), 0, 1, TRUE) - 
       $H17*EXP(-RiskFreeRate*TimeToExpiration)*_xlfn.NORM.DIST(CT$2*(LN(Underlying/$H17)+(RiskFreeRate-DividendYield-0.5*CS17^2)*TimeToExpiration)/(CS17*TimeToExpiration^0.5), 0, 1, TRUE)
)</f>
        <v>2.085688556</v>
      </c>
      <c r="CU17" s="40">
        <f t="shared" si="48"/>
        <v>0.3797189331</v>
      </c>
      <c r="CV17" s="40">
        <f t="shared" si="49"/>
        <v>0.3798104553</v>
      </c>
      <c r="CW17" s="7">
        <f>CW$2*(Underlying*EXP(-DividendYield*TimeToExpiration)*_xlfn.NORM.DIST(CW$2*(LN(Underlying/$H17)+(RiskFreeRate-DividendYield+0.5*CU17^2)*TimeToExpiration)/(CU17*TimeToExpiration^0.5), 0, 1, TRUE) - 
       $H17*EXP(-RiskFreeRate*TimeToExpiration)*_xlfn.NORM.DIST(CW$2*(LN(Underlying/$H17)+(RiskFreeRate-DividendYield-0.5*CU17^2)*TimeToExpiration)/(CU17*TimeToExpiration^0.5), 0, 1, TRUE)
)</f>
        <v>2.084459845</v>
      </c>
      <c r="CX17" s="7">
        <f>CX$2*(Underlying*EXP(-DividendYield*TimeToExpiration)*_xlfn.NORM.DIST(CX$2*(LN(Underlying/$H17)+(RiskFreeRate-DividendYield+0.5*CV17^2)*TimeToExpiration)/(CV17*TimeToExpiration^0.5), 0, 1, TRUE) - 
       $H17*EXP(-RiskFreeRate*TimeToExpiration)*_xlfn.NORM.DIST(CX$2*(LN(Underlying/$H17)+(RiskFreeRate-DividendYield-0.5*CV17^2)*TimeToExpiration)/(CV17*TimeToExpiration^0.5), 0, 1, TRUE)
)</f>
        <v>2.085688556</v>
      </c>
      <c r="CY17" s="40">
        <f t="shared" si="50"/>
        <v>0.3797646942</v>
      </c>
      <c r="CZ17" s="8">
        <f>CZ$2*(Underlying*EXP(-DividendYield*TimeToExpiration)*_xlfn.NORM.DIST(CZ$2*(LN(Underlying/$H17)+(RiskFreeRate-DividendYield+0.5*CY17^2)*TimeToExpiration)/(CY17*TimeToExpiration^0.5), 0, 1, TRUE) - 
       $H17*EXP(-RiskFreeRate*TimeToExpiration)*_xlfn.NORM.DIST(CZ$2*(LN(Underlying/$H17)+(RiskFreeRate-DividendYield-0.5*CY17^2)*TimeToExpiration)/(CY17*TimeToExpiration^0.5), 0, 1, TRUE)
)</f>
        <v>2.085074176</v>
      </c>
      <c r="DA17" s="40">
        <f t="shared" si="51"/>
        <v>0.3797189331</v>
      </c>
      <c r="DB17" s="40">
        <f t="shared" si="52"/>
        <v>0.3797646942</v>
      </c>
      <c r="DC17" s="7">
        <f>DC$2*(Underlying*EXP(-DividendYield*TimeToExpiration)*_xlfn.NORM.DIST(DC$2*(LN(Underlying/$H17)+(RiskFreeRate-DividendYield+0.5*DA17^2)*TimeToExpiration)/(DA17*TimeToExpiration^0.5), 0, 1, TRUE) - 
       $H17*EXP(-RiskFreeRate*TimeToExpiration)*_xlfn.NORM.DIST(DC$2*(LN(Underlying/$H17)+(RiskFreeRate-DividendYield-0.5*DA17^2)*TimeToExpiration)/(DA17*TimeToExpiration^0.5), 0, 1, TRUE)
)</f>
        <v>2.084459845</v>
      </c>
      <c r="DD17" s="7">
        <f>DD$2*(Underlying*EXP(-DividendYield*TimeToExpiration)*_xlfn.NORM.DIST(DD$2*(LN(Underlying/$H17)+(RiskFreeRate-DividendYield+0.5*DB17^2)*TimeToExpiration)/(DB17*TimeToExpiration^0.5), 0, 1, TRUE) - 
       $H17*EXP(-RiskFreeRate*TimeToExpiration)*_xlfn.NORM.DIST(DD$2*(LN(Underlying/$H17)+(RiskFreeRate-DividendYield-0.5*DB17^2)*TimeToExpiration)/(DB17*TimeToExpiration^0.5), 0, 1, TRUE)
)</f>
        <v>2.085074176</v>
      </c>
      <c r="DE17" s="40">
        <f t="shared" si="53"/>
        <v>0.3797418137</v>
      </c>
      <c r="DF17" s="8">
        <f>DF$2*(Underlying*EXP(-DividendYield*TimeToExpiration)*_xlfn.NORM.DIST(DF$2*(LN(Underlying/$H17)+(RiskFreeRate-DividendYield+0.5*DE17^2)*TimeToExpiration)/(DE17*TimeToExpiration^0.5), 0, 1, TRUE) - 
       $H17*EXP(-RiskFreeRate*TimeToExpiration)*_xlfn.NORM.DIST(DF$2*(LN(Underlying/$H17)+(RiskFreeRate-DividendYield-0.5*DE17^2)*TimeToExpiration)/(DE17*TimeToExpiration^0.5), 0, 1, TRUE)
)</f>
        <v>2.084767004</v>
      </c>
    </row>
    <row r="18">
      <c r="A18" s="20">
        <f>'Option Mkt Data'!A18</f>
        <v>327.5</v>
      </c>
      <c r="B18" s="35">
        <f t="shared" ref="B18:C18" si="65">DE18</f>
        <v>0.3759894028</v>
      </c>
      <c r="C18" s="7">
        <f t="shared" si="65"/>
        <v>2.620294398</v>
      </c>
      <c r="D18" s="7">
        <f t="shared" si="3"/>
        <v>0.0002945124136</v>
      </c>
      <c r="E18" s="9">
        <f t="shared" si="4"/>
        <v>0.0001124093231</v>
      </c>
      <c r="F18" s="36">
        <f>D18/'Option Mkt Data'!M18</f>
        <v>0.01472528421</v>
      </c>
      <c r="G18" s="5">
        <f>'Option Mkt Data'!K18</f>
        <v>2.619999886</v>
      </c>
      <c r="H18" s="33">
        <f>'Option Mkt Data'!A18</f>
        <v>327.5</v>
      </c>
      <c r="I18" s="37">
        <f>MinSolverVola</f>
        <v>0.001</v>
      </c>
      <c r="J18" s="38">
        <f>MaxSolverVola</f>
        <v>3</v>
      </c>
      <c r="K18" s="39">
        <f>K$2*(Underlying*EXP(-DividendYield*TimeToExpiration)*_xlfn.NORM.DIST(K$2*(LN(Underlying/$H18)+(RiskFreeRate-DividendYield+0.5*I18^2)*TimeToExpiration)/(I18*TimeToExpiration^0.5), 0, 1, TRUE) - 
       $H18*EXP(-RiskFreeRate*TimeToExpiration)*_xlfn.NORM.DIST(K$2*(LN(Underlying/$H18)+(RiskFreeRate-DividendYield-0.5*I18^2)*TimeToExpiration)/(I18*TimeToExpiration^0.5), 0, 1, TRUE)
)</f>
        <v>0</v>
      </c>
      <c r="L18" s="7">
        <f>L$2*(Underlying*EXP(-DividendYield*TimeToExpiration)*_xlfn.NORM.DIST(L$2*(LN(Underlying/$H18)+(RiskFreeRate-DividendYield+0.5*J18^2)*TimeToExpiration)/(J18*TimeToExpiration^0.5), 0, 1, TRUE) - 
       $H18*EXP(-RiskFreeRate*TimeToExpiration)*_xlfn.NORM.DIST(L$2*(LN(Underlying/$H18)+(RiskFreeRate-DividendYield-0.5*J18^2)*TimeToExpiration)/(J18*TimeToExpiration^0.5), 0, 1, TRUE)
)</f>
        <v>50.16096598</v>
      </c>
      <c r="M18" s="40">
        <f t="shared" si="5"/>
        <v>1.5005</v>
      </c>
      <c r="N18" s="8">
        <f>N$2*(Underlying*EXP(-DividendYield*TimeToExpiration)*_xlfn.NORM.DIST(N$2*(LN(Underlying/$H18)+(RiskFreeRate-DividendYield+0.5*M18^2)*TimeToExpiration)/(M18*TimeToExpiration^0.5), 0, 1, TRUE) - 
       $H18*EXP(-RiskFreeRate*TimeToExpiration)*_xlfn.NORM.DIST(N$2*(LN(Underlying/$H18)+(RiskFreeRate-DividendYield-0.5*M18^2)*TimeToExpiration)/(M18*TimeToExpiration^0.5), 0, 1, TRUE)
)</f>
        <v>22.54374604</v>
      </c>
      <c r="O18" s="41">
        <f t="shared" si="6"/>
        <v>0.001</v>
      </c>
      <c r="P18" s="40">
        <f t="shared" si="7"/>
        <v>1.5005</v>
      </c>
      <c r="Q18" s="7">
        <f>Q$2*(Underlying*EXP(-DividendYield*TimeToExpiration)*_xlfn.NORM.DIST(Q$2*(LN(Underlying/$H18)+(RiskFreeRate-DividendYield+0.5*O18^2)*TimeToExpiration)/(O18*TimeToExpiration^0.5), 0, 1, TRUE) - 
       $H18*EXP(-RiskFreeRate*TimeToExpiration)*_xlfn.NORM.DIST(Q$2*(LN(Underlying/$H18)+(RiskFreeRate-DividendYield-0.5*O18^2)*TimeToExpiration)/(O18*TimeToExpiration^0.5), 0, 1, TRUE)
)</f>
        <v>0</v>
      </c>
      <c r="R18" s="7">
        <f>R$2*(Underlying*EXP(-DividendYield*TimeToExpiration)*_xlfn.NORM.DIST(R$2*(LN(Underlying/$H18)+(RiskFreeRate-DividendYield+0.5*P18^2)*TimeToExpiration)/(P18*TimeToExpiration^0.5), 0, 1, TRUE) - 
       $H18*EXP(-RiskFreeRate*TimeToExpiration)*_xlfn.NORM.DIST(R$2*(LN(Underlying/$H18)+(RiskFreeRate-DividendYield-0.5*P18^2)*TimeToExpiration)/(P18*TimeToExpiration^0.5), 0, 1, TRUE)
)</f>
        <v>22.54374604</v>
      </c>
      <c r="S18" s="40">
        <f t="shared" si="8"/>
        <v>0.75075</v>
      </c>
      <c r="T18" s="8">
        <f>T$2*(Underlying*EXP(-DividendYield*TimeToExpiration)*_xlfn.NORM.DIST(T$2*(LN(Underlying/$H18)+(RiskFreeRate-DividendYield+0.5*S18^2)*TimeToExpiration)/(S18*TimeToExpiration^0.5), 0, 1, TRUE) - 
       $H18*EXP(-RiskFreeRate*TimeToExpiration)*_xlfn.NORM.DIST(T$2*(LN(Underlying/$H18)+(RiskFreeRate-DividendYield-0.5*S18^2)*TimeToExpiration)/(S18*TimeToExpiration^0.5), 0, 1, TRUE)
)</f>
        <v>8.897340142</v>
      </c>
      <c r="U18" s="41">
        <f t="shared" si="9"/>
        <v>0.001</v>
      </c>
      <c r="V18" s="40">
        <f t="shared" si="10"/>
        <v>0.75075</v>
      </c>
      <c r="W18" s="7">
        <f>W$2*(Underlying*EXP(-DividendYield*TimeToExpiration)*_xlfn.NORM.DIST(W$2*(LN(Underlying/$H18)+(RiskFreeRate-DividendYield+0.5*U18^2)*TimeToExpiration)/(U18*TimeToExpiration^0.5), 0, 1, TRUE) - 
       $H18*EXP(-RiskFreeRate*TimeToExpiration)*_xlfn.NORM.DIST(W$2*(LN(Underlying/$H18)+(RiskFreeRate-DividendYield-0.5*U18^2)*TimeToExpiration)/(U18*TimeToExpiration^0.5), 0, 1, TRUE)
)</f>
        <v>0</v>
      </c>
      <c r="X18" s="7">
        <f>X$2*(Underlying*EXP(-DividendYield*TimeToExpiration)*_xlfn.NORM.DIST(X$2*(LN(Underlying/$H18)+(RiskFreeRate-DividendYield+0.5*V18^2)*TimeToExpiration)/(V18*TimeToExpiration^0.5), 0, 1, TRUE) - 
       $H18*EXP(-RiskFreeRate*TimeToExpiration)*_xlfn.NORM.DIST(X$2*(LN(Underlying/$H18)+(RiskFreeRate-DividendYield-0.5*V18^2)*TimeToExpiration)/(V18*TimeToExpiration^0.5), 0, 1, TRUE)
)</f>
        <v>8.897340142</v>
      </c>
      <c r="Y18" s="40">
        <f t="shared" si="11"/>
        <v>0.375875</v>
      </c>
      <c r="Z18" s="8">
        <f>Z$2*(Underlying*EXP(-DividendYield*TimeToExpiration)*_xlfn.NORM.DIST(Z$2*(LN(Underlying/$H18)+(RiskFreeRate-DividendYield+0.5*Y18^2)*TimeToExpiration)/(Y18*TimeToExpiration^0.5), 0, 1, TRUE) - 
       $H18*EXP(-RiskFreeRate*TimeToExpiration)*_xlfn.NORM.DIST(Z$2*(LN(Underlying/$H18)+(RiskFreeRate-DividendYield-0.5*Y18^2)*TimeToExpiration)/(Y18*TimeToExpiration^0.5), 0, 1, TRUE)
)</f>
        <v>2.618587866</v>
      </c>
      <c r="AA18" s="40">
        <f t="shared" si="12"/>
        <v>0.375875</v>
      </c>
      <c r="AB18" s="40">
        <f t="shared" si="13"/>
        <v>0.75075</v>
      </c>
      <c r="AC18" s="7">
        <f>AC$2*(Underlying*EXP(-DividendYield*TimeToExpiration)*_xlfn.NORM.DIST(AC$2*(LN(Underlying/$H18)+(RiskFreeRate-DividendYield+0.5*AA18^2)*TimeToExpiration)/(AA18*TimeToExpiration^0.5), 0, 1, TRUE) - 
       $H18*EXP(-RiskFreeRate*TimeToExpiration)*_xlfn.NORM.DIST(AC$2*(LN(Underlying/$H18)+(RiskFreeRate-DividendYield-0.5*AA18^2)*TimeToExpiration)/(AA18*TimeToExpiration^0.5), 0, 1, TRUE)
)</f>
        <v>2.618587866</v>
      </c>
      <c r="AD18" s="7">
        <f>AD$2*(Underlying*EXP(-DividendYield*TimeToExpiration)*_xlfn.NORM.DIST(AD$2*(LN(Underlying/$H18)+(RiskFreeRate-DividendYield+0.5*AB18^2)*TimeToExpiration)/(AB18*TimeToExpiration^0.5), 0, 1, TRUE) - 
       $H18*EXP(-RiskFreeRate*TimeToExpiration)*_xlfn.NORM.DIST(AD$2*(LN(Underlying/$H18)+(RiskFreeRate-DividendYield-0.5*AB18^2)*TimeToExpiration)/(AB18*TimeToExpiration^0.5), 0, 1, TRUE)
)</f>
        <v>8.897340142</v>
      </c>
      <c r="AE18" s="40">
        <f t="shared" si="14"/>
        <v>0.5633125</v>
      </c>
      <c r="AF18" s="8">
        <f>AF$2*(Underlying*EXP(-DividendYield*TimeToExpiration)*_xlfn.NORM.DIST(AF$2*(LN(Underlying/$H18)+(RiskFreeRate-DividendYield+0.5*AE18^2)*TimeToExpiration)/(AE18*TimeToExpiration^0.5), 0, 1, TRUE) - 
       $H18*EXP(-RiskFreeRate*TimeToExpiration)*_xlfn.NORM.DIST(AF$2*(LN(Underlying/$H18)+(RiskFreeRate-DividendYield-0.5*AE18^2)*TimeToExpiration)/(AE18*TimeToExpiration^0.5), 0, 1, TRUE)
)</f>
        <v>5.638981068</v>
      </c>
      <c r="AG18" s="40">
        <f t="shared" si="15"/>
        <v>0.375875</v>
      </c>
      <c r="AH18" s="40">
        <f t="shared" si="16"/>
        <v>0.5633125</v>
      </c>
      <c r="AI18" s="7">
        <f>AI$2*(Underlying*EXP(-DividendYield*TimeToExpiration)*_xlfn.NORM.DIST(AI$2*(LN(Underlying/$H18)+(RiskFreeRate-DividendYield+0.5*AG18^2)*TimeToExpiration)/(AG18*TimeToExpiration^0.5), 0, 1, TRUE) - 
       $H18*EXP(-RiskFreeRate*TimeToExpiration)*_xlfn.NORM.DIST(AI$2*(LN(Underlying/$H18)+(RiskFreeRate-DividendYield-0.5*AG18^2)*TimeToExpiration)/(AG18*TimeToExpiration^0.5), 0, 1, TRUE)
)</f>
        <v>2.618587866</v>
      </c>
      <c r="AJ18" s="7">
        <f>AJ$2*(Underlying*EXP(-DividendYield*TimeToExpiration)*_xlfn.NORM.DIST(AJ$2*(LN(Underlying/$H18)+(RiskFreeRate-DividendYield+0.5*AH18^2)*TimeToExpiration)/(AH18*TimeToExpiration^0.5), 0, 1, TRUE) - 
       $H18*EXP(-RiskFreeRate*TimeToExpiration)*_xlfn.NORM.DIST(AJ$2*(LN(Underlying/$H18)+(RiskFreeRate-DividendYield-0.5*AH18^2)*TimeToExpiration)/(AH18*TimeToExpiration^0.5), 0, 1, TRUE)
)</f>
        <v>5.638981068</v>
      </c>
      <c r="AK18" s="40">
        <f t="shared" si="17"/>
        <v>0.46959375</v>
      </c>
      <c r="AL18" s="8">
        <f>AL$2*(Underlying*EXP(-DividendYield*TimeToExpiration)*_xlfn.NORM.DIST(AL$2*(LN(Underlying/$H18)+(RiskFreeRate-DividendYield+0.5*AK18^2)*TimeToExpiration)/(AK18*TimeToExpiration^0.5), 0, 1, TRUE) - 
       $H18*EXP(-RiskFreeRate*TimeToExpiration)*_xlfn.NORM.DIST(AL$2*(LN(Underlying/$H18)+(RiskFreeRate-DividendYield-0.5*AK18^2)*TimeToExpiration)/(AK18*TimeToExpiration^0.5), 0, 1, TRUE)
)</f>
        <v>4.082678088</v>
      </c>
      <c r="AM18" s="40">
        <f t="shared" si="18"/>
        <v>0.375875</v>
      </c>
      <c r="AN18" s="40">
        <f t="shared" si="19"/>
        <v>0.46959375</v>
      </c>
      <c r="AO18" s="7">
        <f>AO$2*(Underlying*EXP(-DividendYield*TimeToExpiration)*_xlfn.NORM.DIST(AO$2*(LN(Underlying/$H18)+(RiskFreeRate-DividendYield+0.5*AM18^2)*TimeToExpiration)/(AM18*TimeToExpiration^0.5), 0, 1, TRUE) - 
       $H18*EXP(-RiskFreeRate*TimeToExpiration)*_xlfn.NORM.DIST(AO$2*(LN(Underlying/$H18)+(RiskFreeRate-DividendYield-0.5*AM18^2)*TimeToExpiration)/(AM18*TimeToExpiration^0.5), 0, 1, TRUE)
)</f>
        <v>2.618587866</v>
      </c>
      <c r="AP18" s="7">
        <f>AP$2*(Underlying*EXP(-DividendYield*TimeToExpiration)*_xlfn.NORM.DIST(AP$2*(LN(Underlying/$H18)+(RiskFreeRate-DividendYield+0.5*AN18^2)*TimeToExpiration)/(AN18*TimeToExpiration^0.5), 0, 1, TRUE) - 
       $H18*EXP(-RiskFreeRate*TimeToExpiration)*_xlfn.NORM.DIST(AP$2*(LN(Underlying/$H18)+(RiskFreeRate-DividendYield-0.5*AN18^2)*TimeToExpiration)/(AN18*TimeToExpiration^0.5), 0, 1, TRUE)
)</f>
        <v>4.082678088</v>
      </c>
      <c r="AQ18" s="40">
        <f t="shared" si="20"/>
        <v>0.422734375</v>
      </c>
      <c r="AR18" s="8">
        <f>AR$2*(Underlying*EXP(-DividendYield*TimeToExpiration)*_xlfn.NORM.DIST(AR$2*(LN(Underlying/$H18)+(RiskFreeRate-DividendYield+0.5*AQ18^2)*TimeToExpiration)/(AQ18*TimeToExpiration^0.5), 0, 1, TRUE) - 
       $H18*EXP(-RiskFreeRate*TimeToExpiration)*_xlfn.NORM.DIST(AR$2*(LN(Underlying/$H18)+(RiskFreeRate-DividendYield-0.5*AQ18^2)*TimeToExpiration)/(AQ18*TimeToExpiration^0.5), 0, 1, TRUE)
)</f>
        <v>3.335691174</v>
      </c>
      <c r="AS18" s="40">
        <f t="shared" si="21"/>
        <v>0.375875</v>
      </c>
      <c r="AT18" s="40">
        <f t="shared" si="22"/>
        <v>0.422734375</v>
      </c>
      <c r="AU18" s="7">
        <f>AU$2*(Underlying*EXP(-DividendYield*TimeToExpiration)*_xlfn.NORM.DIST(AU$2*(LN(Underlying/$H18)+(RiskFreeRate-DividendYield+0.5*AS18^2)*TimeToExpiration)/(AS18*TimeToExpiration^0.5), 0, 1, TRUE) - 
       $H18*EXP(-RiskFreeRate*TimeToExpiration)*_xlfn.NORM.DIST(AU$2*(LN(Underlying/$H18)+(RiskFreeRate-DividendYield-0.5*AS18^2)*TimeToExpiration)/(AS18*TimeToExpiration^0.5), 0, 1, TRUE)
)</f>
        <v>2.618587866</v>
      </c>
      <c r="AV18" s="7">
        <f>AV$2*(Underlying*EXP(-DividendYield*TimeToExpiration)*_xlfn.NORM.DIST(AV$2*(LN(Underlying/$H18)+(RiskFreeRate-DividendYield+0.5*AT18^2)*TimeToExpiration)/(AT18*TimeToExpiration^0.5), 0, 1, TRUE) - 
       $H18*EXP(-RiskFreeRate*TimeToExpiration)*_xlfn.NORM.DIST(AV$2*(LN(Underlying/$H18)+(RiskFreeRate-DividendYield-0.5*AT18^2)*TimeToExpiration)/(AT18*TimeToExpiration^0.5), 0, 1, TRUE)
)</f>
        <v>3.335691174</v>
      </c>
      <c r="AW18" s="40">
        <f t="shared" si="23"/>
        <v>0.3993046875</v>
      </c>
      <c r="AX18" s="8">
        <f>AX$2*(Underlying*EXP(-DividendYield*TimeToExpiration)*_xlfn.NORM.DIST(AX$2*(LN(Underlying/$H18)+(RiskFreeRate-DividendYield+0.5*AW18^2)*TimeToExpiration)/(AW18*TimeToExpiration^0.5), 0, 1, TRUE) - 
       $H18*EXP(-RiskFreeRate*TimeToExpiration)*_xlfn.NORM.DIST(AX$2*(LN(Underlying/$H18)+(RiskFreeRate-DividendYield-0.5*AW18^2)*TimeToExpiration)/(AW18*TimeToExpiration^0.5), 0, 1, TRUE)
)</f>
        <v>2.972830301</v>
      </c>
      <c r="AY18" s="40">
        <f t="shared" si="24"/>
        <v>0.375875</v>
      </c>
      <c r="AZ18" s="40">
        <f t="shared" si="25"/>
        <v>0.3993046875</v>
      </c>
      <c r="BA18" s="7">
        <f>BA$2*(Underlying*EXP(-DividendYield*TimeToExpiration)*_xlfn.NORM.DIST(BA$2*(LN(Underlying/$H18)+(RiskFreeRate-DividendYield+0.5*AY18^2)*TimeToExpiration)/(AY18*TimeToExpiration^0.5), 0, 1, TRUE) - 
       $H18*EXP(-RiskFreeRate*TimeToExpiration)*_xlfn.NORM.DIST(BA$2*(LN(Underlying/$H18)+(RiskFreeRate-DividendYield-0.5*AY18^2)*TimeToExpiration)/(AY18*TimeToExpiration^0.5), 0, 1, TRUE)
)</f>
        <v>2.618587866</v>
      </c>
      <c r="BB18" s="7">
        <f>BB$2*(Underlying*EXP(-DividendYield*TimeToExpiration)*_xlfn.NORM.DIST(BB$2*(LN(Underlying/$H18)+(RiskFreeRate-DividendYield+0.5*AZ18^2)*TimeToExpiration)/(AZ18*TimeToExpiration^0.5), 0, 1, TRUE) - 
       $H18*EXP(-RiskFreeRate*TimeToExpiration)*_xlfn.NORM.DIST(BB$2*(LN(Underlying/$H18)+(RiskFreeRate-DividendYield-0.5*AZ18^2)*TimeToExpiration)/(AZ18*TimeToExpiration^0.5), 0, 1, TRUE)
)</f>
        <v>2.972830301</v>
      </c>
      <c r="BC18" s="40">
        <f t="shared" si="26"/>
        <v>0.3875898438</v>
      </c>
      <c r="BD18" s="8">
        <f>BD$2*(Underlying*EXP(-DividendYield*TimeToExpiration)*_xlfn.NORM.DIST(BD$2*(LN(Underlying/$H18)+(RiskFreeRate-DividendYield+0.5*BC18^2)*TimeToExpiration)/(BC18*TimeToExpiration^0.5), 0, 1, TRUE) - 
       $H18*EXP(-RiskFreeRate*TimeToExpiration)*_xlfn.NORM.DIST(BD$2*(LN(Underlying/$H18)+(RiskFreeRate-DividendYield-0.5*BC18^2)*TimeToExpiration)/(BC18*TimeToExpiration^0.5), 0, 1, TRUE)
)</f>
        <v>2.794547632</v>
      </c>
      <c r="BE18" s="40">
        <f t="shared" si="27"/>
        <v>0.375875</v>
      </c>
      <c r="BF18" s="40">
        <f t="shared" si="28"/>
        <v>0.3875898438</v>
      </c>
      <c r="BG18" s="7">
        <f>BG$2*(Underlying*EXP(-DividendYield*TimeToExpiration)*_xlfn.NORM.DIST(BG$2*(LN(Underlying/$H18)+(RiskFreeRate-DividendYield+0.5*BE18^2)*TimeToExpiration)/(BE18*TimeToExpiration^0.5), 0, 1, TRUE) - 
       $H18*EXP(-RiskFreeRate*TimeToExpiration)*_xlfn.NORM.DIST(BG$2*(LN(Underlying/$H18)+(RiskFreeRate-DividendYield-0.5*BE18^2)*TimeToExpiration)/(BE18*TimeToExpiration^0.5), 0, 1, TRUE)
)</f>
        <v>2.618587866</v>
      </c>
      <c r="BH18" s="7">
        <f>BH$2*(Underlying*EXP(-DividendYield*TimeToExpiration)*_xlfn.NORM.DIST(BH$2*(LN(Underlying/$H18)+(RiskFreeRate-DividendYield+0.5*BF18^2)*TimeToExpiration)/(BF18*TimeToExpiration^0.5), 0, 1, TRUE) - 
       $H18*EXP(-RiskFreeRate*TimeToExpiration)*_xlfn.NORM.DIST(BH$2*(LN(Underlying/$H18)+(RiskFreeRate-DividendYield-0.5*BF18^2)*TimeToExpiration)/(BF18*TimeToExpiration^0.5), 0, 1, TRUE)
)</f>
        <v>2.794547632</v>
      </c>
      <c r="BI18" s="40">
        <f t="shared" si="29"/>
        <v>0.3817324219</v>
      </c>
      <c r="BJ18" s="8">
        <f>BJ$2*(Underlying*EXP(-DividendYield*TimeToExpiration)*_xlfn.NORM.DIST(BJ$2*(LN(Underlying/$H18)+(RiskFreeRate-DividendYield+0.5*BI18^2)*TimeToExpiration)/(BI18*TimeToExpiration^0.5), 0, 1, TRUE) - 
       $H18*EXP(-RiskFreeRate*TimeToExpiration)*_xlfn.NORM.DIST(BJ$2*(LN(Underlying/$H18)+(RiskFreeRate-DividendYield-0.5*BI18^2)*TimeToExpiration)/(BI18*TimeToExpiration^0.5), 0, 1, TRUE)
)</f>
        <v>2.706265956</v>
      </c>
      <c r="BK18" s="40">
        <f t="shared" si="30"/>
        <v>0.375875</v>
      </c>
      <c r="BL18" s="40">
        <f t="shared" si="31"/>
        <v>0.3817324219</v>
      </c>
      <c r="BM18" s="7">
        <f>BM$2*(Underlying*EXP(-DividendYield*TimeToExpiration)*_xlfn.NORM.DIST(BM$2*(LN(Underlying/$H18)+(RiskFreeRate-DividendYield+0.5*BK18^2)*TimeToExpiration)/(BK18*TimeToExpiration^0.5), 0, 1, TRUE) - 
       $H18*EXP(-RiskFreeRate*TimeToExpiration)*_xlfn.NORM.DIST(BM$2*(LN(Underlying/$H18)+(RiskFreeRate-DividendYield-0.5*BK18^2)*TimeToExpiration)/(BK18*TimeToExpiration^0.5), 0, 1, TRUE)
)</f>
        <v>2.618587866</v>
      </c>
      <c r="BN18" s="7">
        <f>BN$2*(Underlying*EXP(-DividendYield*TimeToExpiration)*_xlfn.NORM.DIST(BN$2*(LN(Underlying/$H18)+(RiskFreeRate-DividendYield+0.5*BL18^2)*TimeToExpiration)/(BL18*TimeToExpiration^0.5), 0, 1, TRUE) - 
       $H18*EXP(-RiskFreeRate*TimeToExpiration)*_xlfn.NORM.DIST(BN$2*(LN(Underlying/$H18)+(RiskFreeRate-DividendYield-0.5*BL18^2)*TimeToExpiration)/(BL18*TimeToExpiration^0.5), 0, 1, TRUE)
)</f>
        <v>2.706265956</v>
      </c>
      <c r="BO18" s="40">
        <f t="shared" si="32"/>
        <v>0.3788037109</v>
      </c>
      <c r="BP18" s="8">
        <f>BP$2*(Underlying*EXP(-DividendYield*TimeToExpiration)*_xlfn.NORM.DIST(BP$2*(LN(Underlying/$H18)+(RiskFreeRate-DividendYield+0.5*BO18^2)*TimeToExpiration)/(BO18*TimeToExpiration^0.5), 0, 1, TRUE) - 
       $H18*EXP(-RiskFreeRate*TimeToExpiration)*_xlfn.NORM.DIST(BP$2*(LN(Underlying/$H18)+(RiskFreeRate-DividendYield-0.5*BO18^2)*TimeToExpiration)/(BO18*TimeToExpiration^0.5), 0, 1, TRUE)
)</f>
        <v>2.662349972</v>
      </c>
      <c r="BQ18" s="40">
        <f t="shared" si="33"/>
        <v>0.375875</v>
      </c>
      <c r="BR18" s="40">
        <f t="shared" si="34"/>
        <v>0.3788037109</v>
      </c>
      <c r="BS18" s="7">
        <f>BS$2*(Underlying*EXP(-DividendYield*TimeToExpiration)*_xlfn.NORM.DIST(BS$2*(LN(Underlying/$H18)+(RiskFreeRate-DividendYield+0.5*BQ18^2)*TimeToExpiration)/(BQ18*TimeToExpiration^0.5), 0, 1, TRUE) - 
       $H18*EXP(-RiskFreeRate*TimeToExpiration)*_xlfn.NORM.DIST(BS$2*(LN(Underlying/$H18)+(RiskFreeRate-DividendYield-0.5*BQ18^2)*TimeToExpiration)/(BQ18*TimeToExpiration^0.5), 0, 1, TRUE)
)</f>
        <v>2.618587866</v>
      </c>
      <c r="BT18" s="7">
        <f>BT$2*(Underlying*EXP(-DividendYield*TimeToExpiration)*_xlfn.NORM.DIST(BT$2*(LN(Underlying/$H18)+(RiskFreeRate-DividendYield+0.5*BR18^2)*TimeToExpiration)/(BR18*TimeToExpiration^0.5), 0, 1, TRUE) - 
       $H18*EXP(-RiskFreeRate*TimeToExpiration)*_xlfn.NORM.DIST(BT$2*(LN(Underlying/$H18)+(RiskFreeRate-DividendYield-0.5*BR18^2)*TimeToExpiration)/(BR18*TimeToExpiration^0.5), 0, 1, TRUE)
)</f>
        <v>2.662349972</v>
      </c>
      <c r="BU18" s="40">
        <f t="shared" si="35"/>
        <v>0.3773393555</v>
      </c>
      <c r="BV18" s="8">
        <f>BV$2*(Underlying*EXP(-DividendYield*TimeToExpiration)*_xlfn.NORM.DIST(BV$2*(LN(Underlying/$H18)+(RiskFreeRate-DividendYield+0.5*BU18^2)*TimeToExpiration)/(BU18*TimeToExpiration^0.5), 0, 1, TRUE) - 
       $H18*EXP(-RiskFreeRate*TimeToExpiration)*_xlfn.NORM.DIST(BV$2*(LN(Underlying/$H18)+(RiskFreeRate-DividendYield-0.5*BU18^2)*TimeToExpiration)/(BU18*TimeToExpiration^0.5), 0, 1, TRUE)
)</f>
        <v>2.640449494</v>
      </c>
      <c r="BW18" s="40">
        <f t="shared" si="36"/>
        <v>0.375875</v>
      </c>
      <c r="BX18" s="40">
        <f t="shared" si="37"/>
        <v>0.3773393555</v>
      </c>
      <c r="BY18" s="7">
        <f>BY$2*(Underlying*EXP(-DividendYield*TimeToExpiration)*_xlfn.NORM.DIST(BY$2*(LN(Underlying/$H18)+(RiskFreeRate-DividendYield+0.5*BW18^2)*TimeToExpiration)/(BW18*TimeToExpiration^0.5), 0, 1, TRUE) - 
       $H18*EXP(-RiskFreeRate*TimeToExpiration)*_xlfn.NORM.DIST(BY$2*(LN(Underlying/$H18)+(RiskFreeRate-DividendYield-0.5*BW18^2)*TimeToExpiration)/(BW18*TimeToExpiration^0.5), 0, 1, TRUE)
)</f>
        <v>2.618587866</v>
      </c>
      <c r="BZ18" s="7">
        <f>BZ$2*(Underlying*EXP(-DividendYield*TimeToExpiration)*_xlfn.NORM.DIST(BZ$2*(LN(Underlying/$H18)+(RiskFreeRate-DividendYield+0.5*BX18^2)*TimeToExpiration)/(BX18*TimeToExpiration^0.5), 0, 1, TRUE) - 
       $H18*EXP(-RiskFreeRate*TimeToExpiration)*_xlfn.NORM.DIST(BZ$2*(LN(Underlying/$H18)+(RiskFreeRate-DividendYield-0.5*BX18^2)*TimeToExpiration)/(BX18*TimeToExpiration^0.5), 0, 1, TRUE)
)</f>
        <v>2.640449494</v>
      </c>
      <c r="CA18" s="40">
        <f t="shared" si="38"/>
        <v>0.3766071777</v>
      </c>
      <c r="CB18" s="8">
        <f>CB$2*(Underlying*EXP(-DividendYield*TimeToExpiration)*_xlfn.NORM.DIST(CB$2*(LN(Underlying/$H18)+(RiskFreeRate-DividendYield+0.5*CA18^2)*TimeToExpiration)/(CA18*TimeToExpiration^0.5), 0, 1, TRUE) - 
       $H18*EXP(-RiskFreeRate*TimeToExpiration)*_xlfn.NORM.DIST(CB$2*(LN(Underlying/$H18)+(RiskFreeRate-DividendYield-0.5*CA18^2)*TimeToExpiration)/(CA18*TimeToExpiration^0.5), 0, 1, TRUE)
)</f>
        <v>2.6295138</v>
      </c>
      <c r="CC18" s="40">
        <f t="shared" si="39"/>
        <v>0.375875</v>
      </c>
      <c r="CD18" s="40">
        <f t="shared" si="40"/>
        <v>0.3766071777</v>
      </c>
      <c r="CE18" s="7">
        <f>CE$2*(Underlying*EXP(-DividendYield*TimeToExpiration)*_xlfn.NORM.DIST(CE$2*(LN(Underlying/$H18)+(RiskFreeRate-DividendYield+0.5*CC18^2)*TimeToExpiration)/(CC18*TimeToExpiration^0.5), 0, 1, TRUE) - 
       $H18*EXP(-RiskFreeRate*TimeToExpiration)*_xlfn.NORM.DIST(CE$2*(LN(Underlying/$H18)+(RiskFreeRate-DividendYield-0.5*CC18^2)*TimeToExpiration)/(CC18*TimeToExpiration^0.5), 0, 1, TRUE)
)</f>
        <v>2.618587866</v>
      </c>
      <c r="CF18" s="7">
        <f>CF$2*(Underlying*EXP(-DividendYield*TimeToExpiration)*_xlfn.NORM.DIST(CF$2*(LN(Underlying/$H18)+(RiskFreeRate-DividendYield+0.5*CD18^2)*TimeToExpiration)/(CD18*TimeToExpiration^0.5), 0, 1, TRUE) - 
       $H18*EXP(-RiskFreeRate*TimeToExpiration)*_xlfn.NORM.DIST(CF$2*(LN(Underlying/$H18)+(RiskFreeRate-DividendYield-0.5*CD18^2)*TimeToExpiration)/(CD18*TimeToExpiration^0.5), 0, 1, TRUE)
)</f>
        <v>2.6295138</v>
      </c>
      <c r="CG18" s="40">
        <f t="shared" si="41"/>
        <v>0.3762410889</v>
      </c>
      <c r="CH18" s="8">
        <f>CH$2*(Underlying*EXP(-DividendYield*TimeToExpiration)*_xlfn.NORM.DIST(CH$2*(LN(Underlying/$H18)+(RiskFreeRate-DividendYield+0.5*CG18^2)*TimeToExpiration)/(CG18*TimeToExpiration^0.5), 0, 1, TRUE) - 
       $H18*EXP(-RiskFreeRate*TimeToExpiration)*_xlfn.NORM.DIST(CH$2*(LN(Underlying/$H18)+(RiskFreeRate-DividendYield-0.5*CG18^2)*TimeToExpiration)/(CG18*TimeToExpiration^0.5), 0, 1, TRUE)
)</f>
        <v>2.62404961</v>
      </c>
      <c r="CI18" s="40">
        <f t="shared" si="42"/>
        <v>0.375875</v>
      </c>
      <c r="CJ18" s="40">
        <f t="shared" si="43"/>
        <v>0.3762410889</v>
      </c>
      <c r="CK18" s="7">
        <f>CK$2*(Underlying*EXP(-DividendYield*TimeToExpiration)*_xlfn.NORM.DIST(CK$2*(LN(Underlying/$H18)+(RiskFreeRate-DividendYield+0.5*CI18^2)*TimeToExpiration)/(CI18*TimeToExpiration^0.5), 0, 1, TRUE) - 
       $H18*EXP(-RiskFreeRate*TimeToExpiration)*_xlfn.NORM.DIST(CK$2*(LN(Underlying/$H18)+(RiskFreeRate-DividendYield-0.5*CI18^2)*TimeToExpiration)/(CI18*TimeToExpiration^0.5), 0, 1, TRUE)
)</f>
        <v>2.618587866</v>
      </c>
      <c r="CL18" s="7">
        <f>CL$2*(Underlying*EXP(-DividendYield*TimeToExpiration)*_xlfn.NORM.DIST(CL$2*(LN(Underlying/$H18)+(RiskFreeRate-DividendYield+0.5*CJ18^2)*TimeToExpiration)/(CJ18*TimeToExpiration^0.5), 0, 1, TRUE) - 
       $H18*EXP(-RiskFreeRate*TimeToExpiration)*_xlfn.NORM.DIST(CL$2*(LN(Underlying/$H18)+(RiskFreeRate-DividendYield-0.5*CJ18^2)*TimeToExpiration)/(CJ18*TimeToExpiration^0.5), 0, 1, TRUE)
)</f>
        <v>2.62404961</v>
      </c>
      <c r="CM18" s="40">
        <f t="shared" si="44"/>
        <v>0.3760580444</v>
      </c>
      <c r="CN18" s="8">
        <f>CN$2*(Underlying*EXP(-DividendYield*TimeToExpiration)*_xlfn.NORM.DIST(CN$2*(LN(Underlying/$H18)+(RiskFreeRate-DividendYield+0.5*CM18^2)*TimeToExpiration)/(CM18*TimeToExpiration^0.5), 0, 1, TRUE) - 
       $H18*EXP(-RiskFreeRate*TimeToExpiration)*_xlfn.NORM.DIST(CN$2*(LN(Underlying/$H18)+(RiskFreeRate-DividendYield-0.5*CM18^2)*TimeToExpiration)/(CM18*TimeToExpiration^0.5), 0, 1, TRUE)
)</f>
        <v>2.621318432</v>
      </c>
      <c r="CO18" s="40">
        <f t="shared" si="45"/>
        <v>0.375875</v>
      </c>
      <c r="CP18" s="40">
        <f t="shared" si="46"/>
        <v>0.3760580444</v>
      </c>
      <c r="CQ18" s="7">
        <f>CQ$2*(Underlying*EXP(-DividendYield*TimeToExpiration)*_xlfn.NORM.DIST(CQ$2*(LN(Underlying/$H18)+(RiskFreeRate-DividendYield+0.5*CO18^2)*TimeToExpiration)/(CO18*TimeToExpiration^0.5), 0, 1, TRUE) - 
       $H18*EXP(-RiskFreeRate*TimeToExpiration)*_xlfn.NORM.DIST(CQ$2*(LN(Underlying/$H18)+(RiskFreeRate-DividendYield-0.5*CO18^2)*TimeToExpiration)/(CO18*TimeToExpiration^0.5), 0, 1, TRUE)
)</f>
        <v>2.618587866</v>
      </c>
      <c r="CR18" s="7">
        <f>CR$2*(Underlying*EXP(-DividendYield*TimeToExpiration)*_xlfn.NORM.DIST(CR$2*(LN(Underlying/$H18)+(RiskFreeRate-DividendYield+0.5*CP18^2)*TimeToExpiration)/(CP18*TimeToExpiration^0.5), 0, 1, TRUE) - 
       $H18*EXP(-RiskFreeRate*TimeToExpiration)*_xlfn.NORM.DIST(CR$2*(LN(Underlying/$H18)+(RiskFreeRate-DividendYield-0.5*CP18^2)*TimeToExpiration)/(CP18*TimeToExpiration^0.5), 0, 1, TRUE)
)</f>
        <v>2.621318432</v>
      </c>
      <c r="CS18" s="40">
        <f t="shared" si="47"/>
        <v>0.3759665222</v>
      </c>
      <c r="CT18" s="8">
        <f>CT$2*(Underlying*EXP(-DividendYield*TimeToExpiration)*_xlfn.NORM.DIST(CT$2*(LN(Underlying/$H18)+(RiskFreeRate-DividendYield+0.5*CS18^2)*TimeToExpiration)/(CS18*TimeToExpiration^0.5), 0, 1, TRUE) - 
       $H18*EXP(-RiskFreeRate*TimeToExpiration)*_xlfn.NORM.DIST(CT$2*(LN(Underlying/$H18)+(RiskFreeRate-DividendYield-0.5*CS18^2)*TimeToExpiration)/(CS18*TimeToExpiration^0.5), 0, 1, TRUE)
)</f>
        <v>2.619953072</v>
      </c>
      <c r="CU18" s="40">
        <f t="shared" si="48"/>
        <v>0.3759665222</v>
      </c>
      <c r="CV18" s="40">
        <f t="shared" si="49"/>
        <v>0.3760580444</v>
      </c>
      <c r="CW18" s="7">
        <f>CW$2*(Underlying*EXP(-DividendYield*TimeToExpiration)*_xlfn.NORM.DIST(CW$2*(LN(Underlying/$H18)+(RiskFreeRate-DividendYield+0.5*CU18^2)*TimeToExpiration)/(CU18*TimeToExpiration^0.5), 0, 1, TRUE) - 
       $H18*EXP(-RiskFreeRate*TimeToExpiration)*_xlfn.NORM.DIST(CW$2*(LN(Underlying/$H18)+(RiskFreeRate-DividendYield-0.5*CU18^2)*TimeToExpiration)/(CU18*TimeToExpiration^0.5), 0, 1, TRUE)
)</f>
        <v>2.619953072</v>
      </c>
      <c r="CX18" s="7">
        <f>CX$2*(Underlying*EXP(-DividendYield*TimeToExpiration)*_xlfn.NORM.DIST(CX$2*(LN(Underlying/$H18)+(RiskFreeRate-DividendYield+0.5*CV18^2)*TimeToExpiration)/(CV18*TimeToExpiration^0.5), 0, 1, TRUE) - 
       $H18*EXP(-RiskFreeRate*TimeToExpiration)*_xlfn.NORM.DIST(CX$2*(LN(Underlying/$H18)+(RiskFreeRate-DividendYield-0.5*CV18^2)*TimeToExpiration)/(CV18*TimeToExpiration^0.5), 0, 1, TRUE)
)</f>
        <v>2.621318432</v>
      </c>
      <c r="CY18" s="40">
        <f t="shared" si="50"/>
        <v>0.3760122833</v>
      </c>
      <c r="CZ18" s="8">
        <f>CZ$2*(Underlying*EXP(-DividendYield*TimeToExpiration)*_xlfn.NORM.DIST(CZ$2*(LN(Underlying/$H18)+(RiskFreeRate-DividendYield+0.5*CY18^2)*TimeToExpiration)/(CY18*TimeToExpiration^0.5), 0, 1, TRUE) - 
       $H18*EXP(-RiskFreeRate*TimeToExpiration)*_xlfn.NORM.DIST(CZ$2*(LN(Underlying/$H18)+(RiskFreeRate-DividendYield-0.5*CY18^2)*TimeToExpiration)/(CY18*TimeToExpiration^0.5), 0, 1, TRUE)
)</f>
        <v>2.620635733</v>
      </c>
      <c r="DA18" s="40">
        <f t="shared" si="51"/>
        <v>0.3759665222</v>
      </c>
      <c r="DB18" s="40">
        <f t="shared" si="52"/>
        <v>0.3760122833</v>
      </c>
      <c r="DC18" s="7">
        <f>DC$2*(Underlying*EXP(-DividendYield*TimeToExpiration)*_xlfn.NORM.DIST(DC$2*(LN(Underlying/$H18)+(RiskFreeRate-DividendYield+0.5*DA18^2)*TimeToExpiration)/(DA18*TimeToExpiration^0.5), 0, 1, TRUE) - 
       $H18*EXP(-RiskFreeRate*TimeToExpiration)*_xlfn.NORM.DIST(DC$2*(LN(Underlying/$H18)+(RiskFreeRate-DividendYield-0.5*DA18^2)*TimeToExpiration)/(DA18*TimeToExpiration^0.5), 0, 1, TRUE)
)</f>
        <v>2.619953072</v>
      </c>
      <c r="DD18" s="7">
        <f>DD$2*(Underlying*EXP(-DividendYield*TimeToExpiration)*_xlfn.NORM.DIST(DD$2*(LN(Underlying/$H18)+(RiskFreeRate-DividendYield+0.5*DB18^2)*TimeToExpiration)/(DB18*TimeToExpiration^0.5), 0, 1, TRUE) - 
       $H18*EXP(-RiskFreeRate*TimeToExpiration)*_xlfn.NORM.DIST(DD$2*(LN(Underlying/$H18)+(RiskFreeRate-DividendYield-0.5*DB18^2)*TimeToExpiration)/(DB18*TimeToExpiration^0.5), 0, 1, TRUE)
)</f>
        <v>2.620635733</v>
      </c>
      <c r="DE18" s="40">
        <f t="shared" si="53"/>
        <v>0.3759894028</v>
      </c>
      <c r="DF18" s="8">
        <f>DF$2*(Underlying*EXP(-DividendYield*TimeToExpiration)*_xlfn.NORM.DIST(DF$2*(LN(Underlying/$H18)+(RiskFreeRate-DividendYield+0.5*DE18^2)*TimeToExpiration)/(DE18*TimeToExpiration^0.5), 0, 1, TRUE) - 
       $H18*EXP(-RiskFreeRate*TimeToExpiration)*_xlfn.NORM.DIST(DF$2*(LN(Underlying/$H18)+(RiskFreeRate-DividendYield-0.5*DE18^2)*TimeToExpiration)/(DE18*TimeToExpiration^0.5), 0, 1, TRUE)
)</f>
        <v>2.620294398</v>
      </c>
    </row>
    <row r="19">
      <c r="A19" s="20">
        <f>'Option Mkt Data'!A19</f>
        <v>330</v>
      </c>
      <c r="B19" s="35">
        <f t="shared" ref="B19:C19" si="66">DE19</f>
        <v>0.3715963364</v>
      </c>
      <c r="C19" s="7">
        <f t="shared" si="66"/>
        <v>3.249870264</v>
      </c>
      <c r="D19" s="7">
        <f t="shared" si="3"/>
        <v>0.0001297359687</v>
      </c>
      <c r="E19" s="9">
        <f t="shared" si="4"/>
        <v>0.0000399187596</v>
      </c>
      <c r="F19" s="36">
        <f>D19/'Option Mkt Data'!M19</f>
        <v>0.001297354731</v>
      </c>
      <c r="G19" s="5">
        <f>'Option Mkt Data'!K19</f>
        <v>3.25</v>
      </c>
      <c r="H19" s="33">
        <f>'Option Mkt Data'!A19</f>
        <v>330</v>
      </c>
      <c r="I19" s="37">
        <f>MinSolverVola</f>
        <v>0.001</v>
      </c>
      <c r="J19" s="38">
        <f>MaxSolverVola</f>
        <v>3</v>
      </c>
      <c r="K19" s="39">
        <f>K$2*(Underlying*EXP(-DividendYield*TimeToExpiration)*_xlfn.NORM.DIST(K$2*(LN(Underlying/$H19)+(RiskFreeRate-DividendYield+0.5*I19^2)*TimeToExpiration)/(I19*TimeToExpiration^0.5), 0, 1, TRUE) - 
       $H19*EXP(-RiskFreeRate*TimeToExpiration)*_xlfn.NORM.DIST(K$2*(LN(Underlying/$H19)+(RiskFreeRate-DividendYield-0.5*I19^2)*TimeToExpiration)/(I19*TimeToExpiration^0.5), 0, 1, TRUE)
)</f>
        <v>0</v>
      </c>
      <c r="L19" s="7">
        <f>L$2*(Underlying*EXP(-DividendYield*TimeToExpiration)*_xlfn.NORM.DIST(L$2*(LN(Underlying/$H19)+(RiskFreeRate-DividendYield+0.5*J19^2)*TimeToExpiration)/(J19*TimeToExpiration^0.5), 0, 1, TRUE) - 
       $H19*EXP(-RiskFreeRate*TimeToExpiration)*_xlfn.NORM.DIST(L$2*(LN(Underlying/$H19)+(RiskFreeRate-DividendYield-0.5*J19^2)*TimeToExpiration)/(J19*TimeToExpiration^0.5), 0, 1, TRUE)
)</f>
        <v>51.54493262</v>
      </c>
      <c r="M19" s="40">
        <f t="shared" si="5"/>
        <v>1.5005</v>
      </c>
      <c r="N19" s="8">
        <f>N$2*(Underlying*EXP(-DividendYield*TimeToExpiration)*_xlfn.NORM.DIST(N$2*(LN(Underlying/$H19)+(RiskFreeRate-DividendYield+0.5*M19^2)*TimeToExpiration)/(M19*TimeToExpiration^0.5), 0, 1, TRUE) - 
       $H19*EXP(-RiskFreeRate*TimeToExpiration)*_xlfn.NORM.DIST(N$2*(LN(Underlying/$H19)+(RiskFreeRate-DividendYield-0.5*M19^2)*TimeToExpiration)/(M19*TimeToExpiration^0.5), 0, 1, TRUE)
)</f>
        <v>23.7466452</v>
      </c>
      <c r="O19" s="41">
        <f t="shared" si="6"/>
        <v>0.001</v>
      </c>
      <c r="P19" s="40">
        <f t="shared" si="7"/>
        <v>1.5005</v>
      </c>
      <c r="Q19" s="7">
        <f>Q$2*(Underlying*EXP(-DividendYield*TimeToExpiration)*_xlfn.NORM.DIST(Q$2*(LN(Underlying/$H19)+(RiskFreeRate-DividendYield+0.5*O19^2)*TimeToExpiration)/(O19*TimeToExpiration^0.5), 0, 1, TRUE) - 
       $H19*EXP(-RiskFreeRate*TimeToExpiration)*_xlfn.NORM.DIST(Q$2*(LN(Underlying/$H19)+(RiskFreeRate-DividendYield-0.5*O19^2)*TimeToExpiration)/(O19*TimeToExpiration^0.5), 0, 1, TRUE)
)</f>
        <v>0</v>
      </c>
      <c r="R19" s="7">
        <f>R$2*(Underlying*EXP(-DividendYield*TimeToExpiration)*_xlfn.NORM.DIST(R$2*(LN(Underlying/$H19)+(RiskFreeRate-DividendYield+0.5*P19^2)*TimeToExpiration)/(P19*TimeToExpiration^0.5), 0, 1, TRUE) - 
       $H19*EXP(-RiskFreeRate*TimeToExpiration)*_xlfn.NORM.DIST(R$2*(LN(Underlying/$H19)+(RiskFreeRate-DividendYield-0.5*P19^2)*TimeToExpiration)/(P19*TimeToExpiration^0.5), 0, 1, TRUE)
)</f>
        <v>23.7466452</v>
      </c>
      <c r="S19" s="40">
        <f t="shared" si="8"/>
        <v>0.75075</v>
      </c>
      <c r="T19" s="8">
        <f>T$2*(Underlying*EXP(-DividendYield*TimeToExpiration)*_xlfn.NORM.DIST(T$2*(LN(Underlying/$H19)+(RiskFreeRate-DividendYield+0.5*S19^2)*TimeToExpiration)/(S19*TimeToExpiration^0.5), 0, 1, TRUE) - 
       $H19*EXP(-RiskFreeRate*TimeToExpiration)*_xlfn.NORM.DIST(T$2*(LN(Underlying/$H19)+(RiskFreeRate-DividendYield-0.5*S19^2)*TimeToExpiration)/(S19*TimeToExpiration^0.5), 0, 1, TRUE)
)</f>
        <v>9.898505422</v>
      </c>
      <c r="U19" s="41">
        <f t="shared" si="9"/>
        <v>0.001</v>
      </c>
      <c r="V19" s="40">
        <f t="shared" si="10"/>
        <v>0.75075</v>
      </c>
      <c r="W19" s="7">
        <f>W$2*(Underlying*EXP(-DividendYield*TimeToExpiration)*_xlfn.NORM.DIST(W$2*(LN(Underlying/$H19)+(RiskFreeRate-DividendYield+0.5*U19^2)*TimeToExpiration)/(U19*TimeToExpiration^0.5), 0, 1, TRUE) - 
       $H19*EXP(-RiskFreeRate*TimeToExpiration)*_xlfn.NORM.DIST(W$2*(LN(Underlying/$H19)+(RiskFreeRate-DividendYield-0.5*U19^2)*TimeToExpiration)/(U19*TimeToExpiration^0.5), 0, 1, TRUE)
)</f>
        <v>0</v>
      </c>
      <c r="X19" s="7">
        <f>X$2*(Underlying*EXP(-DividendYield*TimeToExpiration)*_xlfn.NORM.DIST(X$2*(LN(Underlying/$H19)+(RiskFreeRate-DividendYield+0.5*V19^2)*TimeToExpiration)/(V19*TimeToExpiration^0.5), 0, 1, TRUE) - 
       $H19*EXP(-RiskFreeRate*TimeToExpiration)*_xlfn.NORM.DIST(X$2*(LN(Underlying/$H19)+(RiskFreeRate-DividendYield-0.5*V19^2)*TimeToExpiration)/(V19*TimeToExpiration^0.5), 0, 1, TRUE)
)</f>
        <v>9.898505422</v>
      </c>
      <c r="Y19" s="40">
        <f t="shared" si="11"/>
        <v>0.375875</v>
      </c>
      <c r="Z19" s="8">
        <f>Z$2*(Underlying*EXP(-DividendYield*TimeToExpiration)*_xlfn.NORM.DIST(Z$2*(LN(Underlying/$H19)+(RiskFreeRate-DividendYield+0.5*Y19^2)*TimeToExpiration)/(Y19*TimeToExpiration^0.5), 0, 1, TRUE) - 
       $H19*EXP(-RiskFreeRate*TimeToExpiration)*_xlfn.NORM.DIST(Z$2*(LN(Underlying/$H19)+(RiskFreeRate-DividendYield-0.5*Y19^2)*TimeToExpiration)/(Y19*TimeToExpiration^0.5), 0, 1, TRUE)
)</f>
        <v>3.319640119</v>
      </c>
      <c r="AA19" s="41">
        <f t="shared" si="12"/>
        <v>0.001</v>
      </c>
      <c r="AB19" s="40">
        <f t="shared" si="13"/>
        <v>0.375875</v>
      </c>
      <c r="AC19" s="7">
        <f>AC$2*(Underlying*EXP(-DividendYield*TimeToExpiration)*_xlfn.NORM.DIST(AC$2*(LN(Underlying/$H19)+(RiskFreeRate-DividendYield+0.5*AA19^2)*TimeToExpiration)/(AA19*TimeToExpiration^0.5), 0, 1, TRUE) - 
       $H19*EXP(-RiskFreeRate*TimeToExpiration)*_xlfn.NORM.DIST(AC$2*(LN(Underlying/$H19)+(RiskFreeRate-DividendYield-0.5*AA19^2)*TimeToExpiration)/(AA19*TimeToExpiration^0.5), 0, 1, TRUE)
)</f>
        <v>0</v>
      </c>
      <c r="AD19" s="7">
        <f>AD$2*(Underlying*EXP(-DividendYield*TimeToExpiration)*_xlfn.NORM.DIST(AD$2*(LN(Underlying/$H19)+(RiskFreeRate-DividendYield+0.5*AB19^2)*TimeToExpiration)/(AB19*TimeToExpiration^0.5), 0, 1, TRUE) - 
       $H19*EXP(-RiskFreeRate*TimeToExpiration)*_xlfn.NORM.DIST(AD$2*(LN(Underlying/$H19)+(RiskFreeRate-DividendYield-0.5*AB19^2)*TimeToExpiration)/(AB19*TimeToExpiration^0.5), 0, 1, TRUE)
)</f>
        <v>3.319640119</v>
      </c>
      <c r="AE19" s="40">
        <f t="shared" si="14"/>
        <v>0.1884375</v>
      </c>
      <c r="AF19" s="8">
        <f>AF$2*(Underlying*EXP(-DividendYield*TimeToExpiration)*_xlfn.NORM.DIST(AF$2*(LN(Underlying/$H19)+(RiskFreeRate-DividendYield+0.5*AE19^2)*TimeToExpiration)/(AE19*TimeToExpiration^0.5), 0, 1, TRUE) - 
       $H19*EXP(-RiskFreeRate*TimeToExpiration)*_xlfn.NORM.DIST(AF$2*(LN(Underlying/$H19)+(RiskFreeRate-DividendYield-0.5*AE19^2)*TimeToExpiration)/(AE19*TimeToExpiration^0.5), 0, 1, TRUE)
)</f>
        <v>0.6484937001</v>
      </c>
      <c r="AG19" s="40">
        <f t="shared" si="15"/>
        <v>0.1884375</v>
      </c>
      <c r="AH19" s="40">
        <f t="shared" si="16"/>
        <v>0.375875</v>
      </c>
      <c r="AI19" s="7">
        <f>AI$2*(Underlying*EXP(-DividendYield*TimeToExpiration)*_xlfn.NORM.DIST(AI$2*(LN(Underlying/$H19)+(RiskFreeRate-DividendYield+0.5*AG19^2)*TimeToExpiration)/(AG19*TimeToExpiration^0.5), 0, 1, TRUE) - 
       $H19*EXP(-RiskFreeRate*TimeToExpiration)*_xlfn.NORM.DIST(AI$2*(LN(Underlying/$H19)+(RiskFreeRate-DividendYield-0.5*AG19^2)*TimeToExpiration)/(AG19*TimeToExpiration^0.5), 0, 1, TRUE)
)</f>
        <v>0.6484937001</v>
      </c>
      <c r="AJ19" s="7">
        <f>AJ$2*(Underlying*EXP(-DividendYield*TimeToExpiration)*_xlfn.NORM.DIST(AJ$2*(LN(Underlying/$H19)+(RiskFreeRate-DividendYield+0.5*AH19^2)*TimeToExpiration)/(AH19*TimeToExpiration^0.5), 0, 1, TRUE) - 
       $H19*EXP(-RiskFreeRate*TimeToExpiration)*_xlfn.NORM.DIST(AJ$2*(LN(Underlying/$H19)+(RiskFreeRate-DividendYield-0.5*AH19^2)*TimeToExpiration)/(AH19*TimeToExpiration^0.5), 0, 1, TRUE)
)</f>
        <v>3.319640119</v>
      </c>
      <c r="AK19" s="40">
        <f t="shared" si="17"/>
        <v>0.28215625</v>
      </c>
      <c r="AL19" s="8">
        <f>AL$2*(Underlying*EXP(-DividendYield*TimeToExpiration)*_xlfn.NORM.DIST(AL$2*(LN(Underlying/$H19)+(RiskFreeRate-DividendYield+0.5*AK19^2)*TimeToExpiration)/(AK19*TimeToExpiration^0.5), 0, 1, TRUE) - 
       $H19*EXP(-RiskFreeRate*TimeToExpiration)*_xlfn.NORM.DIST(AL$2*(LN(Underlying/$H19)+(RiskFreeRate-DividendYield-0.5*AK19^2)*TimeToExpiration)/(AK19*TimeToExpiration^0.5), 0, 1, TRUE)
)</f>
        <v>1.859487799</v>
      </c>
      <c r="AM19" s="40">
        <f t="shared" si="18"/>
        <v>0.28215625</v>
      </c>
      <c r="AN19" s="40">
        <f t="shared" si="19"/>
        <v>0.375875</v>
      </c>
      <c r="AO19" s="7">
        <f>AO$2*(Underlying*EXP(-DividendYield*TimeToExpiration)*_xlfn.NORM.DIST(AO$2*(LN(Underlying/$H19)+(RiskFreeRate-DividendYield+0.5*AM19^2)*TimeToExpiration)/(AM19*TimeToExpiration^0.5), 0, 1, TRUE) - 
       $H19*EXP(-RiskFreeRate*TimeToExpiration)*_xlfn.NORM.DIST(AO$2*(LN(Underlying/$H19)+(RiskFreeRate-DividendYield-0.5*AM19^2)*TimeToExpiration)/(AM19*TimeToExpiration^0.5), 0, 1, TRUE)
)</f>
        <v>1.859487799</v>
      </c>
      <c r="AP19" s="7">
        <f>AP$2*(Underlying*EXP(-DividendYield*TimeToExpiration)*_xlfn.NORM.DIST(AP$2*(LN(Underlying/$H19)+(RiskFreeRate-DividendYield+0.5*AN19^2)*TimeToExpiration)/(AN19*TimeToExpiration^0.5), 0, 1, TRUE) - 
       $H19*EXP(-RiskFreeRate*TimeToExpiration)*_xlfn.NORM.DIST(AP$2*(LN(Underlying/$H19)+(RiskFreeRate-DividendYield-0.5*AN19^2)*TimeToExpiration)/(AN19*TimeToExpiration^0.5), 0, 1, TRUE)
)</f>
        <v>3.319640119</v>
      </c>
      <c r="AQ19" s="40">
        <f t="shared" si="20"/>
        <v>0.329015625</v>
      </c>
      <c r="AR19" s="8">
        <f>AR$2*(Underlying*EXP(-DividendYield*TimeToExpiration)*_xlfn.NORM.DIST(AR$2*(LN(Underlying/$H19)+(RiskFreeRate-DividendYield+0.5*AQ19^2)*TimeToExpiration)/(AQ19*TimeToExpiration^0.5), 0, 1, TRUE) - 
       $H19*EXP(-RiskFreeRate*TimeToExpiration)*_xlfn.NORM.DIST(AR$2*(LN(Underlying/$H19)+(RiskFreeRate-DividendYield-0.5*AQ19^2)*TimeToExpiration)/(AQ19*TimeToExpiration^0.5), 0, 1, TRUE)
)</f>
        <v>2.569702326</v>
      </c>
      <c r="AS19" s="40">
        <f t="shared" si="21"/>
        <v>0.329015625</v>
      </c>
      <c r="AT19" s="40">
        <f t="shared" si="22"/>
        <v>0.375875</v>
      </c>
      <c r="AU19" s="7">
        <f>AU$2*(Underlying*EXP(-DividendYield*TimeToExpiration)*_xlfn.NORM.DIST(AU$2*(LN(Underlying/$H19)+(RiskFreeRate-DividendYield+0.5*AS19^2)*TimeToExpiration)/(AS19*TimeToExpiration^0.5), 0, 1, TRUE) - 
       $H19*EXP(-RiskFreeRate*TimeToExpiration)*_xlfn.NORM.DIST(AU$2*(LN(Underlying/$H19)+(RiskFreeRate-DividendYield-0.5*AS19^2)*TimeToExpiration)/(AS19*TimeToExpiration^0.5), 0, 1, TRUE)
)</f>
        <v>2.569702326</v>
      </c>
      <c r="AV19" s="7">
        <f>AV$2*(Underlying*EXP(-DividendYield*TimeToExpiration)*_xlfn.NORM.DIST(AV$2*(LN(Underlying/$H19)+(RiskFreeRate-DividendYield+0.5*AT19^2)*TimeToExpiration)/(AT19*TimeToExpiration^0.5), 0, 1, TRUE) - 
       $H19*EXP(-RiskFreeRate*TimeToExpiration)*_xlfn.NORM.DIST(AV$2*(LN(Underlying/$H19)+(RiskFreeRate-DividendYield-0.5*AT19^2)*TimeToExpiration)/(AT19*TimeToExpiration^0.5), 0, 1, TRUE)
)</f>
        <v>3.319640119</v>
      </c>
      <c r="AW19" s="40">
        <f t="shared" si="23"/>
        <v>0.3524453125</v>
      </c>
      <c r="AX19" s="8">
        <f>AX$2*(Underlying*EXP(-DividendYield*TimeToExpiration)*_xlfn.NORM.DIST(AX$2*(LN(Underlying/$H19)+(RiskFreeRate-DividendYield+0.5*AW19^2)*TimeToExpiration)/(AW19*TimeToExpiration^0.5), 0, 1, TRUE) - 
       $H19*EXP(-RiskFreeRate*TimeToExpiration)*_xlfn.NORM.DIST(AX$2*(LN(Underlying/$H19)+(RiskFreeRate-DividendYield-0.5*AW19^2)*TimeToExpiration)/(AW19*TimeToExpiration^0.5), 0, 1, TRUE)
)</f>
        <v>2.940582371</v>
      </c>
      <c r="AY19" s="40">
        <f t="shared" si="24"/>
        <v>0.3524453125</v>
      </c>
      <c r="AZ19" s="40">
        <f t="shared" si="25"/>
        <v>0.375875</v>
      </c>
      <c r="BA19" s="7">
        <f>BA$2*(Underlying*EXP(-DividendYield*TimeToExpiration)*_xlfn.NORM.DIST(BA$2*(LN(Underlying/$H19)+(RiskFreeRate-DividendYield+0.5*AY19^2)*TimeToExpiration)/(AY19*TimeToExpiration^0.5), 0, 1, TRUE) - 
       $H19*EXP(-RiskFreeRate*TimeToExpiration)*_xlfn.NORM.DIST(BA$2*(LN(Underlying/$H19)+(RiskFreeRate-DividendYield-0.5*AY19^2)*TimeToExpiration)/(AY19*TimeToExpiration^0.5), 0, 1, TRUE)
)</f>
        <v>2.940582371</v>
      </c>
      <c r="BB19" s="7">
        <f>BB$2*(Underlying*EXP(-DividendYield*TimeToExpiration)*_xlfn.NORM.DIST(BB$2*(LN(Underlying/$H19)+(RiskFreeRate-DividendYield+0.5*AZ19^2)*TimeToExpiration)/(AZ19*TimeToExpiration^0.5), 0, 1, TRUE) - 
       $H19*EXP(-RiskFreeRate*TimeToExpiration)*_xlfn.NORM.DIST(BB$2*(LN(Underlying/$H19)+(RiskFreeRate-DividendYield-0.5*AZ19^2)*TimeToExpiration)/(AZ19*TimeToExpiration^0.5), 0, 1, TRUE)
)</f>
        <v>3.319640119</v>
      </c>
      <c r="BC19" s="40">
        <f t="shared" si="26"/>
        <v>0.3641601563</v>
      </c>
      <c r="BD19" s="8">
        <f>BD$2*(Underlying*EXP(-DividendYield*TimeToExpiration)*_xlfn.NORM.DIST(BD$2*(LN(Underlying/$H19)+(RiskFreeRate-DividendYield+0.5*BC19^2)*TimeToExpiration)/(BC19*TimeToExpiration^0.5), 0, 1, TRUE) - 
       $H19*EXP(-RiskFreeRate*TimeToExpiration)*_xlfn.NORM.DIST(BD$2*(LN(Underlying/$H19)+(RiskFreeRate-DividendYield-0.5*BC19^2)*TimeToExpiration)/(BC19*TimeToExpiration^0.5), 0, 1, TRUE)
)</f>
        <v>3.12917757</v>
      </c>
      <c r="BE19" s="40">
        <f t="shared" si="27"/>
        <v>0.3641601563</v>
      </c>
      <c r="BF19" s="40">
        <f t="shared" si="28"/>
        <v>0.375875</v>
      </c>
      <c r="BG19" s="7">
        <f>BG$2*(Underlying*EXP(-DividendYield*TimeToExpiration)*_xlfn.NORM.DIST(BG$2*(LN(Underlying/$H19)+(RiskFreeRate-DividendYield+0.5*BE19^2)*TimeToExpiration)/(BE19*TimeToExpiration^0.5), 0, 1, TRUE) - 
       $H19*EXP(-RiskFreeRate*TimeToExpiration)*_xlfn.NORM.DIST(BG$2*(LN(Underlying/$H19)+(RiskFreeRate-DividendYield-0.5*BE19^2)*TimeToExpiration)/(BE19*TimeToExpiration^0.5), 0, 1, TRUE)
)</f>
        <v>3.12917757</v>
      </c>
      <c r="BH19" s="7">
        <f>BH$2*(Underlying*EXP(-DividendYield*TimeToExpiration)*_xlfn.NORM.DIST(BH$2*(LN(Underlying/$H19)+(RiskFreeRate-DividendYield+0.5*BF19^2)*TimeToExpiration)/(BF19*TimeToExpiration^0.5), 0, 1, TRUE) - 
       $H19*EXP(-RiskFreeRate*TimeToExpiration)*_xlfn.NORM.DIST(BH$2*(LN(Underlying/$H19)+(RiskFreeRate-DividendYield-0.5*BF19^2)*TimeToExpiration)/(BF19*TimeToExpiration^0.5), 0, 1, TRUE)
)</f>
        <v>3.319640119</v>
      </c>
      <c r="BI19" s="40">
        <f t="shared" si="29"/>
        <v>0.3700175781</v>
      </c>
      <c r="BJ19" s="8">
        <f>BJ$2*(Underlying*EXP(-DividendYield*TimeToExpiration)*_xlfn.NORM.DIST(BJ$2*(LN(Underlying/$H19)+(RiskFreeRate-DividendYield+0.5*BI19^2)*TimeToExpiration)/(BI19*TimeToExpiration^0.5), 0, 1, TRUE) - 
       $H19*EXP(-RiskFreeRate*TimeToExpiration)*_xlfn.NORM.DIST(BJ$2*(LN(Underlying/$H19)+(RiskFreeRate-DividendYield-0.5*BI19^2)*TimeToExpiration)/(BI19*TimeToExpiration^0.5), 0, 1, TRUE)
)</f>
        <v>3.224185433</v>
      </c>
      <c r="BK19" s="40">
        <f t="shared" si="30"/>
        <v>0.3700175781</v>
      </c>
      <c r="BL19" s="40">
        <f t="shared" si="31"/>
        <v>0.375875</v>
      </c>
      <c r="BM19" s="7">
        <f>BM$2*(Underlying*EXP(-DividendYield*TimeToExpiration)*_xlfn.NORM.DIST(BM$2*(LN(Underlying/$H19)+(RiskFreeRate-DividendYield+0.5*BK19^2)*TimeToExpiration)/(BK19*TimeToExpiration^0.5), 0, 1, TRUE) - 
       $H19*EXP(-RiskFreeRate*TimeToExpiration)*_xlfn.NORM.DIST(BM$2*(LN(Underlying/$H19)+(RiskFreeRate-DividendYield-0.5*BK19^2)*TimeToExpiration)/(BK19*TimeToExpiration^0.5), 0, 1, TRUE)
)</f>
        <v>3.224185433</v>
      </c>
      <c r="BN19" s="7">
        <f>BN$2*(Underlying*EXP(-DividendYield*TimeToExpiration)*_xlfn.NORM.DIST(BN$2*(LN(Underlying/$H19)+(RiskFreeRate-DividendYield+0.5*BL19^2)*TimeToExpiration)/(BL19*TimeToExpiration^0.5), 0, 1, TRUE) - 
       $H19*EXP(-RiskFreeRate*TimeToExpiration)*_xlfn.NORM.DIST(BN$2*(LN(Underlying/$H19)+(RiskFreeRate-DividendYield-0.5*BL19^2)*TimeToExpiration)/(BL19*TimeToExpiration^0.5), 0, 1, TRUE)
)</f>
        <v>3.319640119</v>
      </c>
      <c r="BO19" s="40">
        <f t="shared" si="32"/>
        <v>0.3729462891</v>
      </c>
      <c r="BP19" s="8">
        <f>BP$2*(Underlying*EXP(-DividendYield*TimeToExpiration)*_xlfn.NORM.DIST(BP$2*(LN(Underlying/$H19)+(RiskFreeRate-DividendYield+0.5*BO19^2)*TimeToExpiration)/(BO19*TimeToExpiration^0.5), 0, 1, TRUE) - 
       $H19*EXP(-RiskFreeRate*TimeToExpiration)*_xlfn.NORM.DIST(BP$2*(LN(Underlying/$H19)+(RiskFreeRate-DividendYield-0.5*BO19^2)*TimeToExpiration)/(BO19*TimeToExpiration^0.5), 0, 1, TRUE)
)</f>
        <v>3.271858114</v>
      </c>
      <c r="BQ19" s="40">
        <f t="shared" si="33"/>
        <v>0.3700175781</v>
      </c>
      <c r="BR19" s="40">
        <f t="shared" si="34"/>
        <v>0.3729462891</v>
      </c>
      <c r="BS19" s="7">
        <f>BS$2*(Underlying*EXP(-DividendYield*TimeToExpiration)*_xlfn.NORM.DIST(BS$2*(LN(Underlying/$H19)+(RiskFreeRate-DividendYield+0.5*BQ19^2)*TimeToExpiration)/(BQ19*TimeToExpiration^0.5), 0, 1, TRUE) - 
       $H19*EXP(-RiskFreeRate*TimeToExpiration)*_xlfn.NORM.DIST(BS$2*(LN(Underlying/$H19)+(RiskFreeRate-DividendYield-0.5*BQ19^2)*TimeToExpiration)/(BQ19*TimeToExpiration^0.5), 0, 1, TRUE)
)</f>
        <v>3.224185433</v>
      </c>
      <c r="BT19" s="7">
        <f>BT$2*(Underlying*EXP(-DividendYield*TimeToExpiration)*_xlfn.NORM.DIST(BT$2*(LN(Underlying/$H19)+(RiskFreeRate-DividendYield+0.5*BR19^2)*TimeToExpiration)/(BR19*TimeToExpiration^0.5), 0, 1, TRUE) - 
       $H19*EXP(-RiskFreeRate*TimeToExpiration)*_xlfn.NORM.DIST(BT$2*(LN(Underlying/$H19)+(RiskFreeRate-DividendYield-0.5*BR19^2)*TimeToExpiration)/(BR19*TimeToExpiration^0.5), 0, 1, TRUE)
)</f>
        <v>3.271858114</v>
      </c>
      <c r="BU19" s="40">
        <f t="shared" si="35"/>
        <v>0.3714819336</v>
      </c>
      <c r="BV19" s="8">
        <f>BV$2*(Underlying*EXP(-DividendYield*TimeToExpiration)*_xlfn.NORM.DIST(BV$2*(LN(Underlying/$H19)+(RiskFreeRate-DividendYield+0.5*BU19^2)*TimeToExpiration)/(BU19*TimeToExpiration^0.5), 0, 1, TRUE) - 
       $H19*EXP(-RiskFreeRate*TimeToExpiration)*_xlfn.NORM.DIST(BV$2*(LN(Underlying/$H19)+(RiskFreeRate-DividendYield-0.5*BU19^2)*TimeToExpiration)/(BU19*TimeToExpiration^0.5), 0, 1, TRUE)
)</f>
        <v>3.248007962</v>
      </c>
      <c r="BW19" s="40">
        <f t="shared" si="36"/>
        <v>0.3714819336</v>
      </c>
      <c r="BX19" s="40">
        <f t="shared" si="37"/>
        <v>0.3729462891</v>
      </c>
      <c r="BY19" s="7">
        <f>BY$2*(Underlying*EXP(-DividendYield*TimeToExpiration)*_xlfn.NORM.DIST(BY$2*(LN(Underlying/$H19)+(RiskFreeRate-DividendYield+0.5*BW19^2)*TimeToExpiration)/(BW19*TimeToExpiration^0.5), 0, 1, TRUE) - 
       $H19*EXP(-RiskFreeRate*TimeToExpiration)*_xlfn.NORM.DIST(BY$2*(LN(Underlying/$H19)+(RiskFreeRate-DividendYield-0.5*BW19^2)*TimeToExpiration)/(BW19*TimeToExpiration^0.5), 0, 1, TRUE)
)</f>
        <v>3.248007962</v>
      </c>
      <c r="BZ19" s="7">
        <f>BZ$2*(Underlying*EXP(-DividendYield*TimeToExpiration)*_xlfn.NORM.DIST(BZ$2*(LN(Underlying/$H19)+(RiskFreeRate-DividendYield+0.5*BX19^2)*TimeToExpiration)/(BX19*TimeToExpiration^0.5), 0, 1, TRUE) - 
       $H19*EXP(-RiskFreeRate*TimeToExpiration)*_xlfn.NORM.DIST(BZ$2*(LN(Underlying/$H19)+(RiskFreeRate-DividendYield-0.5*BX19^2)*TimeToExpiration)/(BX19*TimeToExpiration^0.5), 0, 1, TRUE)
)</f>
        <v>3.271858114</v>
      </c>
      <c r="CA19" s="40">
        <f t="shared" si="38"/>
        <v>0.3722141113</v>
      </c>
      <c r="CB19" s="8">
        <f>CB$2*(Underlying*EXP(-DividendYield*TimeToExpiration)*_xlfn.NORM.DIST(CB$2*(LN(Underlying/$H19)+(RiskFreeRate-DividendYield+0.5*CA19^2)*TimeToExpiration)/(CA19*TimeToExpiration^0.5), 0, 1, TRUE) - 
       $H19*EXP(-RiskFreeRate*TimeToExpiration)*_xlfn.NORM.DIST(CB$2*(LN(Underlying/$H19)+(RiskFreeRate-DividendYield-0.5*CA19^2)*TimeToExpiration)/(CA19*TimeToExpiration^0.5), 0, 1, TRUE)
)</f>
        <v>3.259929603</v>
      </c>
      <c r="CC19" s="40">
        <f t="shared" si="39"/>
        <v>0.3714819336</v>
      </c>
      <c r="CD19" s="40">
        <f t="shared" si="40"/>
        <v>0.3722141113</v>
      </c>
      <c r="CE19" s="7">
        <f>CE$2*(Underlying*EXP(-DividendYield*TimeToExpiration)*_xlfn.NORM.DIST(CE$2*(LN(Underlying/$H19)+(RiskFreeRate-DividendYield+0.5*CC19^2)*TimeToExpiration)/(CC19*TimeToExpiration^0.5), 0, 1, TRUE) - 
       $H19*EXP(-RiskFreeRate*TimeToExpiration)*_xlfn.NORM.DIST(CE$2*(LN(Underlying/$H19)+(RiskFreeRate-DividendYield-0.5*CC19^2)*TimeToExpiration)/(CC19*TimeToExpiration^0.5), 0, 1, TRUE)
)</f>
        <v>3.248007962</v>
      </c>
      <c r="CF19" s="7">
        <f>CF$2*(Underlying*EXP(-DividendYield*TimeToExpiration)*_xlfn.NORM.DIST(CF$2*(LN(Underlying/$H19)+(RiskFreeRate-DividendYield+0.5*CD19^2)*TimeToExpiration)/(CD19*TimeToExpiration^0.5), 0, 1, TRUE) - 
       $H19*EXP(-RiskFreeRate*TimeToExpiration)*_xlfn.NORM.DIST(CF$2*(LN(Underlying/$H19)+(RiskFreeRate-DividendYield-0.5*CD19^2)*TimeToExpiration)/(CD19*TimeToExpiration^0.5), 0, 1, TRUE)
)</f>
        <v>3.259929603</v>
      </c>
      <c r="CG19" s="40">
        <f t="shared" si="41"/>
        <v>0.3718480225</v>
      </c>
      <c r="CH19" s="8">
        <f>CH$2*(Underlying*EXP(-DividendYield*TimeToExpiration)*_xlfn.NORM.DIST(CH$2*(LN(Underlying/$H19)+(RiskFreeRate-DividendYield+0.5*CG19^2)*TimeToExpiration)/(CG19*TimeToExpiration^0.5), 0, 1, TRUE) - 
       $H19*EXP(-RiskFreeRate*TimeToExpiration)*_xlfn.NORM.DIST(CH$2*(LN(Underlying/$H19)+(RiskFreeRate-DividendYield-0.5*CG19^2)*TimeToExpiration)/(CG19*TimeToExpiration^0.5), 0, 1, TRUE)
)</f>
        <v>3.253967922</v>
      </c>
      <c r="CI19" s="40">
        <f t="shared" si="42"/>
        <v>0.3714819336</v>
      </c>
      <c r="CJ19" s="40">
        <f t="shared" si="43"/>
        <v>0.3718480225</v>
      </c>
      <c r="CK19" s="7">
        <f>CK$2*(Underlying*EXP(-DividendYield*TimeToExpiration)*_xlfn.NORM.DIST(CK$2*(LN(Underlying/$H19)+(RiskFreeRate-DividendYield+0.5*CI19^2)*TimeToExpiration)/(CI19*TimeToExpiration^0.5), 0, 1, TRUE) - 
       $H19*EXP(-RiskFreeRate*TimeToExpiration)*_xlfn.NORM.DIST(CK$2*(LN(Underlying/$H19)+(RiskFreeRate-DividendYield-0.5*CI19^2)*TimeToExpiration)/(CI19*TimeToExpiration^0.5), 0, 1, TRUE)
)</f>
        <v>3.248007962</v>
      </c>
      <c r="CL19" s="7">
        <f>CL$2*(Underlying*EXP(-DividendYield*TimeToExpiration)*_xlfn.NORM.DIST(CL$2*(LN(Underlying/$H19)+(RiskFreeRate-DividendYield+0.5*CJ19^2)*TimeToExpiration)/(CJ19*TimeToExpiration^0.5), 0, 1, TRUE) - 
       $H19*EXP(-RiskFreeRate*TimeToExpiration)*_xlfn.NORM.DIST(CL$2*(LN(Underlying/$H19)+(RiskFreeRate-DividendYield-0.5*CJ19^2)*TimeToExpiration)/(CJ19*TimeToExpiration^0.5), 0, 1, TRUE)
)</f>
        <v>3.253967922</v>
      </c>
      <c r="CM19" s="40">
        <f t="shared" si="44"/>
        <v>0.371664978</v>
      </c>
      <c r="CN19" s="8">
        <f>CN$2*(Underlying*EXP(-DividendYield*TimeToExpiration)*_xlfn.NORM.DIST(CN$2*(LN(Underlying/$H19)+(RiskFreeRate-DividendYield+0.5*CM19^2)*TimeToExpiration)/(CM19*TimeToExpiration^0.5), 0, 1, TRUE) - 
       $H19*EXP(-RiskFreeRate*TimeToExpiration)*_xlfn.NORM.DIST(CN$2*(LN(Underlying/$H19)+(RiskFreeRate-DividendYield-0.5*CM19^2)*TimeToExpiration)/(CM19*TimeToExpiration^0.5), 0, 1, TRUE)
)</f>
        <v>3.250987726</v>
      </c>
      <c r="CO19" s="40">
        <f t="shared" si="45"/>
        <v>0.3714819336</v>
      </c>
      <c r="CP19" s="40">
        <f t="shared" si="46"/>
        <v>0.371664978</v>
      </c>
      <c r="CQ19" s="7">
        <f>CQ$2*(Underlying*EXP(-DividendYield*TimeToExpiration)*_xlfn.NORM.DIST(CQ$2*(LN(Underlying/$H19)+(RiskFreeRate-DividendYield+0.5*CO19^2)*TimeToExpiration)/(CO19*TimeToExpiration^0.5), 0, 1, TRUE) - 
       $H19*EXP(-RiskFreeRate*TimeToExpiration)*_xlfn.NORM.DIST(CQ$2*(LN(Underlying/$H19)+(RiskFreeRate-DividendYield-0.5*CO19^2)*TimeToExpiration)/(CO19*TimeToExpiration^0.5), 0, 1, TRUE)
)</f>
        <v>3.248007962</v>
      </c>
      <c r="CR19" s="7">
        <f>CR$2*(Underlying*EXP(-DividendYield*TimeToExpiration)*_xlfn.NORM.DIST(CR$2*(LN(Underlying/$H19)+(RiskFreeRate-DividendYield+0.5*CP19^2)*TimeToExpiration)/(CP19*TimeToExpiration^0.5), 0, 1, TRUE) - 
       $H19*EXP(-RiskFreeRate*TimeToExpiration)*_xlfn.NORM.DIST(CR$2*(LN(Underlying/$H19)+(RiskFreeRate-DividendYield-0.5*CP19^2)*TimeToExpiration)/(CP19*TimeToExpiration^0.5), 0, 1, TRUE)
)</f>
        <v>3.250987726</v>
      </c>
      <c r="CS19" s="40">
        <f t="shared" si="47"/>
        <v>0.3715734558</v>
      </c>
      <c r="CT19" s="8">
        <f>CT$2*(Underlying*EXP(-DividendYield*TimeToExpiration)*_xlfn.NORM.DIST(CT$2*(LN(Underlying/$H19)+(RiskFreeRate-DividendYield+0.5*CS19^2)*TimeToExpiration)/(CS19*TimeToExpiration^0.5), 0, 1, TRUE) - 
       $H19*EXP(-RiskFreeRate*TimeToExpiration)*_xlfn.NORM.DIST(CT$2*(LN(Underlying/$H19)+(RiskFreeRate-DividendYield-0.5*CS19^2)*TimeToExpiration)/(CS19*TimeToExpiration^0.5), 0, 1, TRUE)
)</f>
        <v>3.24949779</v>
      </c>
      <c r="CU19" s="40">
        <f t="shared" si="48"/>
        <v>0.3715734558</v>
      </c>
      <c r="CV19" s="40">
        <f t="shared" si="49"/>
        <v>0.371664978</v>
      </c>
      <c r="CW19" s="7">
        <f>CW$2*(Underlying*EXP(-DividendYield*TimeToExpiration)*_xlfn.NORM.DIST(CW$2*(LN(Underlying/$H19)+(RiskFreeRate-DividendYield+0.5*CU19^2)*TimeToExpiration)/(CU19*TimeToExpiration^0.5), 0, 1, TRUE) - 
       $H19*EXP(-RiskFreeRate*TimeToExpiration)*_xlfn.NORM.DIST(CW$2*(LN(Underlying/$H19)+(RiskFreeRate-DividendYield-0.5*CU19^2)*TimeToExpiration)/(CU19*TimeToExpiration^0.5), 0, 1, TRUE)
)</f>
        <v>3.24949779</v>
      </c>
      <c r="CX19" s="7">
        <f>CX$2*(Underlying*EXP(-DividendYield*TimeToExpiration)*_xlfn.NORM.DIST(CX$2*(LN(Underlying/$H19)+(RiskFreeRate-DividendYield+0.5*CV19^2)*TimeToExpiration)/(CV19*TimeToExpiration^0.5), 0, 1, TRUE) - 
       $H19*EXP(-RiskFreeRate*TimeToExpiration)*_xlfn.NORM.DIST(CX$2*(LN(Underlying/$H19)+(RiskFreeRate-DividendYield-0.5*CV19^2)*TimeToExpiration)/(CV19*TimeToExpiration^0.5), 0, 1, TRUE)
)</f>
        <v>3.250987726</v>
      </c>
      <c r="CY19" s="40">
        <f t="shared" si="50"/>
        <v>0.3716192169</v>
      </c>
      <c r="CZ19" s="8">
        <f>CZ$2*(Underlying*EXP(-DividendYield*TimeToExpiration)*_xlfn.NORM.DIST(CZ$2*(LN(Underlying/$H19)+(RiskFreeRate-DividendYield+0.5*CY19^2)*TimeToExpiration)/(CY19*TimeToExpiration^0.5), 0, 1, TRUE) - 
       $H19*EXP(-RiskFreeRate*TimeToExpiration)*_xlfn.NORM.DIST(CZ$2*(LN(Underlying/$H19)+(RiskFreeRate-DividendYield-0.5*CY19^2)*TimeToExpiration)/(CY19*TimeToExpiration^0.5), 0, 1, TRUE)
)</f>
        <v>3.250242745</v>
      </c>
      <c r="DA19" s="40">
        <f t="shared" si="51"/>
        <v>0.3715734558</v>
      </c>
      <c r="DB19" s="40">
        <f t="shared" si="52"/>
        <v>0.3716192169</v>
      </c>
      <c r="DC19" s="7">
        <f>DC$2*(Underlying*EXP(-DividendYield*TimeToExpiration)*_xlfn.NORM.DIST(DC$2*(LN(Underlying/$H19)+(RiskFreeRate-DividendYield+0.5*DA19^2)*TimeToExpiration)/(DA19*TimeToExpiration^0.5), 0, 1, TRUE) - 
       $H19*EXP(-RiskFreeRate*TimeToExpiration)*_xlfn.NORM.DIST(DC$2*(LN(Underlying/$H19)+(RiskFreeRate-DividendYield-0.5*DA19^2)*TimeToExpiration)/(DA19*TimeToExpiration^0.5), 0, 1, TRUE)
)</f>
        <v>3.24949779</v>
      </c>
      <c r="DD19" s="7">
        <f>DD$2*(Underlying*EXP(-DividendYield*TimeToExpiration)*_xlfn.NORM.DIST(DD$2*(LN(Underlying/$H19)+(RiskFreeRate-DividendYield+0.5*DB19^2)*TimeToExpiration)/(DB19*TimeToExpiration^0.5), 0, 1, TRUE) - 
       $H19*EXP(-RiskFreeRate*TimeToExpiration)*_xlfn.NORM.DIST(DD$2*(LN(Underlying/$H19)+(RiskFreeRate-DividendYield-0.5*DB19^2)*TimeToExpiration)/(DB19*TimeToExpiration^0.5), 0, 1, TRUE)
)</f>
        <v>3.250242745</v>
      </c>
      <c r="DE19" s="40">
        <f t="shared" si="53"/>
        <v>0.3715963364</v>
      </c>
      <c r="DF19" s="8">
        <f>DF$2*(Underlying*EXP(-DividendYield*TimeToExpiration)*_xlfn.NORM.DIST(DF$2*(LN(Underlying/$H19)+(RiskFreeRate-DividendYield+0.5*DE19^2)*TimeToExpiration)/(DE19*TimeToExpiration^0.5), 0, 1, TRUE) - 
       $H19*EXP(-RiskFreeRate*TimeToExpiration)*_xlfn.NORM.DIST(DF$2*(LN(Underlying/$H19)+(RiskFreeRate-DividendYield-0.5*DE19^2)*TimeToExpiration)/(DE19*TimeToExpiration^0.5), 0, 1, TRUE)
)</f>
        <v>3.249870264</v>
      </c>
    </row>
    <row r="20">
      <c r="A20" s="20">
        <f>'Option Mkt Data'!A20</f>
        <v>332.5</v>
      </c>
      <c r="B20" s="35">
        <f t="shared" ref="B20:C20" si="67">DE20</f>
        <v>0.3675693588</v>
      </c>
      <c r="C20" s="7">
        <f t="shared" si="67"/>
        <v>4.000006981</v>
      </c>
      <c r="D20" s="7">
        <f t="shared" si="3"/>
        <v>0.000006980707823</v>
      </c>
      <c r="E20" s="9">
        <f t="shared" si="4"/>
        <v>0.000001745176956</v>
      </c>
      <c r="F20" s="36">
        <f>D20/'Option Mkt Data'!M20</f>
        <v>0.00006980681157</v>
      </c>
      <c r="G20" s="5">
        <f>'Option Mkt Data'!K20</f>
        <v>4</v>
      </c>
      <c r="H20" s="33">
        <f>'Option Mkt Data'!A20</f>
        <v>332.5</v>
      </c>
      <c r="I20" s="37">
        <f>MinSolverVola</f>
        <v>0.001</v>
      </c>
      <c r="J20" s="38">
        <f>MaxSolverVola</f>
        <v>3</v>
      </c>
      <c r="K20" s="39">
        <f>K$2*(Underlying*EXP(-DividendYield*TimeToExpiration)*_xlfn.NORM.DIST(K$2*(LN(Underlying/$H20)+(RiskFreeRate-DividendYield+0.5*I20^2)*TimeToExpiration)/(I20*TimeToExpiration^0.5), 0, 1, TRUE) - 
       $H20*EXP(-RiskFreeRate*TimeToExpiration)*_xlfn.NORM.DIST(K$2*(LN(Underlying/$H20)+(RiskFreeRate-DividendYield-0.5*I20^2)*TimeToExpiration)/(I20*TimeToExpiration^0.5), 0, 1, TRUE)
)</f>
        <v>0</v>
      </c>
      <c r="L20" s="7">
        <f>L$2*(Underlying*EXP(-DividendYield*TimeToExpiration)*_xlfn.NORM.DIST(L$2*(LN(Underlying/$H20)+(RiskFreeRate-DividendYield+0.5*J20^2)*TimeToExpiration)/(J20*TimeToExpiration^0.5), 0, 1, TRUE) - 
       $H20*EXP(-RiskFreeRate*TimeToExpiration)*_xlfn.NORM.DIST(L$2*(LN(Underlying/$H20)+(RiskFreeRate-DividendYield-0.5*J20^2)*TimeToExpiration)/(J20*TimeToExpiration^0.5), 0, 1, TRUE)
)</f>
        <v>52.94650757</v>
      </c>
      <c r="M20" s="40">
        <f t="shared" si="5"/>
        <v>1.5005</v>
      </c>
      <c r="N20" s="8">
        <f>N$2*(Underlying*EXP(-DividendYield*TimeToExpiration)*_xlfn.NORM.DIST(N$2*(LN(Underlying/$H20)+(RiskFreeRate-DividendYield+0.5*M20^2)*TimeToExpiration)/(M20*TimeToExpiration^0.5), 0, 1, TRUE) - 
       $H20*EXP(-RiskFreeRate*TimeToExpiration)*_xlfn.NORM.DIST(N$2*(LN(Underlying/$H20)+(RiskFreeRate-DividendYield-0.5*M20^2)*TimeToExpiration)/(M20*TimeToExpiration^0.5), 0, 1, TRUE)
)</f>
        <v>24.98510344</v>
      </c>
      <c r="O20" s="41">
        <f t="shared" si="6"/>
        <v>0.001</v>
      </c>
      <c r="P20" s="40">
        <f t="shared" si="7"/>
        <v>1.5005</v>
      </c>
      <c r="Q20" s="7">
        <f>Q$2*(Underlying*EXP(-DividendYield*TimeToExpiration)*_xlfn.NORM.DIST(Q$2*(LN(Underlying/$H20)+(RiskFreeRate-DividendYield+0.5*O20^2)*TimeToExpiration)/(O20*TimeToExpiration^0.5), 0, 1, TRUE) - 
       $H20*EXP(-RiskFreeRate*TimeToExpiration)*_xlfn.NORM.DIST(Q$2*(LN(Underlying/$H20)+(RiskFreeRate-DividendYield-0.5*O20^2)*TimeToExpiration)/(O20*TimeToExpiration^0.5), 0, 1, TRUE)
)</f>
        <v>0</v>
      </c>
      <c r="R20" s="7">
        <f>R$2*(Underlying*EXP(-DividendYield*TimeToExpiration)*_xlfn.NORM.DIST(R$2*(LN(Underlying/$H20)+(RiskFreeRate-DividendYield+0.5*P20^2)*TimeToExpiration)/(P20*TimeToExpiration^0.5), 0, 1, TRUE) - 
       $H20*EXP(-RiskFreeRate*TimeToExpiration)*_xlfn.NORM.DIST(R$2*(LN(Underlying/$H20)+(RiskFreeRate-DividendYield-0.5*P20^2)*TimeToExpiration)/(P20*TimeToExpiration^0.5), 0, 1, TRUE)
)</f>
        <v>24.98510344</v>
      </c>
      <c r="S20" s="40">
        <f t="shared" si="8"/>
        <v>0.75075</v>
      </c>
      <c r="T20" s="8">
        <f>T$2*(Underlying*EXP(-DividendYield*TimeToExpiration)*_xlfn.NORM.DIST(T$2*(LN(Underlying/$H20)+(RiskFreeRate-DividendYield+0.5*S20^2)*TimeToExpiration)/(S20*TimeToExpiration^0.5), 0, 1, TRUE) - 
       $H20*EXP(-RiskFreeRate*TimeToExpiration)*_xlfn.NORM.DIST(T$2*(LN(Underlying/$H20)+(RiskFreeRate-DividendYield-0.5*S20^2)*TimeToExpiration)/(S20*TimeToExpiration^0.5), 0, 1, TRUE)
)</f>
        <v>10.96911512</v>
      </c>
      <c r="U20" s="41">
        <f t="shared" si="9"/>
        <v>0.001</v>
      </c>
      <c r="V20" s="40">
        <f t="shared" si="10"/>
        <v>0.75075</v>
      </c>
      <c r="W20" s="7">
        <f>W$2*(Underlying*EXP(-DividendYield*TimeToExpiration)*_xlfn.NORM.DIST(W$2*(LN(Underlying/$H20)+(RiskFreeRate-DividendYield+0.5*U20^2)*TimeToExpiration)/(U20*TimeToExpiration^0.5), 0, 1, TRUE) - 
       $H20*EXP(-RiskFreeRate*TimeToExpiration)*_xlfn.NORM.DIST(W$2*(LN(Underlying/$H20)+(RiskFreeRate-DividendYield-0.5*U20^2)*TimeToExpiration)/(U20*TimeToExpiration^0.5), 0, 1, TRUE)
)</f>
        <v>0</v>
      </c>
      <c r="X20" s="7">
        <f>X$2*(Underlying*EXP(-DividendYield*TimeToExpiration)*_xlfn.NORM.DIST(X$2*(LN(Underlying/$H20)+(RiskFreeRate-DividendYield+0.5*V20^2)*TimeToExpiration)/(V20*TimeToExpiration^0.5), 0, 1, TRUE) - 
       $H20*EXP(-RiskFreeRate*TimeToExpiration)*_xlfn.NORM.DIST(X$2*(LN(Underlying/$H20)+(RiskFreeRate-DividendYield-0.5*V20^2)*TimeToExpiration)/(V20*TimeToExpiration^0.5), 0, 1, TRUE)
)</f>
        <v>10.96911512</v>
      </c>
      <c r="Y20" s="40">
        <f t="shared" si="11"/>
        <v>0.375875</v>
      </c>
      <c r="Z20" s="8">
        <f>Z$2*(Underlying*EXP(-DividendYield*TimeToExpiration)*_xlfn.NORM.DIST(Z$2*(LN(Underlying/$H20)+(RiskFreeRate-DividendYield+0.5*Y20^2)*TimeToExpiration)/(Y20*TimeToExpiration^0.5), 0, 1, TRUE) - 
       $H20*EXP(-RiskFreeRate*TimeToExpiration)*_xlfn.NORM.DIST(Z$2*(LN(Underlying/$H20)+(RiskFreeRate-DividendYield-0.5*Y20^2)*TimeToExpiration)/(Y20*TimeToExpiration^0.5), 0, 1, TRUE)
)</f>
        <v>4.145229548</v>
      </c>
      <c r="AA20" s="41">
        <f t="shared" si="12"/>
        <v>0.001</v>
      </c>
      <c r="AB20" s="40">
        <f t="shared" si="13"/>
        <v>0.375875</v>
      </c>
      <c r="AC20" s="7">
        <f>AC$2*(Underlying*EXP(-DividendYield*TimeToExpiration)*_xlfn.NORM.DIST(AC$2*(LN(Underlying/$H20)+(RiskFreeRate-DividendYield+0.5*AA20^2)*TimeToExpiration)/(AA20*TimeToExpiration^0.5), 0, 1, TRUE) - 
       $H20*EXP(-RiskFreeRate*TimeToExpiration)*_xlfn.NORM.DIST(AC$2*(LN(Underlying/$H20)+(RiskFreeRate-DividendYield-0.5*AA20^2)*TimeToExpiration)/(AA20*TimeToExpiration^0.5), 0, 1, TRUE)
)</f>
        <v>0</v>
      </c>
      <c r="AD20" s="7">
        <f>AD$2*(Underlying*EXP(-DividendYield*TimeToExpiration)*_xlfn.NORM.DIST(AD$2*(LN(Underlying/$H20)+(RiskFreeRate-DividendYield+0.5*AB20^2)*TimeToExpiration)/(AB20*TimeToExpiration^0.5), 0, 1, TRUE) - 
       $H20*EXP(-RiskFreeRate*TimeToExpiration)*_xlfn.NORM.DIST(AD$2*(LN(Underlying/$H20)+(RiskFreeRate-DividendYield-0.5*AB20^2)*TimeToExpiration)/(AB20*TimeToExpiration^0.5), 0, 1, TRUE)
)</f>
        <v>4.145229548</v>
      </c>
      <c r="AE20" s="40">
        <f t="shared" si="14"/>
        <v>0.1884375</v>
      </c>
      <c r="AF20" s="8">
        <f>AF$2*(Underlying*EXP(-DividendYield*TimeToExpiration)*_xlfn.NORM.DIST(AF$2*(LN(Underlying/$H20)+(RiskFreeRate-DividendYield+0.5*AE20^2)*TimeToExpiration)/(AE20*TimeToExpiration^0.5), 0, 1, TRUE) - 
       $H20*EXP(-RiskFreeRate*TimeToExpiration)*_xlfn.NORM.DIST(AF$2*(LN(Underlying/$H20)+(RiskFreeRate-DividendYield-0.5*AE20^2)*TimeToExpiration)/(AE20*TimeToExpiration^0.5), 0, 1, TRUE)
)</f>
        <v>1.100321256</v>
      </c>
      <c r="AG20" s="40">
        <f t="shared" si="15"/>
        <v>0.1884375</v>
      </c>
      <c r="AH20" s="40">
        <f t="shared" si="16"/>
        <v>0.375875</v>
      </c>
      <c r="AI20" s="7">
        <f>AI$2*(Underlying*EXP(-DividendYield*TimeToExpiration)*_xlfn.NORM.DIST(AI$2*(LN(Underlying/$H20)+(RiskFreeRate-DividendYield+0.5*AG20^2)*TimeToExpiration)/(AG20*TimeToExpiration^0.5), 0, 1, TRUE) - 
       $H20*EXP(-RiskFreeRate*TimeToExpiration)*_xlfn.NORM.DIST(AI$2*(LN(Underlying/$H20)+(RiskFreeRate-DividendYield-0.5*AG20^2)*TimeToExpiration)/(AG20*TimeToExpiration^0.5), 0, 1, TRUE)
)</f>
        <v>1.100321256</v>
      </c>
      <c r="AJ20" s="7">
        <f>AJ$2*(Underlying*EXP(-DividendYield*TimeToExpiration)*_xlfn.NORM.DIST(AJ$2*(LN(Underlying/$H20)+(RiskFreeRate-DividendYield+0.5*AH20^2)*TimeToExpiration)/(AH20*TimeToExpiration^0.5), 0, 1, TRUE) - 
       $H20*EXP(-RiskFreeRate*TimeToExpiration)*_xlfn.NORM.DIST(AJ$2*(LN(Underlying/$H20)+(RiskFreeRate-DividendYield-0.5*AH20^2)*TimeToExpiration)/(AH20*TimeToExpiration^0.5), 0, 1, TRUE)
)</f>
        <v>4.145229548</v>
      </c>
      <c r="AK20" s="40">
        <f t="shared" si="17"/>
        <v>0.28215625</v>
      </c>
      <c r="AL20" s="8">
        <f>AL$2*(Underlying*EXP(-DividendYield*TimeToExpiration)*_xlfn.NORM.DIST(AL$2*(LN(Underlying/$H20)+(RiskFreeRate-DividendYield+0.5*AK20^2)*TimeToExpiration)/(AK20*TimeToExpiration^0.5), 0, 1, TRUE) - 
       $H20*EXP(-RiskFreeRate*TimeToExpiration)*_xlfn.NORM.DIST(AL$2*(LN(Underlying/$H20)+(RiskFreeRate-DividendYield-0.5*AK20^2)*TimeToExpiration)/(AK20*TimeToExpiration^0.5), 0, 1, TRUE)
)</f>
        <v>2.545225357</v>
      </c>
      <c r="AM20" s="40">
        <f t="shared" si="18"/>
        <v>0.28215625</v>
      </c>
      <c r="AN20" s="40">
        <f t="shared" si="19"/>
        <v>0.375875</v>
      </c>
      <c r="AO20" s="7">
        <f>AO$2*(Underlying*EXP(-DividendYield*TimeToExpiration)*_xlfn.NORM.DIST(AO$2*(LN(Underlying/$H20)+(RiskFreeRate-DividendYield+0.5*AM20^2)*TimeToExpiration)/(AM20*TimeToExpiration^0.5), 0, 1, TRUE) - 
       $H20*EXP(-RiskFreeRate*TimeToExpiration)*_xlfn.NORM.DIST(AO$2*(LN(Underlying/$H20)+(RiskFreeRate-DividendYield-0.5*AM20^2)*TimeToExpiration)/(AM20*TimeToExpiration^0.5), 0, 1, TRUE)
)</f>
        <v>2.545225357</v>
      </c>
      <c r="AP20" s="7">
        <f>AP$2*(Underlying*EXP(-DividendYield*TimeToExpiration)*_xlfn.NORM.DIST(AP$2*(LN(Underlying/$H20)+(RiskFreeRate-DividendYield+0.5*AN20^2)*TimeToExpiration)/(AN20*TimeToExpiration^0.5), 0, 1, TRUE) - 
       $H20*EXP(-RiskFreeRate*TimeToExpiration)*_xlfn.NORM.DIST(AP$2*(LN(Underlying/$H20)+(RiskFreeRate-DividendYield-0.5*AN20^2)*TimeToExpiration)/(AN20*TimeToExpiration^0.5), 0, 1, TRUE)
)</f>
        <v>4.145229548</v>
      </c>
      <c r="AQ20" s="40">
        <f t="shared" si="20"/>
        <v>0.329015625</v>
      </c>
      <c r="AR20" s="8">
        <f>AR$2*(Underlying*EXP(-DividendYield*TimeToExpiration)*_xlfn.NORM.DIST(AR$2*(LN(Underlying/$H20)+(RiskFreeRate-DividendYield+0.5*AQ20^2)*TimeToExpiration)/(AQ20*TimeToExpiration^0.5), 0, 1, TRUE) - 
       $H20*EXP(-RiskFreeRate*TimeToExpiration)*_xlfn.NORM.DIST(AR$2*(LN(Underlying/$H20)+(RiskFreeRate-DividendYield-0.5*AQ20^2)*TimeToExpiration)/(AQ20*TimeToExpiration^0.5), 0, 1, TRUE)
)</f>
        <v>3.333460322</v>
      </c>
      <c r="AS20" s="40">
        <f t="shared" si="21"/>
        <v>0.329015625</v>
      </c>
      <c r="AT20" s="40">
        <f t="shared" si="22"/>
        <v>0.375875</v>
      </c>
      <c r="AU20" s="7">
        <f>AU$2*(Underlying*EXP(-DividendYield*TimeToExpiration)*_xlfn.NORM.DIST(AU$2*(LN(Underlying/$H20)+(RiskFreeRate-DividendYield+0.5*AS20^2)*TimeToExpiration)/(AS20*TimeToExpiration^0.5), 0, 1, TRUE) - 
       $H20*EXP(-RiskFreeRate*TimeToExpiration)*_xlfn.NORM.DIST(AU$2*(LN(Underlying/$H20)+(RiskFreeRate-DividendYield-0.5*AS20^2)*TimeToExpiration)/(AS20*TimeToExpiration^0.5), 0, 1, TRUE)
)</f>
        <v>3.333460322</v>
      </c>
      <c r="AV20" s="7">
        <f>AV$2*(Underlying*EXP(-DividendYield*TimeToExpiration)*_xlfn.NORM.DIST(AV$2*(LN(Underlying/$H20)+(RiskFreeRate-DividendYield+0.5*AT20^2)*TimeToExpiration)/(AT20*TimeToExpiration^0.5), 0, 1, TRUE) - 
       $H20*EXP(-RiskFreeRate*TimeToExpiration)*_xlfn.NORM.DIST(AV$2*(LN(Underlying/$H20)+(RiskFreeRate-DividendYield-0.5*AT20^2)*TimeToExpiration)/(AT20*TimeToExpiration^0.5), 0, 1, TRUE)
)</f>
        <v>4.145229548</v>
      </c>
      <c r="AW20" s="40">
        <f t="shared" si="23"/>
        <v>0.3524453125</v>
      </c>
      <c r="AX20" s="8">
        <f>AX$2*(Underlying*EXP(-DividendYield*TimeToExpiration)*_xlfn.NORM.DIST(AX$2*(LN(Underlying/$H20)+(RiskFreeRate-DividendYield+0.5*AW20^2)*TimeToExpiration)/(AW20*TimeToExpiration^0.5), 0, 1, TRUE) - 
       $H20*EXP(-RiskFreeRate*TimeToExpiration)*_xlfn.NORM.DIST(AX$2*(LN(Underlying/$H20)+(RiskFreeRate-DividendYield-0.5*AW20^2)*TimeToExpiration)/(AW20*TimeToExpiration^0.5), 0, 1, TRUE)
)</f>
        <v>3.736955059</v>
      </c>
      <c r="AY20" s="40">
        <f t="shared" si="24"/>
        <v>0.3524453125</v>
      </c>
      <c r="AZ20" s="40">
        <f t="shared" si="25"/>
        <v>0.375875</v>
      </c>
      <c r="BA20" s="7">
        <f>BA$2*(Underlying*EXP(-DividendYield*TimeToExpiration)*_xlfn.NORM.DIST(BA$2*(LN(Underlying/$H20)+(RiskFreeRate-DividendYield+0.5*AY20^2)*TimeToExpiration)/(AY20*TimeToExpiration^0.5), 0, 1, TRUE) - 
       $H20*EXP(-RiskFreeRate*TimeToExpiration)*_xlfn.NORM.DIST(BA$2*(LN(Underlying/$H20)+(RiskFreeRate-DividendYield-0.5*AY20^2)*TimeToExpiration)/(AY20*TimeToExpiration^0.5), 0, 1, TRUE)
)</f>
        <v>3.736955059</v>
      </c>
      <c r="BB20" s="7">
        <f>BB$2*(Underlying*EXP(-DividendYield*TimeToExpiration)*_xlfn.NORM.DIST(BB$2*(LN(Underlying/$H20)+(RiskFreeRate-DividendYield+0.5*AZ20^2)*TimeToExpiration)/(AZ20*TimeToExpiration^0.5), 0, 1, TRUE) - 
       $H20*EXP(-RiskFreeRate*TimeToExpiration)*_xlfn.NORM.DIST(BB$2*(LN(Underlying/$H20)+(RiskFreeRate-DividendYield-0.5*AZ20^2)*TimeToExpiration)/(AZ20*TimeToExpiration^0.5), 0, 1, TRUE)
)</f>
        <v>4.145229548</v>
      </c>
      <c r="BC20" s="40">
        <f t="shared" si="26"/>
        <v>0.3641601563</v>
      </c>
      <c r="BD20" s="8">
        <f>BD$2*(Underlying*EXP(-DividendYield*TimeToExpiration)*_xlfn.NORM.DIST(BD$2*(LN(Underlying/$H20)+(RiskFreeRate-DividendYield+0.5*BC20^2)*TimeToExpiration)/(BC20*TimeToExpiration^0.5), 0, 1, TRUE) - 
       $H20*EXP(-RiskFreeRate*TimeToExpiration)*_xlfn.NORM.DIST(BD$2*(LN(Underlying/$H20)+(RiskFreeRate-DividendYield-0.5*BC20^2)*TimeToExpiration)/(BC20*TimeToExpiration^0.5), 0, 1, TRUE)
)</f>
        <v>3.940549501</v>
      </c>
      <c r="BE20" s="40">
        <f t="shared" si="27"/>
        <v>0.3641601563</v>
      </c>
      <c r="BF20" s="40">
        <f t="shared" si="28"/>
        <v>0.375875</v>
      </c>
      <c r="BG20" s="7">
        <f>BG$2*(Underlying*EXP(-DividendYield*TimeToExpiration)*_xlfn.NORM.DIST(BG$2*(LN(Underlying/$H20)+(RiskFreeRate-DividendYield+0.5*BE20^2)*TimeToExpiration)/(BE20*TimeToExpiration^0.5), 0, 1, TRUE) - 
       $H20*EXP(-RiskFreeRate*TimeToExpiration)*_xlfn.NORM.DIST(BG$2*(LN(Underlying/$H20)+(RiskFreeRate-DividendYield-0.5*BE20^2)*TimeToExpiration)/(BE20*TimeToExpiration^0.5), 0, 1, TRUE)
)</f>
        <v>3.940549501</v>
      </c>
      <c r="BH20" s="7">
        <f>BH$2*(Underlying*EXP(-DividendYield*TimeToExpiration)*_xlfn.NORM.DIST(BH$2*(LN(Underlying/$H20)+(RiskFreeRate-DividendYield+0.5*BF20^2)*TimeToExpiration)/(BF20*TimeToExpiration^0.5), 0, 1, TRUE) - 
       $H20*EXP(-RiskFreeRate*TimeToExpiration)*_xlfn.NORM.DIST(BH$2*(LN(Underlying/$H20)+(RiskFreeRate-DividendYield-0.5*BF20^2)*TimeToExpiration)/(BF20*TimeToExpiration^0.5), 0, 1, TRUE)
)</f>
        <v>4.145229548</v>
      </c>
      <c r="BI20" s="40">
        <f t="shared" si="29"/>
        <v>0.3700175781</v>
      </c>
      <c r="BJ20" s="8">
        <f>BJ$2*(Underlying*EXP(-DividendYield*TimeToExpiration)*_xlfn.NORM.DIST(BJ$2*(LN(Underlying/$H20)+(RiskFreeRate-DividendYield+0.5*BI20^2)*TimeToExpiration)/(BI20*TimeToExpiration^0.5), 0, 1, TRUE) - 
       $H20*EXP(-RiskFreeRate*TimeToExpiration)*_xlfn.NORM.DIST(BJ$2*(LN(Underlying/$H20)+(RiskFreeRate-DividendYield-0.5*BI20^2)*TimeToExpiration)/(BI20*TimeToExpiration^0.5), 0, 1, TRUE)
)</f>
        <v>4.042759955</v>
      </c>
      <c r="BK20" s="40">
        <f t="shared" si="30"/>
        <v>0.3641601563</v>
      </c>
      <c r="BL20" s="40">
        <f t="shared" si="31"/>
        <v>0.3700175781</v>
      </c>
      <c r="BM20" s="7">
        <f>BM$2*(Underlying*EXP(-DividendYield*TimeToExpiration)*_xlfn.NORM.DIST(BM$2*(LN(Underlying/$H20)+(RiskFreeRate-DividendYield+0.5*BK20^2)*TimeToExpiration)/(BK20*TimeToExpiration^0.5), 0, 1, TRUE) - 
       $H20*EXP(-RiskFreeRate*TimeToExpiration)*_xlfn.NORM.DIST(BM$2*(LN(Underlying/$H20)+(RiskFreeRate-DividendYield-0.5*BK20^2)*TimeToExpiration)/(BK20*TimeToExpiration^0.5), 0, 1, TRUE)
)</f>
        <v>3.940549501</v>
      </c>
      <c r="BN20" s="7">
        <f>BN$2*(Underlying*EXP(-DividendYield*TimeToExpiration)*_xlfn.NORM.DIST(BN$2*(LN(Underlying/$H20)+(RiskFreeRate-DividendYield+0.5*BL20^2)*TimeToExpiration)/(BL20*TimeToExpiration^0.5), 0, 1, TRUE) - 
       $H20*EXP(-RiskFreeRate*TimeToExpiration)*_xlfn.NORM.DIST(BN$2*(LN(Underlying/$H20)+(RiskFreeRate-DividendYield-0.5*BL20^2)*TimeToExpiration)/(BL20*TimeToExpiration^0.5), 0, 1, TRUE)
)</f>
        <v>4.042759955</v>
      </c>
      <c r="BO20" s="40">
        <f t="shared" si="32"/>
        <v>0.3670888672</v>
      </c>
      <c r="BP20" s="8">
        <f>BP$2*(Underlying*EXP(-DividendYield*TimeToExpiration)*_xlfn.NORM.DIST(BP$2*(LN(Underlying/$H20)+(RiskFreeRate-DividendYield+0.5*BO20^2)*TimeToExpiration)/(BO20*TimeToExpiration^0.5), 0, 1, TRUE) - 
       $H20*EXP(-RiskFreeRate*TimeToExpiration)*_xlfn.NORM.DIST(BP$2*(LN(Underlying/$H20)+(RiskFreeRate-DividendYield-0.5*BO20^2)*TimeToExpiration)/(BO20*TimeToExpiration^0.5), 0, 1, TRUE)
)</f>
        <v>3.991621598</v>
      </c>
      <c r="BQ20" s="40">
        <f t="shared" si="33"/>
        <v>0.3670888672</v>
      </c>
      <c r="BR20" s="40">
        <f t="shared" si="34"/>
        <v>0.3700175781</v>
      </c>
      <c r="BS20" s="7">
        <f>BS$2*(Underlying*EXP(-DividendYield*TimeToExpiration)*_xlfn.NORM.DIST(BS$2*(LN(Underlying/$H20)+(RiskFreeRate-DividendYield+0.5*BQ20^2)*TimeToExpiration)/(BQ20*TimeToExpiration^0.5), 0, 1, TRUE) - 
       $H20*EXP(-RiskFreeRate*TimeToExpiration)*_xlfn.NORM.DIST(BS$2*(LN(Underlying/$H20)+(RiskFreeRate-DividendYield-0.5*BQ20^2)*TimeToExpiration)/(BQ20*TimeToExpiration^0.5), 0, 1, TRUE)
)</f>
        <v>3.991621598</v>
      </c>
      <c r="BT20" s="7">
        <f>BT$2*(Underlying*EXP(-DividendYield*TimeToExpiration)*_xlfn.NORM.DIST(BT$2*(LN(Underlying/$H20)+(RiskFreeRate-DividendYield+0.5*BR20^2)*TimeToExpiration)/(BR20*TimeToExpiration^0.5), 0, 1, TRUE) - 
       $H20*EXP(-RiskFreeRate*TimeToExpiration)*_xlfn.NORM.DIST(BT$2*(LN(Underlying/$H20)+(RiskFreeRate-DividendYield-0.5*BR20^2)*TimeToExpiration)/(BR20*TimeToExpiration^0.5), 0, 1, TRUE)
)</f>
        <v>4.042759955</v>
      </c>
      <c r="BU20" s="40">
        <f t="shared" si="35"/>
        <v>0.3685532227</v>
      </c>
      <c r="BV20" s="8">
        <f>BV$2*(Underlying*EXP(-DividendYield*TimeToExpiration)*_xlfn.NORM.DIST(BV$2*(LN(Underlying/$H20)+(RiskFreeRate-DividendYield+0.5*BU20^2)*TimeToExpiration)/(BU20*TimeToExpiration^0.5), 0, 1, TRUE) - 
       $H20*EXP(-RiskFreeRate*TimeToExpiration)*_xlfn.NORM.DIST(BV$2*(LN(Underlying/$H20)+(RiskFreeRate-DividendYield-0.5*BU20^2)*TimeToExpiration)/(BU20*TimeToExpiration^0.5), 0, 1, TRUE)
)</f>
        <v>4.017182588</v>
      </c>
      <c r="BW20" s="40">
        <f t="shared" si="36"/>
        <v>0.3670888672</v>
      </c>
      <c r="BX20" s="40">
        <f t="shared" si="37"/>
        <v>0.3685532227</v>
      </c>
      <c r="BY20" s="7">
        <f>BY$2*(Underlying*EXP(-DividendYield*TimeToExpiration)*_xlfn.NORM.DIST(BY$2*(LN(Underlying/$H20)+(RiskFreeRate-DividendYield+0.5*BW20^2)*TimeToExpiration)/(BW20*TimeToExpiration^0.5), 0, 1, TRUE) - 
       $H20*EXP(-RiskFreeRate*TimeToExpiration)*_xlfn.NORM.DIST(BY$2*(LN(Underlying/$H20)+(RiskFreeRate-DividendYield-0.5*BW20^2)*TimeToExpiration)/(BW20*TimeToExpiration^0.5), 0, 1, TRUE)
)</f>
        <v>3.991621598</v>
      </c>
      <c r="BZ20" s="7">
        <f>BZ$2*(Underlying*EXP(-DividendYield*TimeToExpiration)*_xlfn.NORM.DIST(BZ$2*(LN(Underlying/$H20)+(RiskFreeRate-DividendYield+0.5*BX20^2)*TimeToExpiration)/(BX20*TimeToExpiration^0.5), 0, 1, TRUE) - 
       $H20*EXP(-RiskFreeRate*TimeToExpiration)*_xlfn.NORM.DIST(BZ$2*(LN(Underlying/$H20)+(RiskFreeRate-DividendYield-0.5*BX20^2)*TimeToExpiration)/(BX20*TimeToExpiration^0.5), 0, 1, TRUE)
)</f>
        <v>4.017182588</v>
      </c>
      <c r="CA20" s="40">
        <f t="shared" si="38"/>
        <v>0.3678210449</v>
      </c>
      <c r="CB20" s="8">
        <f>CB$2*(Underlying*EXP(-DividendYield*TimeToExpiration)*_xlfn.NORM.DIST(CB$2*(LN(Underlying/$H20)+(RiskFreeRate-DividendYield+0.5*CA20^2)*TimeToExpiration)/(CA20*TimeToExpiration^0.5), 0, 1, TRUE) - 
       $H20*EXP(-RiskFreeRate*TimeToExpiration)*_xlfn.NORM.DIST(CB$2*(LN(Underlying/$H20)+(RiskFreeRate-DividendYield-0.5*CA20^2)*TimeToExpiration)/(CA20*TimeToExpiration^0.5), 0, 1, TRUE)
)</f>
        <v>4.004400034</v>
      </c>
      <c r="CC20" s="40">
        <f t="shared" si="39"/>
        <v>0.3670888672</v>
      </c>
      <c r="CD20" s="40">
        <f t="shared" si="40"/>
        <v>0.3678210449</v>
      </c>
      <c r="CE20" s="7">
        <f>CE$2*(Underlying*EXP(-DividendYield*TimeToExpiration)*_xlfn.NORM.DIST(CE$2*(LN(Underlying/$H20)+(RiskFreeRate-DividendYield+0.5*CC20^2)*TimeToExpiration)/(CC20*TimeToExpiration^0.5), 0, 1, TRUE) - 
       $H20*EXP(-RiskFreeRate*TimeToExpiration)*_xlfn.NORM.DIST(CE$2*(LN(Underlying/$H20)+(RiskFreeRate-DividendYield-0.5*CC20^2)*TimeToExpiration)/(CC20*TimeToExpiration^0.5), 0, 1, TRUE)
)</f>
        <v>3.991621598</v>
      </c>
      <c r="CF20" s="7">
        <f>CF$2*(Underlying*EXP(-DividendYield*TimeToExpiration)*_xlfn.NORM.DIST(CF$2*(LN(Underlying/$H20)+(RiskFreeRate-DividendYield+0.5*CD20^2)*TimeToExpiration)/(CD20*TimeToExpiration^0.5), 0, 1, TRUE) - 
       $H20*EXP(-RiskFreeRate*TimeToExpiration)*_xlfn.NORM.DIST(CF$2*(LN(Underlying/$H20)+(RiskFreeRate-DividendYield-0.5*CD20^2)*TimeToExpiration)/(CD20*TimeToExpiration^0.5), 0, 1, TRUE)
)</f>
        <v>4.004400034</v>
      </c>
      <c r="CG20" s="40">
        <f t="shared" si="41"/>
        <v>0.3674549561</v>
      </c>
      <c r="CH20" s="8">
        <f>CH$2*(Underlying*EXP(-DividendYield*TimeToExpiration)*_xlfn.NORM.DIST(CH$2*(LN(Underlying/$H20)+(RiskFreeRate-DividendYield+0.5*CG20^2)*TimeToExpiration)/(CG20*TimeToExpiration^0.5), 0, 1, TRUE) - 
       $H20*EXP(-RiskFreeRate*TimeToExpiration)*_xlfn.NORM.DIST(CH$2*(LN(Underlying/$H20)+(RiskFreeRate-DividendYield-0.5*CG20^2)*TimeToExpiration)/(CG20*TimeToExpiration^0.5), 0, 1, TRUE)
)</f>
        <v>3.9980103</v>
      </c>
      <c r="CI20" s="40">
        <f t="shared" si="42"/>
        <v>0.3674549561</v>
      </c>
      <c r="CJ20" s="40">
        <f t="shared" si="43"/>
        <v>0.3678210449</v>
      </c>
      <c r="CK20" s="7">
        <f>CK$2*(Underlying*EXP(-DividendYield*TimeToExpiration)*_xlfn.NORM.DIST(CK$2*(LN(Underlying/$H20)+(RiskFreeRate-DividendYield+0.5*CI20^2)*TimeToExpiration)/(CI20*TimeToExpiration^0.5), 0, 1, TRUE) - 
       $H20*EXP(-RiskFreeRate*TimeToExpiration)*_xlfn.NORM.DIST(CK$2*(LN(Underlying/$H20)+(RiskFreeRate-DividendYield-0.5*CI20^2)*TimeToExpiration)/(CI20*TimeToExpiration^0.5), 0, 1, TRUE)
)</f>
        <v>3.9980103</v>
      </c>
      <c r="CL20" s="7">
        <f>CL$2*(Underlying*EXP(-DividendYield*TimeToExpiration)*_xlfn.NORM.DIST(CL$2*(LN(Underlying/$H20)+(RiskFreeRate-DividendYield+0.5*CJ20^2)*TimeToExpiration)/(CJ20*TimeToExpiration^0.5), 0, 1, TRUE) - 
       $H20*EXP(-RiskFreeRate*TimeToExpiration)*_xlfn.NORM.DIST(CL$2*(LN(Underlying/$H20)+(RiskFreeRate-DividendYield-0.5*CJ20^2)*TimeToExpiration)/(CJ20*TimeToExpiration^0.5), 0, 1, TRUE)
)</f>
        <v>4.004400034</v>
      </c>
      <c r="CM20" s="40">
        <f t="shared" si="44"/>
        <v>0.3676380005</v>
      </c>
      <c r="CN20" s="8">
        <f>CN$2*(Underlying*EXP(-DividendYield*TimeToExpiration)*_xlfn.NORM.DIST(CN$2*(LN(Underlying/$H20)+(RiskFreeRate-DividendYield+0.5*CM20^2)*TimeToExpiration)/(CM20*TimeToExpiration^0.5), 0, 1, TRUE) - 
       $H20*EXP(-RiskFreeRate*TimeToExpiration)*_xlfn.NORM.DIST(CN$2*(LN(Underlying/$H20)+(RiskFreeRate-DividendYield-0.5*CM20^2)*TimeToExpiration)/(CM20*TimeToExpiration^0.5), 0, 1, TRUE)
)</f>
        <v>4.001205038</v>
      </c>
      <c r="CO20" s="40">
        <f t="shared" si="45"/>
        <v>0.3674549561</v>
      </c>
      <c r="CP20" s="40">
        <f t="shared" si="46"/>
        <v>0.3676380005</v>
      </c>
      <c r="CQ20" s="7">
        <f>CQ$2*(Underlying*EXP(-DividendYield*TimeToExpiration)*_xlfn.NORM.DIST(CQ$2*(LN(Underlying/$H20)+(RiskFreeRate-DividendYield+0.5*CO20^2)*TimeToExpiration)/(CO20*TimeToExpiration^0.5), 0, 1, TRUE) - 
       $H20*EXP(-RiskFreeRate*TimeToExpiration)*_xlfn.NORM.DIST(CQ$2*(LN(Underlying/$H20)+(RiskFreeRate-DividendYield-0.5*CO20^2)*TimeToExpiration)/(CO20*TimeToExpiration^0.5), 0, 1, TRUE)
)</f>
        <v>3.9980103</v>
      </c>
      <c r="CR20" s="7">
        <f>CR$2*(Underlying*EXP(-DividendYield*TimeToExpiration)*_xlfn.NORM.DIST(CR$2*(LN(Underlying/$H20)+(RiskFreeRate-DividendYield+0.5*CP20^2)*TimeToExpiration)/(CP20*TimeToExpiration^0.5), 0, 1, TRUE) - 
       $H20*EXP(-RiskFreeRate*TimeToExpiration)*_xlfn.NORM.DIST(CR$2*(LN(Underlying/$H20)+(RiskFreeRate-DividendYield-0.5*CP20^2)*TimeToExpiration)/(CP20*TimeToExpiration^0.5), 0, 1, TRUE)
)</f>
        <v>4.001205038</v>
      </c>
      <c r="CS20" s="40">
        <f t="shared" si="47"/>
        <v>0.3675464783</v>
      </c>
      <c r="CT20" s="8">
        <f>CT$2*(Underlying*EXP(-DividendYield*TimeToExpiration)*_xlfn.NORM.DIST(CT$2*(LN(Underlying/$H20)+(RiskFreeRate-DividendYield+0.5*CS20^2)*TimeToExpiration)/(CS20*TimeToExpiration^0.5), 0, 1, TRUE) - 
       $H20*EXP(-RiskFreeRate*TimeToExpiration)*_xlfn.NORM.DIST(CT$2*(LN(Underlying/$H20)+(RiskFreeRate-DividendYield-0.5*CS20^2)*TimeToExpiration)/(CS20*TimeToExpiration^0.5), 0, 1, TRUE)
)</f>
        <v>3.999607636</v>
      </c>
      <c r="CU20" s="40">
        <f t="shared" si="48"/>
        <v>0.3675464783</v>
      </c>
      <c r="CV20" s="40">
        <f t="shared" si="49"/>
        <v>0.3676380005</v>
      </c>
      <c r="CW20" s="7">
        <f>CW$2*(Underlying*EXP(-DividendYield*TimeToExpiration)*_xlfn.NORM.DIST(CW$2*(LN(Underlying/$H20)+(RiskFreeRate-DividendYield+0.5*CU20^2)*TimeToExpiration)/(CU20*TimeToExpiration^0.5), 0, 1, TRUE) - 
       $H20*EXP(-RiskFreeRate*TimeToExpiration)*_xlfn.NORM.DIST(CW$2*(LN(Underlying/$H20)+(RiskFreeRate-DividendYield-0.5*CU20^2)*TimeToExpiration)/(CU20*TimeToExpiration^0.5), 0, 1, TRUE)
)</f>
        <v>3.999607636</v>
      </c>
      <c r="CX20" s="7">
        <f>CX$2*(Underlying*EXP(-DividendYield*TimeToExpiration)*_xlfn.NORM.DIST(CX$2*(LN(Underlying/$H20)+(RiskFreeRate-DividendYield+0.5*CV20^2)*TimeToExpiration)/(CV20*TimeToExpiration^0.5), 0, 1, TRUE) - 
       $H20*EXP(-RiskFreeRate*TimeToExpiration)*_xlfn.NORM.DIST(CX$2*(LN(Underlying/$H20)+(RiskFreeRate-DividendYield-0.5*CV20^2)*TimeToExpiration)/(CV20*TimeToExpiration^0.5), 0, 1, TRUE)
)</f>
        <v>4.001205038</v>
      </c>
      <c r="CY20" s="40">
        <f t="shared" si="50"/>
        <v>0.3675922394</v>
      </c>
      <c r="CZ20" s="8">
        <f>CZ$2*(Underlying*EXP(-DividendYield*TimeToExpiration)*_xlfn.NORM.DIST(CZ$2*(LN(Underlying/$H20)+(RiskFreeRate-DividendYield+0.5*CY20^2)*TimeToExpiration)/(CY20*TimeToExpiration^0.5), 0, 1, TRUE) - 
       $H20*EXP(-RiskFreeRate*TimeToExpiration)*_xlfn.NORM.DIST(CZ$2*(LN(Underlying/$H20)+(RiskFreeRate-DividendYield-0.5*CY20^2)*TimeToExpiration)/(CY20*TimeToExpiration^0.5), 0, 1, TRUE)
)</f>
        <v>4.000406329</v>
      </c>
      <c r="DA20" s="40">
        <f t="shared" si="51"/>
        <v>0.3675464783</v>
      </c>
      <c r="DB20" s="40">
        <f t="shared" si="52"/>
        <v>0.3675922394</v>
      </c>
      <c r="DC20" s="7">
        <f>DC$2*(Underlying*EXP(-DividendYield*TimeToExpiration)*_xlfn.NORM.DIST(DC$2*(LN(Underlying/$H20)+(RiskFreeRate-DividendYield+0.5*DA20^2)*TimeToExpiration)/(DA20*TimeToExpiration^0.5), 0, 1, TRUE) - 
       $H20*EXP(-RiskFreeRate*TimeToExpiration)*_xlfn.NORM.DIST(DC$2*(LN(Underlying/$H20)+(RiskFreeRate-DividendYield-0.5*DA20^2)*TimeToExpiration)/(DA20*TimeToExpiration^0.5), 0, 1, TRUE)
)</f>
        <v>3.999607636</v>
      </c>
      <c r="DD20" s="7">
        <f>DD$2*(Underlying*EXP(-DividendYield*TimeToExpiration)*_xlfn.NORM.DIST(DD$2*(LN(Underlying/$H20)+(RiskFreeRate-DividendYield+0.5*DB20^2)*TimeToExpiration)/(DB20*TimeToExpiration^0.5), 0, 1, TRUE) - 
       $H20*EXP(-RiskFreeRate*TimeToExpiration)*_xlfn.NORM.DIST(DD$2*(LN(Underlying/$H20)+(RiskFreeRate-DividendYield-0.5*DB20^2)*TimeToExpiration)/(DB20*TimeToExpiration^0.5), 0, 1, TRUE)
)</f>
        <v>4.000406329</v>
      </c>
      <c r="DE20" s="40">
        <f t="shared" si="53"/>
        <v>0.3675693588</v>
      </c>
      <c r="DF20" s="8">
        <f>DF$2*(Underlying*EXP(-DividendYield*TimeToExpiration)*_xlfn.NORM.DIST(DF$2*(LN(Underlying/$H20)+(RiskFreeRate-DividendYield+0.5*DE20^2)*TimeToExpiration)/(DE20*TimeToExpiration^0.5), 0, 1, TRUE) - 
       $H20*EXP(-RiskFreeRate*TimeToExpiration)*_xlfn.NORM.DIST(DF$2*(LN(Underlying/$H20)+(RiskFreeRate-DividendYield-0.5*DE20^2)*TimeToExpiration)/(DE20*TimeToExpiration^0.5), 0, 1, TRUE)
)</f>
        <v>4.000006981</v>
      </c>
    </row>
    <row r="21">
      <c r="A21" s="20">
        <f>'Option Mkt Data'!A21</f>
        <v>335</v>
      </c>
      <c r="B21" s="35">
        <f t="shared" ref="B21:C21" si="68">DE21</f>
        <v>0.3648694534</v>
      </c>
      <c r="C21" s="7">
        <f t="shared" si="68"/>
        <v>4.900011448</v>
      </c>
      <c r="D21" s="7">
        <f t="shared" si="3"/>
        <v>0.00001182905453</v>
      </c>
      <c r="E21" s="9">
        <f t="shared" si="4"/>
        <v>0.00000241409295</v>
      </c>
      <c r="F21" s="36">
        <f>D21/'Option Mkt Data'!M21</f>
        <v>0.0001182900946</v>
      </c>
      <c r="G21" s="5">
        <f>'Option Mkt Data'!K21</f>
        <v>4.899999619</v>
      </c>
      <c r="H21" s="33">
        <f>'Option Mkt Data'!A21</f>
        <v>335</v>
      </c>
      <c r="I21" s="37">
        <f>MinSolverVola</f>
        <v>0.001</v>
      </c>
      <c r="J21" s="38">
        <f>MaxSolverVola</f>
        <v>3</v>
      </c>
      <c r="K21" s="39">
        <f>K$2*(Underlying*EXP(-DividendYield*TimeToExpiration)*_xlfn.NORM.DIST(K$2*(LN(Underlying/$H21)+(RiskFreeRate-DividendYield+0.5*I21^2)*TimeToExpiration)/(I21*TimeToExpiration^0.5), 0, 1, TRUE) - 
       $H21*EXP(-RiskFreeRate*TimeToExpiration)*_xlfn.NORM.DIST(K$2*(LN(Underlying/$H21)+(RiskFreeRate-DividendYield-0.5*I21^2)*TimeToExpiration)/(I21*TimeToExpiration^0.5), 0, 1, TRUE)
)</f>
        <v>0</v>
      </c>
      <c r="L21" s="7">
        <f>L$2*(Underlying*EXP(-DividendYield*TimeToExpiration)*_xlfn.NORM.DIST(L$2*(LN(Underlying/$H21)+(RiskFreeRate-DividendYield+0.5*J21^2)*TimeToExpiration)/(J21*TimeToExpiration^0.5), 0, 1, TRUE) - 
       $H21*EXP(-RiskFreeRate*TimeToExpiration)*_xlfn.NORM.DIST(L$2*(LN(Underlying/$H21)+(RiskFreeRate-DividendYield-0.5*J21^2)*TimeToExpiration)/(J21*TimeToExpiration^0.5), 0, 1, TRUE)
)</f>
        <v>54.3655107</v>
      </c>
      <c r="M21" s="40">
        <f t="shared" si="5"/>
        <v>1.5005</v>
      </c>
      <c r="N21" s="8">
        <f>N$2*(Underlying*EXP(-DividendYield*TimeToExpiration)*_xlfn.NORM.DIST(N$2*(LN(Underlying/$H21)+(RiskFreeRate-DividendYield+0.5*M21^2)*TimeToExpiration)/(M21*TimeToExpiration^0.5), 0, 1, TRUE) - 
       $H21*EXP(-RiskFreeRate*TimeToExpiration)*_xlfn.NORM.DIST(N$2*(LN(Underlying/$H21)+(RiskFreeRate-DividendYield-0.5*M21^2)*TimeToExpiration)/(M21*TimeToExpiration^0.5), 0, 1, TRUE)
)</f>
        <v>26.25886675</v>
      </c>
      <c r="O21" s="41">
        <f t="shared" si="6"/>
        <v>0.001</v>
      </c>
      <c r="P21" s="40">
        <f t="shared" si="7"/>
        <v>1.5005</v>
      </c>
      <c r="Q21" s="7">
        <f>Q$2*(Underlying*EXP(-DividendYield*TimeToExpiration)*_xlfn.NORM.DIST(Q$2*(LN(Underlying/$H21)+(RiskFreeRate-DividendYield+0.5*O21^2)*TimeToExpiration)/(O21*TimeToExpiration^0.5), 0, 1, TRUE) - 
       $H21*EXP(-RiskFreeRate*TimeToExpiration)*_xlfn.NORM.DIST(Q$2*(LN(Underlying/$H21)+(RiskFreeRate-DividendYield-0.5*O21^2)*TimeToExpiration)/(O21*TimeToExpiration^0.5), 0, 1, TRUE)
)</f>
        <v>0</v>
      </c>
      <c r="R21" s="7">
        <f>R$2*(Underlying*EXP(-DividendYield*TimeToExpiration)*_xlfn.NORM.DIST(R$2*(LN(Underlying/$H21)+(RiskFreeRate-DividendYield+0.5*P21^2)*TimeToExpiration)/(P21*TimeToExpiration^0.5), 0, 1, TRUE) - 
       $H21*EXP(-RiskFreeRate*TimeToExpiration)*_xlfn.NORM.DIST(R$2*(LN(Underlying/$H21)+(RiskFreeRate-DividendYield-0.5*P21^2)*TimeToExpiration)/(P21*TimeToExpiration^0.5), 0, 1, TRUE)
)</f>
        <v>26.25886675</v>
      </c>
      <c r="S21" s="40">
        <f t="shared" si="8"/>
        <v>0.75075</v>
      </c>
      <c r="T21" s="8">
        <f>T$2*(Underlying*EXP(-DividendYield*TimeToExpiration)*_xlfn.NORM.DIST(T$2*(LN(Underlying/$H21)+(RiskFreeRate-DividendYield+0.5*S21^2)*TimeToExpiration)/(S21*TimeToExpiration^0.5), 0, 1, TRUE) - 
       $H21*EXP(-RiskFreeRate*TimeToExpiration)*_xlfn.NORM.DIST(T$2*(LN(Underlying/$H21)+(RiskFreeRate-DividendYield-0.5*S21^2)*TimeToExpiration)/(S21*TimeToExpiration^0.5), 0, 1, TRUE)
)</f>
        <v>12.10953494</v>
      </c>
      <c r="U21" s="41">
        <f t="shared" si="9"/>
        <v>0.001</v>
      </c>
      <c r="V21" s="40">
        <f t="shared" si="10"/>
        <v>0.75075</v>
      </c>
      <c r="W21" s="7">
        <f>W$2*(Underlying*EXP(-DividendYield*TimeToExpiration)*_xlfn.NORM.DIST(W$2*(LN(Underlying/$H21)+(RiskFreeRate-DividendYield+0.5*U21^2)*TimeToExpiration)/(U21*TimeToExpiration^0.5), 0, 1, TRUE) - 
       $H21*EXP(-RiskFreeRate*TimeToExpiration)*_xlfn.NORM.DIST(W$2*(LN(Underlying/$H21)+(RiskFreeRate-DividendYield-0.5*U21^2)*TimeToExpiration)/(U21*TimeToExpiration^0.5), 0, 1, TRUE)
)</f>
        <v>0</v>
      </c>
      <c r="X21" s="7">
        <f>X$2*(Underlying*EXP(-DividendYield*TimeToExpiration)*_xlfn.NORM.DIST(X$2*(LN(Underlying/$H21)+(RiskFreeRate-DividendYield+0.5*V21^2)*TimeToExpiration)/(V21*TimeToExpiration^0.5), 0, 1, TRUE) - 
       $H21*EXP(-RiskFreeRate*TimeToExpiration)*_xlfn.NORM.DIST(X$2*(LN(Underlying/$H21)+(RiskFreeRate-DividendYield-0.5*V21^2)*TimeToExpiration)/(V21*TimeToExpiration^0.5), 0, 1, TRUE)
)</f>
        <v>12.10953494</v>
      </c>
      <c r="Y21" s="40">
        <f t="shared" si="11"/>
        <v>0.375875</v>
      </c>
      <c r="Z21" s="8">
        <f>Z$2*(Underlying*EXP(-DividendYield*TimeToExpiration)*_xlfn.NORM.DIST(Z$2*(LN(Underlying/$H21)+(RiskFreeRate-DividendYield+0.5*Y21^2)*TimeToExpiration)/(Y21*TimeToExpiration^0.5), 0, 1, TRUE) - 
       $H21*EXP(-RiskFreeRate*TimeToExpiration)*_xlfn.NORM.DIST(Z$2*(LN(Underlying/$H21)+(RiskFreeRate-DividendYield-0.5*Y21^2)*TimeToExpiration)/(Y21*TimeToExpiration^0.5), 0, 1, TRUE)
)</f>
        <v>5.102348263</v>
      </c>
      <c r="AA21" s="41">
        <f t="shared" si="12"/>
        <v>0.001</v>
      </c>
      <c r="AB21" s="40">
        <f t="shared" si="13"/>
        <v>0.375875</v>
      </c>
      <c r="AC21" s="7">
        <f>AC$2*(Underlying*EXP(-DividendYield*TimeToExpiration)*_xlfn.NORM.DIST(AC$2*(LN(Underlying/$H21)+(RiskFreeRate-DividendYield+0.5*AA21^2)*TimeToExpiration)/(AA21*TimeToExpiration^0.5), 0, 1, TRUE) - 
       $H21*EXP(-RiskFreeRate*TimeToExpiration)*_xlfn.NORM.DIST(AC$2*(LN(Underlying/$H21)+(RiskFreeRate-DividendYield-0.5*AA21^2)*TimeToExpiration)/(AA21*TimeToExpiration^0.5), 0, 1, TRUE)
)</f>
        <v>0</v>
      </c>
      <c r="AD21" s="7">
        <f>AD$2*(Underlying*EXP(-DividendYield*TimeToExpiration)*_xlfn.NORM.DIST(AD$2*(LN(Underlying/$H21)+(RiskFreeRate-DividendYield+0.5*AB21^2)*TimeToExpiration)/(AB21*TimeToExpiration^0.5), 0, 1, TRUE) - 
       $H21*EXP(-RiskFreeRate*TimeToExpiration)*_xlfn.NORM.DIST(AD$2*(LN(Underlying/$H21)+(RiskFreeRate-DividendYield-0.5*AB21^2)*TimeToExpiration)/(AB21*TimeToExpiration^0.5), 0, 1, TRUE)
)</f>
        <v>5.102348263</v>
      </c>
      <c r="AE21" s="40">
        <f t="shared" si="14"/>
        <v>0.1884375</v>
      </c>
      <c r="AF21" s="8">
        <f>AF$2*(Underlying*EXP(-DividendYield*TimeToExpiration)*_xlfn.NORM.DIST(AF$2*(LN(Underlying/$H21)+(RiskFreeRate-DividendYield+0.5*AE21^2)*TimeToExpiration)/(AE21*TimeToExpiration^0.5), 0, 1, TRUE) - 
       $H21*EXP(-RiskFreeRate*TimeToExpiration)*_xlfn.NORM.DIST(AF$2*(LN(Underlying/$H21)+(RiskFreeRate-DividendYield-0.5*AE21^2)*TimeToExpiration)/(AE21*TimeToExpiration^0.5), 0, 1, TRUE)
)</f>
        <v>1.759962563</v>
      </c>
      <c r="AG21" s="40">
        <f t="shared" si="15"/>
        <v>0.1884375</v>
      </c>
      <c r="AH21" s="40">
        <f t="shared" si="16"/>
        <v>0.375875</v>
      </c>
      <c r="AI21" s="7">
        <f>AI$2*(Underlying*EXP(-DividendYield*TimeToExpiration)*_xlfn.NORM.DIST(AI$2*(LN(Underlying/$H21)+(RiskFreeRate-DividendYield+0.5*AG21^2)*TimeToExpiration)/(AG21*TimeToExpiration^0.5), 0, 1, TRUE) - 
       $H21*EXP(-RiskFreeRate*TimeToExpiration)*_xlfn.NORM.DIST(AI$2*(LN(Underlying/$H21)+(RiskFreeRate-DividendYield-0.5*AG21^2)*TimeToExpiration)/(AG21*TimeToExpiration^0.5), 0, 1, TRUE)
)</f>
        <v>1.759962563</v>
      </c>
      <c r="AJ21" s="7">
        <f>AJ$2*(Underlying*EXP(-DividendYield*TimeToExpiration)*_xlfn.NORM.DIST(AJ$2*(LN(Underlying/$H21)+(RiskFreeRate-DividendYield+0.5*AH21^2)*TimeToExpiration)/(AH21*TimeToExpiration^0.5), 0, 1, TRUE) - 
       $H21*EXP(-RiskFreeRate*TimeToExpiration)*_xlfn.NORM.DIST(AJ$2*(LN(Underlying/$H21)+(RiskFreeRate-DividendYield-0.5*AH21^2)*TimeToExpiration)/(AH21*TimeToExpiration^0.5), 0, 1, TRUE)
)</f>
        <v>5.102348263</v>
      </c>
      <c r="AK21" s="40">
        <f t="shared" si="17"/>
        <v>0.28215625</v>
      </c>
      <c r="AL21" s="8">
        <f>AL$2*(Underlying*EXP(-DividendYield*TimeToExpiration)*_xlfn.NORM.DIST(AL$2*(LN(Underlying/$H21)+(RiskFreeRate-DividendYield+0.5*AK21^2)*TimeToExpiration)/(AK21*TimeToExpiration^0.5), 0, 1, TRUE) - 
       $H21*EXP(-RiskFreeRate*TimeToExpiration)*_xlfn.NORM.DIST(AL$2*(LN(Underlying/$H21)+(RiskFreeRate-DividendYield-0.5*AK21^2)*TimeToExpiration)/(AK21*TimeToExpiration^0.5), 0, 1, TRUE)
)</f>
        <v>3.395816774</v>
      </c>
      <c r="AM21" s="40">
        <f t="shared" si="18"/>
        <v>0.28215625</v>
      </c>
      <c r="AN21" s="40">
        <f t="shared" si="19"/>
        <v>0.375875</v>
      </c>
      <c r="AO21" s="7">
        <f>AO$2*(Underlying*EXP(-DividendYield*TimeToExpiration)*_xlfn.NORM.DIST(AO$2*(LN(Underlying/$H21)+(RiskFreeRate-DividendYield+0.5*AM21^2)*TimeToExpiration)/(AM21*TimeToExpiration^0.5), 0, 1, TRUE) - 
       $H21*EXP(-RiskFreeRate*TimeToExpiration)*_xlfn.NORM.DIST(AO$2*(LN(Underlying/$H21)+(RiskFreeRate-DividendYield-0.5*AM21^2)*TimeToExpiration)/(AM21*TimeToExpiration^0.5), 0, 1, TRUE)
)</f>
        <v>3.395816774</v>
      </c>
      <c r="AP21" s="7">
        <f>AP$2*(Underlying*EXP(-DividendYield*TimeToExpiration)*_xlfn.NORM.DIST(AP$2*(LN(Underlying/$H21)+(RiskFreeRate-DividendYield+0.5*AN21^2)*TimeToExpiration)/(AN21*TimeToExpiration^0.5), 0, 1, TRUE) - 
       $H21*EXP(-RiskFreeRate*TimeToExpiration)*_xlfn.NORM.DIST(AP$2*(LN(Underlying/$H21)+(RiskFreeRate-DividendYield-0.5*AN21^2)*TimeToExpiration)/(AN21*TimeToExpiration^0.5), 0, 1, TRUE)
)</f>
        <v>5.102348263</v>
      </c>
      <c r="AQ21" s="40">
        <f t="shared" si="20"/>
        <v>0.329015625</v>
      </c>
      <c r="AR21" s="8">
        <f>AR$2*(Underlying*EXP(-DividendYield*TimeToExpiration)*_xlfn.NORM.DIST(AR$2*(LN(Underlying/$H21)+(RiskFreeRate-DividendYield+0.5*AQ21^2)*TimeToExpiration)/(AQ21*TimeToExpiration^0.5), 0, 1, TRUE) - 
       $H21*EXP(-RiskFreeRate*TimeToExpiration)*_xlfn.NORM.DIST(AR$2*(LN(Underlying/$H21)+(RiskFreeRate-DividendYield-0.5*AQ21^2)*TimeToExpiration)/(AQ21*TimeToExpiration^0.5), 0, 1, TRUE)
)</f>
        <v>4.243912624</v>
      </c>
      <c r="AS21" s="40">
        <f t="shared" si="21"/>
        <v>0.329015625</v>
      </c>
      <c r="AT21" s="40">
        <f t="shared" si="22"/>
        <v>0.375875</v>
      </c>
      <c r="AU21" s="7">
        <f>AU$2*(Underlying*EXP(-DividendYield*TimeToExpiration)*_xlfn.NORM.DIST(AU$2*(LN(Underlying/$H21)+(RiskFreeRate-DividendYield+0.5*AS21^2)*TimeToExpiration)/(AS21*TimeToExpiration^0.5), 0, 1, TRUE) - 
       $H21*EXP(-RiskFreeRate*TimeToExpiration)*_xlfn.NORM.DIST(AU$2*(LN(Underlying/$H21)+(RiskFreeRate-DividendYield-0.5*AS21^2)*TimeToExpiration)/(AS21*TimeToExpiration^0.5), 0, 1, TRUE)
)</f>
        <v>4.243912624</v>
      </c>
      <c r="AV21" s="7">
        <f>AV$2*(Underlying*EXP(-DividendYield*TimeToExpiration)*_xlfn.NORM.DIST(AV$2*(LN(Underlying/$H21)+(RiskFreeRate-DividendYield+0.5*AT21^2)*TimeToExpiration)/(AT21*TimeToExpiration^0.5), 0, 1, TRUE) - 
       $H21*EXP(-RiskFreeRate*TimeToExpiration)*_xlfn.NORM.DIST(AV$2*(LN(Underlying/$H21)+(RiskFreeRate-DividendYield-0.5*AT21^2)*TimeToExpiration)/(AT21*TimeToExpiration^0.5), 0, 1, TRUE)
)</f>
        <v>5.102348263</v>
      </c>
      <c r="AW21" s="40">
        <f t="shared" si="23"/>
        <v>0.3524453125</v>
      </c>
      <c r="AX21" s="8">
        <f>AX$2*(Underlying*EXP(-DividendYield*TimeToExpiration)*_xlfn.NORM.DIST(AX$2*(LN(Underlying/$H21)+(RiskFreeRate-DividendYield+0.5*AW21^2)*TimeToExpiration)/(AW21*TimeToExpiration^0.5), 0, 1, TRUE) - 
       $H21*EXP(-RiskFreeRate*TimeToExpiration)*_xlfn.NORM.DIST(AX$2*(LN(Underlying/$H21)+(RiskFreeRate-DividendYield-0.5*AW21^2)*TimeToExpiration)/(AW21*TimeToExpiration^0.5), 0, 1, TRUE)
)</f>
        <v>4.672091309</v>
      </c>
      <c r="AY21" s="40">
        <f t="shared" si="24"/>
        <v>0.3524453125</v>
      </c>
      <c r="AZ21" s="40">
        <f t="shared" si="25"/>
        <v>0.375875</v>
      </c>
      <c r="BA21" s="7">
        <f>BA$2*(Underlying*EXP(-DividendYield*TimeToExpiration)*_xlfn.NORM.DIST(BA$2*(LN(Underlying/$H21)+(RiskFreeRate-DividendYield+0.5*AY21^2)*TimeToExpiration)/(AY21*TimeToExpiration^0.5), 0, 1, TRUE) - 
       $H21*EXP(-RiskFreeRate*TimeToExpiration)*_xlfn.NORM.DIST(BA$2*(LN(Underlying/$H21)+(RiskFreeRate-DividendYield-0.5*AY21^2)*TimeToExpiration)/(AY21*TimeToExpiration^0.5), 0, 1, TRUE)
)</f>
        <v>4.672091309</v>
      </c>
      <c r="BB21" s="7">
        <f>BB$2*(Underlying*EXP(-DividendYield*TimeToExpiration)*_xlfn.NORM.DIST(BB$2*(LN(Underlying/$H21)+(RiskFreeRate-DividendYield+0.5*AZ21^2)*TimeToExpiration)/(AZ21*TimeToExpiration^0.5), 0, 1, TRUE) - 
       $H21*EXP(-RiskFreeRate*TimeToExpiration)*_xlfn.NORM.DIST(BB$2*(LN(Underlying/$H21)+(RiskFreeRate-DividendYield-0.5*AZ21^2)*TimeToExpiration)/(AZ21*TimeToExpiration^0.5), 0, 1, TRUE)
)</f>
        <v>5.102348263</v>
      </c>
      <c r="BC21" s="40">
        <f t="shared" si="26"/>
        <v>0.3641601563</v>
      </c>
      <c r="BD21" s="8">
        <f>BD$2*(Underlying*EXP(-DividendYield*TimeToExpiration)*_xlfn.NORM.DIST(BD$2*(LN(Underlying/$H21)+(RiskFreeRate-DividendYield+0.5*BC21^2)*TimeToExpiration)/(BC21*TimeToExpiration^0.5), 0, 1, TRUE) - 
       $H21*EXP(-RiskFreeRate*TimeToExpiration)*_xlfn.NORM.DIST(BD$2*(LN(Underlying/$H21)+(RiskFreeRate-DividendYield-0.5*BC21^2)*TimeToExpiration)/(BC21*TimeToExpiration^0.5), 0, 1, TRUE)
)</f>
        <v>4.886984778</v>
      </c>
      <c r="BE21" s="40">
        <f t="shared" si="27"/>
        <v>0.3641601563</v>
      </c>
      <c r="BF21" s="40">
        <f t="shared" si="28"/>
        <v>0.375875</v>
      </c>
      <c r="BG21" s="7">
        <f>BG$2*(Underlying*EXP(-DividendYield*TimeToExpiration)*_xlfn.NORM.DIST(BG$2*(LN(Underlying/$H21)+(RiskFreeRate-DividendYield+0.5*BE21^2)*TimeToExpiration)/(BE21*TimeToExpiration^0.5), 0, 1, TRUE) - 
       $H21*EXP(-RiskFreeRate*TimeToExpiration)*_xlfn.NORM.DIST(BG$2*(LN(Underlying/$H21)+(RiskFreeRate-DividendYield-0.5*BE21^2)*TimeToExpiration)/(BE21*TimeToExpiration^0.5), 0, 1, TRUE)
)</f>
        <v>4.886984778</v>
      </c>
      <c r="BH21" s="7">
        <f>BH$2*(Underlying*EXP(-DividendYield*TimeToExpiration)*_xlfn.NORM.DIST(BH$2*(LN(Underlying/$H21)+(RiskFreeRate-DividendYield+0.5*BF21^2)*TimeToExpiration)/(BF21*TimeToExpiration^0.5), 0, 1, TRUE) - 
       $H21*EXP(-RiskFreeRate*TimeToExpiration)*_xlfn.NORM.DIST(BH$2*(LN(Underlying/$H21)+(RiskFreeRate-DividendYield-0.5*BF21^2)*TimeToExpiration)/(BF21*TimeToExpiration^0.5), 0, 1, TRUE)
)</f>
        <v>5.102348263</v>
      </c>
      <c r="BI21" s="40">
        <f t="shared" si="29"/>
        <v>0.3700175781</v>
      </c>
      <c r="BJ21" s="8">
        <f>BJ$2*(Underlying*EXP(-DividendYield*TimeToExpiration)*_xlfn.NORM.DIST(BJ$2*(LN(Underlying/$H21)+(RiskFreeRate-DividendYield+0.5*BI21^2)*TimeToExpiration)/(BI21*TimeToExpiration^0.5), 0, 1, TRUE) - 
       $H21*EXP(-RiskFreeRate*TimeToExpiration)*_xlfn.NORM.DIST(BJ$2*(LN(Underlying/$H21)+(RiskFreeRate-DividendYield-0.5*BI21^2)*TimeToExpiration)/(BI21*TimeToExpiration^0.5), 0, 1, TRUE)
)</f>
        <v>4.994610533</v>
      </c>
      <c r="BK21" s="40">
        <f t="shared" si="30"/>
        <v>0.3641601563</v>
      </c>
      <c r="BL21" s="40">
        <f t="shared" si="31"/>
        <v>0.3700175781</v>
      </c>
      <c r="BM21" s="7">
        <f>BM$2*(Underlying*EXP(-DividendYield*TimeToExpiration)*_xlfn.NORM.DIST(BM$2*(LN(Underlying/$H21)+(RiskFreeRate-DividendYield+0.5*BK21^2)*TimeToExpiration)/(BK21*TimeToExpiration^0.5), 0, 1, TRUE) - 
       $H21*EXP(-RiskFreeRate*TimeToExpiration)*_xlfn.NORM.DIST(BM$2*(LN(Underlying/$H21)+(RiskFreeRate-DividendYield-0.5*BK21^2)*TimeToExpiration)/(BK21*TimeToExpiration^0.5), 0, 1, TRUE)
)</f>
        <v>4.886984778</v>
      </c>
      <c r="BN21" s="7">
        <f>BN$2*(Underlying*EXP(-DividendYield*TimeToExpiration)*_xlfn.NORM.DIST(BN$2*(LN(Underlying/$H21)+(RiskFreeRate-DividendYield+0.5*BL21^2)*TimeToExpiration)/(BL21*TimeToExpiration^0.5), 0, 1, TRUE) - 
       $H21*EXP(-RiskFreeRate*TimeToExpiration)*_xlfn.NORM.DIST(BN$2*(LN(Underlying/$H21)+(RiskFreeRate-DividendYield-0.5*BL21^2)*TimeToExpiration)/(BL21*TimeToExpiration^0.5), 0, 1, TRUE)
)</f>
        <v>4.994610533</v>
      </c>
      <c r="BO21" s="40">
        <f t="shared" si="32"/>
        <v>0.3670888672</v>
      </c>
      <c r="BP21" s="8">
        <f>BP$2*(Underlying*EXP(-DividendYield*TimeToExpiration)*_xlfn.NORM.DIST(BP$2*(LN(Underlying/$H21)+(RiskFreeRate-DividendYield+0.5*BO21^2)*TimeToExpiration)/(BO21*TimeToExpiration^0.5), 0, 1, TRUE) - 
       $H21*EXP(-RiskFreeRate*TimeToExpiration)*_xlfn.NORM.DIST(BP$2*(LN(Underlying/$H21)+(RiskFreeRate-DividendYield-0.5*BO21^2)*TimeToExpiration)/(BO21*TimeToExpiration^0.5), 0, 1, TRUE)
)</f>
        <v>4.940783327</v>
      </c>
      <c r="BQ21" s="40">
        <f t="shared" si="33"/>
        <v>0.3641601563</v>
      </c>
      <c r="BR21" s="40">
        <f t="shared" si="34"/>
        <v>0.3670888672</v>
      </c>
      <c r="BS21" s="7">
        <f>BS$2*(Underlying*EXP(-DividendYield*TimeToExpiration)*_xlfn.NORM.DIST(BS$2*(LN(Underlying/$H21)+(RiskFreeRate-DividendYield+0.5*BQ21^2)*TimeToExpiration)/(BQ21*TimeToExpiration^0.5), 0, 1, TRUE) - 
       $H21*EXP(-RiskFreeRate*TimeToExpiration)*_xlfn.NORM.DIST(BS$2*(LN(Underlying/$H21)+(RiskFreeRate-DividendYield-0.5*BQ21^2)*TimeToExpiration)/(BQ21*TimeToExpiration^0.5), 0, 1, TRUE)
)</f>
        <v>4.886984778</v>
      </c>
      <c r="BT21" s="7">
        <f>BT$2*(Underlying*EXP(-DividendYield*TimeToExpiration)*_xlfn.NORM.DIST(BT$2*(LN(Underlying/$H21)+(RiskFreeRate-DividendYield+0.5*BR21^2)*TimeToExpiration)/(BR21*TimeToExpiration^0.5), 0, 1, TRUE) - 
       $H21*EXP(-RiskFreeRate*TimeToExpiration)*_xlfn.NORM.DIST(BT$2*(LN(Underlying/$H21)+(RiskFreeRate-DividendYield-0.5*BR21^2)*TimeToExpiration)/(BR21*TimeToExpiration^0.5), 0, 1, TRUE)
)</f>
        <v>4.940783327</v>
      </c>
      <c r="BU21" s="40">
        <f t="shared" si="35"/>
        <v>0.3656245117</v>
      </c>
      <c r="BV21" s="8">
        <f>BV$2*(Underlying*EXP(-DividendYield*TimeToExpiration)*_xlfn.NORM.DIST(BV$2*(LN(Underlying/$H21)+(RiskFreeRate-DividendYield+0.5*BU21^2)*TimeToExpiration)/(BU21*TimeToExpiration^0.5), 0, 1, TRUE) - 
       $H21*EXP(-RiskFreeRate*TimeToExpiration)*_xlfn.NORM.DIST(BV$2*(LN(Underlying/$H21)+(RiskFreeRate-DividendYield-0.5*BU21^2)*TimeToExpiration)/(BU21*TimeToExpiration^0.5), 0, 1, TRUE)
)</f>
        <v>4.913880428</v>
      </c>
      <c r="BW21" s="40">
        <f t="shared" si="36"/>
        <v>0.3641601563</v>
      </c>
      <c r="BX21" s="40">
        <f t="shared" si="37"/>
        <v>0.3656245117</v>
      </c>
      <c r="BY21" s="7">
        <f>BY$2*(Underlying*EXP(-DividendYield*TimeToExpiration)*_xlfn.NORM.DIST(BY$2*(LN(Underlying/$H21)+(RiskFreeRate-DividendYield+0.5*BW21^2)*TimeToExpiration)/(BW21*TimeToExpiration^0.5), 0, 1, TRUE) - 
       $H21*EXP(-RiskFreeRate*TimeToExpiration)*_xlfn.NORM.DIST(BY$2*(LN(Underlying/$H21)+(RiskFreeRate-DividendYield-0.5*BW21^2)*TimeToExpiration)/(BW21*TimeToExpiration^0.5), 0, 1, TRUE)
)</f>
        <v>4.886984778</v>
      </c>
      <c r="BZ21" s="7">
        <f>BZ$2*(Underlying*EXP(-DividendYield*TimeToExpiration)*_xlfn.NORM.DIST(BZ$2*(LN(Underlying/$H21)+(RiskFreeRate-DividendYield+0.5*BX21^2)*TimeToExpiration)/(BX21*TimeToExpiration^0.5), 0, 1, TRUE) - 
       $H21*EXP(-RiskFreeRate*TimeToExpiration)*_xlfn.NORM.DIST(BZ$2*(LN(Underlying/$H21)+(RiskFreeRate-DividendYield-0.5*BX21^2)*TimeToExpiration)/(BX21*TimeToExpiration^0.5), 0, 1, TRUE)
)</f>
        <v>4.913880428</v>
      </c>
      <c r="CA21" s="40">
        <f t="shared" si="38"/>
        <v>0.364892334</v>
      </c>
      <c r="CB21" s="8">
        <f>CB$2*(Underlying*EXP(-DividendYield*TimeToExpiration)*_xlfn.NORM.DIST(CB$2*(LN(Underlying/$H21)+(RiskFreeRate-DividendYield+0.5*CA21^2)*TimeToExpiration)/(CA21*TimeToExpiration^0.5), 0, 1, TRUE) - 
       $H21*EXP(-RiskFreeRate*TimeToExpiration)*_xlfn.NORM.DIST(CB$2*(LN(Underlying/$H21)+(RiskFreeRate-DividendYield-0.5*CA21^2)*TimeToExpiration)/(CA21*TimeToExpiration^0.5), 0, 1, TRUE)
)</f>
        <v>4.900431691</v>
      </c>
      <c r="CC21" s="40">
        <f t="shared" si="39"/>
        <v>0.3641601563</v>
      </c>
      <c r="CD21" s="40">
        <f t="shared" si="40"/>
        <v>0.364892334</v>
      </c>
      <c r="CE21" s="7">
        <f>CE$2*(Underlying*EXP(-DividendYield*TimeToExpiration)*_xlfn.NORM.DIST(CE$2*(LN(Underlying/$H21)+(RiskFreeRate-DividendYield+0.5*CC21^2)*TimeToExpiration)/(CC21*TimeToExpiration^0.5), 0, 1, TRUE) - 
       $H21*EXP(-RiskFreeRate*TimeToExpiration)*_xlfn.NORM.DIST(CE$2*(LN(Underlying/$H21)+(RiskFreeRate-DividendYield-0.5*CC21^2)*TimeToExpiration)/(CC21*TimeToExpiration^0.5), 0, 1, TRUE)
)</f>
        <v>4.886984778</v>
      </c>
      <c r="CF21" s="7">
        <f>CF$2*(Underlying*EXP(-DividendYield*TimeToExpiration)*_xlfn.NORM.DIST(CF$2*(LN(Underlying/$H21)+(RiskFreeRate-DividendYield+0.5*CD21^2)*TimeToExpiration)/(CD21*TimeToExpiration^0.5), 0, 1, TRUE) - 
       $H21*EXP(-RiskFreeRate*TimeToExpiration)*_xlfn.NORM.DIST(CF$2*(LN(Underlying/$H21)+(RiskFreeRate-DividendYield-0.5*CD21^2)*TimeToExpiration)/(CD21*TimeToExpiration^0.5), 0, 1, TRUE)
)</f>
        <v>4.900431691</v>
      </c>
      <c r="CG21" s="40">
        <f t="shared" si="41"/>
        <v>0.3645262451</v>
      </c>
      <c r="CH21" s="8">
        <f>CH$2*(Underlying*EXP(-DividendYield*TimeToExpiration)*_xlfn.NORM.DIST(CH$2*(LN(Underlying/$H21)+(RiskFreeRate-DividendYield+0.5*CG21^2)*TimeToExpiration)/(CG21*TimeToExpiration^0.5), 0, 1, TRUE) - 
       $H21*EXP(-RiskFreeRate*TimeToExpiration)*_xlfn.NORM.DIST(CH$2*(LN(Underlying/$H21)+(RiskFreeRate-DividendYield-0.5*CG21^2)*TimeToExpiration)/(CG21*TimeToExpiration^0.5), 0, 1, TRUE)
)</f>
        <v>4.893708006</v>
      </c>
      <c r="CI21" s="40">
        <f t="shared" si="42"/>
        <v>0.3645262451</v>
      </c>
      <c r="CJ21" s="40">
        <f t="shared" si="43"/>
        <v>0.364892334</v>
      </c>
      <c r="CK21" s="7">
        <f>CK$2*(Underlying*EXP(-DividendYield*TimeToExpiration)*_xlfn.NORM.DIST(CK$2*(LN(Underlying/$H21)+(RiskFreeRate-DividendYield+0.5*CI21^2)*TimeToExpiration)/(CI21*TimeToExpiration^0.5), 0, 1, TRUE) - 
       $H21*EXP(-RiskFreeRate*TimeToExpiration)*_xlfn.NORM.DIST(CK$2*(LN(Underlying/$H21)+(RiskFreeRate-DividendYield-0.5*CI21^2)*TimeToExpiration)/(CI21*TimeToExpiration^0.5), 0, 1, TRUE)
)</f>
        <v>4.893708006</v>
      </c>
      <c r="CL21" s="7">
        <f>CL$2*(Underlying*EXP(-DividendYield*TimeToExpiration)*_xlfn.NORM.DIST(CL$2*(LN(Underlying/$H21)+(RiskFreeRate-DividendYield+0.5*CJ21^2)*TimeToExpiration)/(CJ21*TimeToExpiration^0.5), 0, 1, TRUE) - 
       $H21*EXP(-RiskFreeRate*TimeToExpiration)*_xlfn.NORM.DIST(CL$2*(LN(Underlying/$H21)+(RiskFreeRate-DividendYield-0.5*CJ21^2)*TimeToExpiration)/(CJ21*TimeToExpiration^0.5), 0, 1, TRUE)
)</f>
        <v>4.900431691</v>
      </c>
      <c r="CM21" s="40">
        <f t="shared" si="44"/>
        <v>0.3647092896</v>
      </c>
      <c r="CN21" s="8">
        <f>CN$2*(Underlying*EXP(-DividendYield*TimeToExpiration)*_xlfn.NORM.DIST(CN$2*(LN(Underlying/$H21)+(RiskFreeRate-DividendYield+0.5*CM21^2)*TimeToExpiration)/(CM21*TimeToExpiration^0.5), 0, 1, TRUE) - 
       $H21*EXP(-RiskFreeRate*TimeToExpiration)*_xlfn.NORM.DIST(CN$2*(LN(Underlying/$H21)+(RiskFreeRate-DividendYield-0.5*CM21^2)*TimeToExpiration)/(CM21*TimeToExpiration^0.5), 0, 1, TRUE)
)</f>
        <v>4.897069792</v>
      </c>
      <c r="CO21" s="40">
        <f t="shared" si="45"/>
        <v>0.3647092896</v>
      </c>
      <c r="CP21" s="40">
        <f t="shared" si="46"/>
        <v>0.364892334</v>
      </c>
      <c r="CQ21" s="7">
        <f>CQ$2*(Underlying*EXP(-DividendYield*TimeToExpiration)*_xlfn.NORM.DIST(CQ$2*(LN(Underlying/$H21)+(RiskFreeRate-DividendYield+0.5*CO21^2)*TimeToExpiration)/(CO21*TimeToExpiration^0.5), 0, 1, TRUE) - 
       $H21*EXP(-RiskFreeRate*TimeToExpiration)*_xlfn.NORM.DIST(CQ$2*(LN(Underlying/$H21)+(RiskFreeRate-DividendYield-0.5*CO21^2)*TimeToExpiration)/(CO21*TimeToExpiration^0.5), 0, 1, TRUE)
)</f>
        <v>4.897069792</v>
      </c>
      <c r="CR21" s="7">
        <f>CR$2*(Underlying*EXP(-DividendYield*TimeToExpiration)*_xlfn.NORM.DIST(CR$2*(LN(Underlying/$H21)+(RiskFreeRate-DividendYield+0.5*CP21^2)*TimeToExpiration)/(CP21*TimeToExpiration^0.5), 0, 1, TRUE) - 
       $H21*EXP(-RiskFreeRate*TimeToExpiration)*_xlfn.NORM.DIST(CR$2*(LN(Underlying/$H21)+(RiskFreeRate-DividendYield-0.5*CP21^2)*TimeToExpiration)/(CP21*TimeToExpiration^0.5), 0, 1, TRUE)
)</f>
        <v>4.900431691</v>
      </c>
      <c r="CS21" s="40">
        <f t="shared" si="47"/>
        <v>0.3648008118</v>
      </c>
      <c r="CT21" s="8">
        <f>CT$2*(Underlying*EXP(-DividendYield*TimeToExpiration)*_xlfn.NORM.DIST(CT$2*(LN(Underlying/$H21)+(RiskFreeRate-DividendYield+0.5*CS21^2)*TimeToExpiration)/(CS21*TimeToExpiration^0.5), 0, 1, TRUE) - 
       $H21*EXP(-RiskFreeRate*TimeToExpiration)*_xlfn.NORM.DIST(CT$2*(LN(Underlying/$H21)+(RiskFreeRate-DividendYield-0.5*CS21^2)*TimeToExpiration)/(CS21*TimeToExpiration^0.5), 0, 1, TRUE)
)</f>
        <v>4.898750727</v>
      </c>
      <c r="CU21" s="40">
        <f t="shared" si="48"/>
        <v>0.3648008118</v>
      </c>
      <c r="CV21" s="40">
        <f t="shared" si="49"/>
        <v>0.364892334</v>
      </c>
      <c r="CW21" s="7">
        <f>CW$2*(Underlying*EXP(-DividendYield*TimeToExpiration)*_xlfn.NORM.DIST(CW$2*(LN(Underlying/$H21)+(RiskFreeRate-DividendYield+0.5*CU21^2)*TimeToExpiration)/(CU21*TimeToExpiration^0.5), 0, 1, TRUE) - 
       $H21*EXP(-RiskFreeRate*TimeToExpiration)*_xlfn.NORM.DIST(CW$2*(LN(Underlying/$H21)+(RiskFreeRate-DividendYield-0.5*CU21^2)*TimeToExpiration)/(CU21*TimeToExpiration^0.5), 0, 1, TRUE)
)</f>
        <v>4.898750727</v>
      </c>
      <c r="CX21" s="7">
        <f>CX$2*(Underlying*EXP(-DividendYield*TimeToExpiration)*_xlfn.NORM.DIST(CX$2*(LN(Underlying/$H21)+(RiskFreeRate-DividendYield+0.5*CV21^2)*TimeToExpiration)/(CV21*TimeToExpiration^0.5), 0, 1, TRUE) - 
       $H21*EXP(-RiskFreeRate*TimeToExpiration)*_xlfn.NORM.DIST(CX$2*(LN(Underlying/$H21)+(RiskFreeRate-DividendYield-0.5*CV21^2)*TimeToExpiration)/(CV21*TimeToExpiration^0.5), 0, 1, TRUE)
)</f>
        <v>4.900431691</v>
      </c>
      <c r="CY21" s="40">
        <f t="shared" si="50"/>
        <v>0.3648465729</v>
      </c>
      <c r="CZ21" s="8">
        <f>CZ$2*(Underlying*EXP(-DividendYield*TimeToExpiration)*_xlfn.NORM.DIST(CZ$2*(LN(Underlying/$H21)+(RiskFreeRate-DividendYield+0.5*CY21^2)*TimeToExpiration)/(CY21*TimeToExpiration^0.5), 0, 1, TRUE) - 
       $H21*EXP(-RiskFreeRate*TimeToExpiration)*_xlfn.NORM.DIST(CZ$2*(LN(Underlying/$H21)+(RiskFreeRate-DividendYield-0.5*CY21^2)*TimeToExpiration)/(CY21*TimeToExpiration^0.5), 0, 1, TRUE)
)</f>
        <v>4.899591206</v>
      </c>
      <c r="DA21" s="40">
        <f t="shared" si="51"/>
        <v>0.3648465729</v>
      </c>
      <c r="DB21" s="40">
        <f t="shared" si="52"/>
        <v>0.364892334</v>
      </c>
      <c r="DC21" s="7">
        <f>DC$2*(Underlying*EXP(-DividendYield*TimeToExpiration)*_xlfn.NORM.DIST(DC$2*(LN(Underlying/$H21)+(RiskFreeRate-DividendYield+0.5*DA21^2)*TimeToExpiration)/(DA21*TimeToExpiration^0.5), 0, 1, TRUE) - 
       $H21*EXP(-RiskFreeRate*TimeToExpiration)*_xlfn.NORM.DIST(DC$2*(LN(Underlying/$H21)+(RiskFreeRate-DividendYield-0.5*DA21^2)*TimeToExpiration)/(DA21*TimeToExpiration^0.5), 0, 1, TRUE)
)</f>
        <v>4.899591206</v>
      </c>
      <c r="DD21" s="7">
        <f>DD$2*(Underlying*EXP(-DividendYield*TimeToExpiration)*_xlfn.NORM.DIST(DD$2*(LN(Underlying/$H21)+(RiskFreeRate-DividendYield+0.5*DB21^2)*TimeToExpiration)/(DB21*TimeToExpiration^0.5), 0, 1, TRUE) - 
       $H21*EXP(-RiskFreeRate*TimeToExpiration)*_xlfn.NORM.DIST(DD$2*(LN(Underlying/$H21)+(RiskFreeRate-DividendYield-0.5*DB21^2)*TimeToExpiration)/(DB21*TimeToExpiration^0.5), 0, 1, TRUE)
)</f>
        <v>4.900431691</v>
      </c>
      <c r="DE21" s="40">
        <f t="shared" si="53"/>
        <v>0.3648694534</v>
      </c>
      <c r="DF21" s="8">
        <f>DF$2*(Underlying*EXP(-DividendYield*TimeToExpiration)*_xlfn.NORM.DIST(DF$2*(LN(Underlying/$H21)+(RiskFreeRate-DividendYield+0.5*DE21^2)*TimeToExpiration)/(DE21*TimeToExpiration^0.5), 0, 1, TRUE) - 
       $H21*EXP(-RiskFreeRate*TimeToExpiration)*_xlfn.NORM.DIST(DF$2*(LN(Underlying/$H21)+(RiskFreeRate-DividendYield-0.5*DE21^2)*TimeToExpiration)/(DE21*TimeToExpiration^0.5), 0, 1, TRUE)
)</f>
        <v>4.900011448</v>
      </c>
    </row>
    <row r="22">
      <c r="A22" s="24">
        <f>'Option Mkt Data'!A22</f>
        <v>337.5</v>
      </c>
      <c r="B22" s="43">
        <f t="shared" ref="B22:C22" si="69">DE22</f>
        <v>0.3629017258</v>
      </c>
      <c r="C22" s="25">
        <f t="shared" si="69"/>
        <v>5.94977997</v>
      </c>
      <c r="D22" s="25">
        <f t="shared" si="3"/>
        <v>0.0002198397788</v>
      </c>
      <c r="E22" s="44">
        <f t="shared" si="4"/>
        <v>0.00003694786316</v>
      </c>
      <c r="F22" s="45">
        <f>D22/'Option Mkt Data'!M22</f>
        <v>0.002198389412</v>
      </c>
      <c r="G22" s="46">
        <f>'Option Mkt Data'!K22</f>
        <v>5.94999981</v>
      </c>
      <c r="H22" s="47">
        <f>'Option Mkt Data'!A22</f>
        <v>337.5</v>
      </c>
      <c r="I22" s="48">
        <f>MinSolverVola</f>
        <v>0.001</v>
      </c>
      <c r="J22" s="49">
        <f>MaxSolverVola</f>
        <v>3</v>
      </c>
      <c r="K22" s="50">
        <f>K$2*(Underlying*EXP(-DividendYield*TimeToExpiration)*_xlfn.NORM.DIST(K$2*(LN(Underlying/$H22)+(RiskFreeRate-DividendYield+0.5*I22^2)*TimeToExpiration)/(I22*TimeToExpiration^0.5), 0, 1, TRUE) - 
       $H22*EXP(-RiskFreeRate*TimeToExpiration)*_xlfn.NORM.DIST(K$2*(LN(Underlying/$H22)+(RiskFreeRate-DividendYield-0.5*I22^2)*TimeToExpiration)/(I22*TimeToExpiration^0.5), 0, 1, TRUE)
)</f>
        <v>0</v>
      </c>
      <c r="L22" s="25">
        <f>L$2*(Underlying*EXP(-DividendYield*TimeToExpiration)*_xlfn.NORM.DIST(L$2*(LN(Underlying/$H22)+(RiskFreeRate-DividendYield+0.5*J22^2)*TimeToExpiration)/(J22*TimeToExpiration^0.5), 0, 1, TRUE) - 
       $H22*EXP(-RiskFreeRate*TimeToExpiration)*_xlfn.NORM.DIST(L$2*(LN(Underlying/$H22)+(RiskFreeRate-DividendYield-0.5*J22^2)*TimeToExpiration)/(J22*TimeToExpiration^0.5), 0, 1, TRUE)
)</f>
        <v>55.80175965</v>
      </c>
      <c r="M22" s="51">
        <f t="shared" si="5"/>
        <v>1.5005</v>
      </c>
      <c r="N22" s="52">
        <f>N$2*(Underlying*EXP(-DividendYield*TimeToExpiration)*_xlfn.NORM.DIST(N$2*(LN(Underlying/$H22)+(RiskFreeRate-DividendYield+0.5*M22^2)*TimeToExpiration)/(M22*TimeToExpiration^0.5), 0, 1, TRUE) - 
       $H22*EXP(-RiskFreeRate*TimeToExpiration)*_xlfn.NORM.DIST(N$2*(LN(Underlying/$H22)+(RiskFreeRate-DividendYield-0.5*M22^2)*TimeToExpiration)/(M22*TimeToExpiration^0.5), 0, 1, TRUE)
)</f>
        <v>27.56764096</v>
      </c>
      <c r="O22" s="53">
        <f t="shared" si="6"/>
        <v>0.001</v>
      </c>
      <c r="P22" s="51">
        <f t="shared" si="7"/>
        <v>1.5005</v>
      </c>
      <c r="Q22" s="25">
        <f>Q$2*(Underlying*EXP(-DividendYield*TimeToExpiration)*_xlfn.NORM.DIST(Q$2*(LN(Underlying/$H22)+(RiskFreeRate-DividendYield+0.5*O22^2)*TimeToExpiration)/(O22*TimeToExpiration^0.5), 0, 1, TRUE) - 
       $H22*EXP(-RiskFreeRate*TimeToExpiration)*_xlfn.NORM.DIST(Q$2*(LN(Underlying/$H22)+(RiskFreeRate-DividendYield-0.5*O22^2)*TimeToExpiration)/(O22*TimeToExpiration^0.5), 0, 1, TRUE)
)</f>
        <v>0</v>
      </c>
      <c r="R22" s="25">
        <f>R$2*(Underlying*EXP(-DividendYield*TimeToExpiration)*_xlfn.NORM.DIST(R$2*(LN(Underlying/$H22)+(RiskFreeRate-DividendYield+0.5*P22^2)*TimeToExpiration)/(P22*TimeToExpiration^0.5), 0, 1, TRUE) - 
       $H22*EXP(-RiskFreeRate*TimeToExpiration)*_xlfn.NORM.DIST(R$2*(LN(Underlying/$H22)+(RiskFreeRate-DividendYield-0.5*P22^2)*TimeToExpiration)/(P22*TimeToExpiration^0.5), 0, 1, TRUE)
)</f>
        <v>27.56764096</v>
      </c>
      <c r="S22" s="51">
        <f t="shared" si="8"/>
        <v>0.75075</v>
      </c>
      <c r="T22" s="52">
        <f>T$2*(Underlying*EXP(-DividendYield*TimeToExpiration)*_xlfn.NORM.DIST(T$2*(LN(Underlying/$H22)+(RiskFreeRate-DividendYield+0.5*S22^2)*TimeToExpiration)/(S22*TimeToExpiration^0.5), 0, 1, TRUE) - 
       $H22*EXP(-RiskFreeRate*TimeToExpiration)*_xlfn.NORM.DIST(T$2*(LN(Underlying/$H22)+(RiskFreeRate-DividendYield-0.5*S22^2)*TimeToExpiration)/(S22*TimeToExpiration^0.5), 0, 1, TRUE)
)</f>
        <v>13.31978024</v>
      </c>
      <c r="U22" s="53">
        <f t="shared" si="9"/>
        <v>0.001</v>
      </c>
      <c r="V22" s="51">
        <f t="shared" si="10"/>
        <v>0.75075</v>
      </c>
      <c r="W22" s="25">
        <f>W$2*(Underlying*EXP(-DividendYield*TimeToExpiration)*_xlfn.NORM.DIST(W$2*(LN(Underlying/$H22)+(RiskFreeRate-DividendYield+0.5*U22^2)*TimeToExpiration)/(U22*TimeToExpiration^0.5), 0, 1, TRUE) - 
       $H22*EXP(-RiskFreeRate*TimeToExpiration)*_xlfn.NORM.DIST(W$2*(LN(Underlying/$H22)+(RiskFreeRate-DividendYield-0.5*U22^2)*TimeToExpiration)/(U22*TimeToExpiration^0.5), 0, 1, TRUE)
)</f>
        <v>0</v>
      </c>
      <c r="X22" s="25">
        <f>X$2*(Underlying*EXP(-DividendYield*TimeToExpiration)*_xlfn.NORM.DIST(X$2*(LN(Underlying/$H22)+(RiskFreeRate-DividendYield+0.5*V22^2)*TimeToExpiration)/(V22*TimeToExpiration^0.5), 0, 1, TRUE) - 
       $H22*EXP(-RiskFreeRate*TimeToExpiration)*_xlfn.NORM.DIST(X$2*(LN(Underlying/$H22)+(RiskFreeRate-DividendYield-0.5*V22^2)*TimeToExpiration)/(V22*TimeToExpiration^0.5), 0, 1, TRUE)
)</f>
        <v>13.31978024</v>
      </c>
      <c r="Y22" s="51">
        <f t="shared" si="11"/>
        <v>0.375875</v>
      </c>
      <c r="Z22" s="52">
        <f>Z$2*(Underlying*EXP(-DividendYield*TimeToExpiration)*_xlfn.NORM.DIST(Z$2*(LN(Underlying/$H22)+(RiskFreeRate-DividendYield+0.5*Y22^2)*TimeToExpiration)/(Y22*TimeToExpiration^0.5), 0, 1, TRUE) - 
       $H22*EXP(-RiskFreeRate*TimeToExpiration)*_xlfn.NORM.DIST(Z$2*(LN(Underlying/$H22)+(RiskFreeRate-DividendYield-0.5*Y22^2)*TimeToExpiration)/(Y22*TimeToExpiration^0.5), 0, 1, TRUE)
)</f>
        <v>6.195593027</v>
      </c>
      <c r="AA22" s="53">
        <f t="shared" si="12"/>
        <v>0.001</v>
      </c>
      <c r="AB22" s="51">
        <f t="shared" si="13"/>
        <v>0.375875</v>
      </c>
      <c r="AC22" s="25">
        <f>AC$2*(Underlying*EXP(-DividendYield*TimeToExpiration)*_xlfn.NORM.DIST(AC$2*(LN(Underlying/$H22)+(RiskFreeRate-DividendYield+0.5*AA22^2)*TimeToExpiration)/(AA22*TimeToExpiration^0.5), 0, 1, TRUE) - 
       $H22*EXP(-RiskFreeRate*TimeToExpiration)*_xlfn.NORM.DIST(AC$2*(LN(Underlying/$H22)+(RiskFreeRate-DividendYield-0.5*AA22^2)*TimeToExpiration)/(AA22*TimeToExpiration^0.5), 0, 1, TRUE)
)</f>
        <v>0</v>
      </c>
      <c r="AD22" s="25">
        <f>AD$2*(Underlying*EXP(-DividendYield*TimeToExpiration)*_xlfn.NORM.DIST(AD$2*(LN(Underlying/$H22)+(RiskFreeRate-DividendYield+0.5*AB22^2)*TimeToExpiration)/(AB22*TimeToExpiration^0.5), 0, 1, TRUE) - 
       $H22*EXP(-RiskFreeRate*TimeToExpiration)*_xlfn.NORM.DIST(AD$2*(LN(Underlying/$H22)+(RiskFreeRate-DividendYield-0.5*AB22^2)*TimeToExpiration)/(AB22*TimeToExpiration^0.5), 0, 1, TRUE)
)</f>
        <v>6.195593027</v>
      </c>
      <c r="AE22" s="51">
        <f t="shared" si="14"/>
        <v>0.1884375</v>
      </c>
      <c r="AF22" s="52">
        <f>AF$2*(Underlying*EXP(-DividendYield*TimeToExpiration)*_xlfn.NORM.DIST(AF$2*(LN(Underlying/$H22)+(RiskFreeRate-DividendYield+0.5*AE22^2)*TimeToExpiration)/(AE22*TimeToExpiration^0.5), 0, 1, TRUE) - 
       $H22*EXP(-RiskFreeRate*TimeToExpiration)*_xlfn.NORM.DIST(AF$2*(LN(Underlying/$H22)+(RiskFreeRate-DividendYield-0.5*AE22^2)*TimeToExpiration)/(AE22*TimeToExpiration^0.5), 0, 1, TRUE)
)</f>
        <v>2.665519215</v>
      </c>
      <c r="AG22" s="51">
        <f t="shared" si="15"/>
        <v>0.1884375</v>
      </c>
      <c r="AH22" s="51">
        <f t="shared" si="16"/>
        <v>0.375875</v>
      </c>
      <c r="AI22" s="25">
        <f>AI$2*(Underlying*EXP(-DividendYield*TimeToExpiration)*_xlfn.NORM.DIST(AI$2*(LN(Underlying/$H22)+(RiskFreeRate-DividendYield+0.5*AG22^2)*TimeToExpiration)/(AG22*TimeToExpiration^0.5), 0, 1, TRUE) - 
       $H22*EXP(-RiskFreeRate*TimeToExpiration)*_xlfn.NORM.DIST(AI$2*(LN(Underlying/$H22)+(RiskFreeRate-DividendYield-0.5*AG22^2)*TimeToExpiration)/(AG22*TimeToExpiration^0.5), 0, 1, TRUE)
)</f>
        <v>2.665519215</v>
      </c>
      <c r="AJ22" s="25">
        <f>AJ$2*(Underlying*EXP(-DividendYield*TimeToExpiration)*_xlfn.NORM.DIST(AJ$2*(LN(Underlying/$H22)+(RiskFreeRate-DividendYield+0.5*AH22^2)*TimeToExpiration)/(AH22*TimeToExpiration^0.5), 0, 1, TRUE) - 
       $H22*EXP(-RiskFreeRate*TimeToExpiration)*_xlfn.NORM.DIST(AJ$2*(LN(Underlying/$H22)+(RiskFreeRate-DividendYield-0.5*AH22^2)*TimeToExpiration)/(AH22*TimeToExpiration^0.5), 0, 1, TRUE)
)</f>
        <v>6.195593027</v>
      </c>
      <c r="AK22" s="51">
        <f t="shared" si="17"/>
        <v>0.28215625</v>
      </c>
      <c r="AL22" s="52">
        <f>AL$2*(Underlying*EXP(-DividendYield*TimeToExpiration)*_xlfn.NORM.DIST(AL$2*(LN(Underlying/$H22)+(RiskFreeRate-DividendYield+0.5*AK22^2)*TimeToExpiration)/(AK22*TimeToExpiration^0.5), 0, 1, TRUE) - 
       $H22*EXP(-RiskFreeRate*TimeToExpiration)*_xlfn.NORM.DIST(AL$2*(LN(Underlying/$H22)+(RiskFreeRate-DividendYield-0.5*AK22^2)*TimeToExpiration)/(AK22*TimeToExpiration^0.5), 0, 1, TRUE)
)</f>
        <v>4.423118978</v>
      </c>
      <c r="AM22" s="51">
        <f t="shared" si="18"/>
        <v>0.28215625</v>
      </c>
      <c r="AN22" s="51">
        <f t="shared" si="19"/>
        <v>0.375875</v>
      </c>
      <c r="AO22" s="25">
        <f>AO$2*(Underlying*EXP(-DividendYield*TimeToExpiration)*_xlfn.NORM.DIST(AO$2*(LN(Underlying/$H22)+(RiskFreeRate-DividendYield+0.5*AM22^2)*TimeToExpiration)/(AM22*TimeToExpiration^0.5), 0, 1, TRUE) - 
       $H22*EXP(-RiskFreeRate*TimeToExpiration)*_xlfn.NORM.DIST(AO$2*(LN(Underlying/$H22)+(RiskFreeRate-DividendYield-0.5*AM22^2)*TimeToExpiration)/(AM22*TimeToExpiration^0.5), 0, 1, TRUE)
)</f>
        <v>4.423118978</v>
      </c>
      <c r="AP22" s="25">
        <f>AP$2*(Underlying*EXP(-DividendYield*TimeToExpiration)*_xlfn.NORM.DIST(AP$2*(LN(Underlying/$H22)+(RiskFreeRate-DividendYield+0.5*AN22^2)*TimeToExpiration)/(AN22*TimeToExpiration^0.5), 0, 1, TRUE) - 
       $H22*EXP(-RiskFreeRate*TimeToExpiration)*_xlfn.NORM.DIST(AP$2*(LN(Underlying/$H22)+(RiskFreeRate-DividendYield-0.5*AN22^2)*TimeToExpiration)/(AN22*TimeToExpiration^0.5), 0, 1, TRUE)
)</f>
        <v>6.195593027</v>
      </c>
      <c r="AQ22" s="51">
        <f t="shared" si="20"/>
        <v>0.329015625</v>
      </c>
      <c r="AR22" s="52">
        <f>AR$2*(Underlying*EXP(-DividendYield*TimeToExpiration)*_xlfn.NORM.DIST(AR$2*(LN(Underlying/$H22)+(RiskFreeRate-DividendYield+0.5*AQ22^2)*TimeToExpiration)/(AQ22*TimeToExpiration^0.5), 0, 1, TRUE) - 
       $H22*EXP(-RiskFreeRate*TimeToExpiration)*_xlfn.NORM.DIST(AR$2*(LN(Underlying/$H22)+(RiskFreeRate-DividendYield-0.5*AQ22^2)*TimeToExpiration)/(AQ22*TimeToExpiration^0.5), 0, 1, TRUE)
)</f>
        <v>5.308303221</v>
      </c>
      <c r="AS22" s="51">
        <f t="shared" si="21"/>
        <v>0.329015625</v>
      </c>
      <c r="AT22" s="51">
        <f t="shared" si="22"/>
        <v>0.375875</v>
      </c>
      <c r="AU22" s="25">
        <f>AU$2*(Underlying*EXP(-DividendYield*TimeToExpiration)*_xlfn.NORM.DIST(AU$2*(LN(Underlying/$H22)+(RiskFreeRate-DividendYield+0.5*AS22^2)*TimeToExpiration)/(AS22*TimeToExpiration^0.5), 0, 1, TRUE) - 
       $H22*EXP(-RiskFreeRate*TimeToExpiration)*_xlfn.NORM.DIST(AU$2*(LN(Underlying/$H22)+(RiskFreeRate-DividendYield-0.5*AS22^2)*TimeToExpiration)/(AS22*TimeToExpiration^0.5), 0, 1, TRUE)
)</f>
        <v>5.308303221</v>
      </c>
      <c r="AV22" s="25">
        <f>AV$2*(Underlying*EXP(-DividendYield*TimeToExpiration)*_xlfn.NORM.DIST(AV$2*(LN(Underlying/$H22)+(RiskFreeRate-DividendYield+0.5*AT22^2)*TimeToExpiration)/(AT22*TimeToExpiration^0.5), 0, 1, TRUE) - 
       $H22*EXP(-RiskFreeRate*TimeToExpiration)*_xlfn.NORM.DIST(AV$2*(LN(Underlying/$H22)+(RiskFreeRate-DividendYield-0.5*AT22^2)*TimeToExpiration)/(AT22*TimeToExpiration^0.5), 0, 1, TRUE)
)</f>
        <v>6.195593027</v>
      </c>
      <c r="AW22" s="51">
        <f t="shared" si="23"/>
        <v>0.3524453125</v>
      </c>
      <c r="AX22" s="52">
        <f>AX$2*(Underlying*EXP(-DividendYield*TimeToExpiration)*_xlfn.NORM.DIST(AX$2*(LN(Underlying/$H22)+(RiskFreeRate-DividendYield+0.5*AW22^2)*TimeToExpiration)/(AW22*TimeToExpiration^0.5), 0, 1, TRUE) - 
       $H22*EXP(-RiskFreeRate*TimeToExpiration)*_xlfn.NORM.DIST(AX$2*(LN(Underlying/$H22)+(RiskFreeRate-DividendYield-0.5*AW22^2)*TimeToExpiration)/(AW22*TimeToExpiration^0.5), 0, 1, TRUE)
)</f>
        <v>5.751739466</v>
      </c>
      <c r="AY22" s="51">
        <f t="shared" si="24"/>
        <v>0.3524453125</v>
      </c>
      <c r="AZ22" s="51">
        <f t="shared" si="25"/>
        <v>0.375875</v>
      </c>
      <c r="BA22" s="25">
        <f>BA$2*(Underlying*EXP(-DividendYield*TimeToExpiration)*_xlfn.NORM.DIST(BA$2*(LN(Underlying/$H22)+(RiskFreeRate-DividendYield+0.5*AY22^2)*TimeToExpiration)/(AY22*TimeToExpiration^0.5), 0, 1, TRUE) - 
       $H22*EXP(-RiskFreeRate*TimeToExpiration)*_xlfn.NORM.DIST(BA$2*(LN(Underlying/$H22)+(RiskFreeRate-DividendYield-0.5*AY22^2)*TimeToExpiration)/(AY22*TimeToExpiration^0.5), 0, 1, TRUE)
)</f>
        <v>5.751739466</v>
      </c>
      <c r="BB22" s="25">
        <f>BB$2*(Underlying*EXP(-DividendYield*TimeToExpiration)*_xlfn.NORM.DIST(BB$2*(LN(Underlying/$H22)+(RiskFreeRate-DividendYield+0.5*AZ22^2)*TimeToExpiration)/(AZ22*TimeToExpiration^0.5), 0, 1, TRUE) - 
       $H22*EXP(-RiskFreeRate*TimeToExpiration)*_xlfn.NORM.DIST(BB$2*(LN(Underlying/$H22)+(RiskFreeRate-DividendYield-0.5*AZ22^2)*TimeToExpiration)/(AZ22*TimeToExpiration^0.5), 0, 1, TRUE)
)</f>
        <v>6.195593027</v>
      </c>
      <c r="BC22" s="51">
        <f t="shared" si="26"/>
        <v>0.3641601563</v>
      </c>
      <c r="BD22" s="52">
        <f>BD$2*(Underlying*EXP(-DividendYield*TimeToExpiration)*_xlfn.NORM.DIST(BD$2*(LN(Underlying/$H22)+(RiskFreeRate-DividendYield+0.5*BC22^2)*TimeToExpiration)/(BC22*TimeToExpiration^0.5), 0, 1, TRUE) - 
       $H22*EXP(-RiskFreeRate*TimeToExpiration)*_xlfn.NORM.DIST(BD$2*(LN(Underlying/$H22)+(RiskFreeRate-DividendYield-0.5*BC22^2)*TimeToExpiration)/(BC22*TimeToExpiration^0.5), 0, 1, TRUE)
)</f>
        <v>5.973619391</v>
      </c>
      <c r="BE22" s="51">
        <f t="shared" si="27"/>
        <v>0.3524453125</v>
      </c>
      <c r="BF22" s="51">
        <f t="shared" si="28"/>
        <v>0.3641601563</v>
      </c>
      <c r="BG22" s="25">
        <f>BG$2*(Underlying*EXP(-DividendYield*TimeToExpiration)*_xlfn.NORM.DIST(BG$2*(LN(Underlying/$H22)+(RiskFreeRate-DividendYield+0.5*BE22^2)*TimeToExpiration)/(BE22*TimeToExpiration^0.5), 0, 1, TRUE) - 
       $H22*EXP(-RiskFreeRate*TimeToExpiration)*_xlfn.NORM.DIST(BG$2*(LN(Underlying/$H22)+(RiskFreeRate-DividendYield-0.5*BE22^2)*TimeToExpiration)/(BE22*TimeToExpiration^0.5), 0, 1, TRUE)
)</f>
        <v>5.751739466</v>
      </c>
      <c r="BH22" s="25">
        <f>BH$2*(Underlying*EXP(-DividendYield*TimeToExpiration)*_xlfn.NORM.DIST(BH$2*(LN(Underlying/$H22)+(RiskFreeRate-DividendYield+0.5*BF22^2)*TimeToExpiration)/(BF22*TimeToExpiration^0.5), 0, 1, TRUE) - 
       $H22*EXP(-RiskFreeRate*TimeToExpiration)*_xlfn.NORM.DIST(BH$2*(LN(Underlying/$H22)+(RiskFreeRate-DividendYield-0.5*BF22^2)*TimeToExpiration)/(BF22*TimeToExpiration^0.5), 0, 1, TRUE)
)</f>
        <v>5.973619391</v>
      </c>
      <c r="BI22" s="51">
        <f t="shared" si="29"/>
        <v>0.3583027344</v>
      </c>
      <c r="BJ22" s="52">
        <f>BJ$2*(Underlying*EXP(-DividendYield*TimeToExpiration)*_xlfn.NORM.DIST(BJ$2*(LN(Underlying/$H22)+(RiskFreeRate-DividendYield+0.5*BI22^2)*TimeToExpiration)/(BI22*TimeToExpiration^0.5), 0, 1, TRUE) - 
       $H22*EXP(-RiskFreeRate*TimeToExpiration)*_xlfn.NORM.DIST(BJ$2*(LN(Underlying/$H22)+(RiskFreeRate-DividendYield-0.5*BI22^2)*TimeToExpiration)/(BI22*TimeToExpiration^0.5), 0, 1, TRUE)
)</f>
        <v>5.862667104</v>
      </c>
      <c r="BK22" s="51">
        <f t="shared" si="30"/>
        <v>0.3583027344</v>
      </c>
      <c r="BL22" s="51">
        <f t="shared" si="31"/>
        <v>0.3641601563</v>
      </c>
      <c r="BM22" s="25">
        <f>BM$2*(Underlying*EXP(-DividendYield*TimeToExpiration)*_xlfn.NORM.DIST(BM$2*(LN(Underlying/$H22)+(RiskFreeRate-DividendYield+0.5*BK22^2)*TimeToExpiration)/(BK22*TimeToExpiration^0.5), 0, 1, TRUE) - 
       $H22*EXP(-RiskFreeRate*TimeToExpiration)*_xlfn.NORM.DIST(BM$2*(LN(Underlying/$H22)+(RiskFreeRate-DividendYield-0.5*BK22^2)*TimeToExpiration)/(BK22*TimeToExpiration^0.5), 0, 1, TRUE)
)</f>
        <v>5.862667104</v>
      </c>
      <c r="BN22" s="25">
        <f>BN$2*(Underlying*EXP(-DividendYield*TimeToExpiration)*_xlfn.NORM.DIST(BN$2*(LN(Underlying/$H22)+(RiskFreeRate-DividendYield+0.5*BL22^2)*TimeToExpiration)/(BL22*TimeToExpiration^0.5), 0, 1, TRUE) - 
       $H22*EXP(-RiskFreeRate*TimeToExpiration)*_xlfn.NORM.DIST(BN$2*(LN(Underlying/$H22)+(RiskFreeRate-DividendYield-0.5*BL22^2)*TimeToExpiration)/(BL22*TimeToExpiration^0.5), 0, 1, TRUE)
)</f>
        <v>5.973619391</v>
      </c>
      <c r="BO22" s="51">
        <f t="shared" si="32"/>
        <v>0.3612314453</v>
      </c>
      <c r="BP22" s="52">
        <f>BP$2*(Underlying*EXP(-DividendYield*TimeToExpiration)*_xlfn.NORM.DIST(BP$2*(LN(Underlying/$H22)+(RiskFreeRate-DividendYield+0.5*BO22^2)*TimeToExpiration)/(BO22*TimeToExpiration^0.5), 0, 1, TRUE) - 
       $H22*EXP(-RiskFreeRate*TimeToExpiration)*_xlfn.NORM.DIST(BP$2*(LN(Underlying/$H22)+(RiskFreeRate-DividendYield-0.5*BO22^2)*TimeToExpiration)/(BO22*TimeToExpiration^0.5), 0, 1, TRUE)
)</f>
        <v>5.918140246</v>
      </c>
      <c r="BQ22" s="51">
        <f t="shared" si="33"/>
        <v>0.3612314453</v>
      </c>
      <c r="BR22" s="51">
        <f t="shared" si="34"/>
        <v>0.3641601563</v>
      </c>
      <c r="BS22" s="25">
        <f>BS$2*(Underlying*EXP(-DividendYield*TimeToExpiration)*_xlfn.NORM.DIST(BS$2*(LN(Underlying/$H22)+(RiskFreeRate-DividendYield+0.5*BQ22^2)*TimeToExpiration)/(BQ22*TimeToExpiration^0.5), 0, 1, TRUE) - 
       $H22*EXP(-RiskFreeRate*TimeToExpiration)*_xlfn.NORM.DIST(BS$2*(LN(Underlying/$H22)+(RiskFreeRate-DividendYield-0.5*BQ22^2)*TimeToExpiration)/(BQ22*TimeToExpiration^0.5), 0, 1, TRUE)
)</f>
        <v>5.918140246</v>
      </c>
      <c r="BT22" s="25">
        <f>BT$2*(Underlying*EXP(-DividendYield*TimeToExpiration)*_xlfn.NORM.DIST(BT$2*(LN(Underlying/$H22)+(RiskFreeRate-DividendYield+0.5*BR22^2)*TimeToExpiration)/(BR22*TimeToExpiration^0.5), 0, 1, TRUE) - 
       $H22*EXP(-RiskFreeRate*TimeToExpiration)*_xlfn.NORM.DIST(BT$2*(LN(Underlying/$H22)+(RiskFreeRate-DividendYield-0.5*BR22^2)*TimeToExpiration)/(BR22*TimeToExpiration^0.5), 0, 1, TRUE)
)</f>
        <v>5.973619391</v>
      </c>
      <c r="BU22" s="51">
        <f t="shared" si="35"/>
        <v>0.3626958008</v>
      </c>
      <c r="BV22" s="52">
        <f>BV$2*(Underlying*EXP(-DividendYield*TimeToExpiration)*_xlfn.NORM.DIST(BV$2*(LN(Underlying/$H22)+(RiskFreeRate-DividendYield+0.5*BU22^2)*TimeToExpiration)/(BU22*TimeToExpiration^0.5), 0, 1, TRUE) - 
       $H22*EXP(-RiskFreeRate*TimeToExpiration)*_xlfn.NORM.DIST(BV$2*(LN(Underlying/$H22)+(RiskFreeRate-DividendYield-0.5*BU22^2)*TimeToExpiration)/(BU22*TimeToExpiration^0.5), 0, 1, TRUE)
)</f>
        <v>5.945879077</v>
      </c>
      <c r="BW22" s="51">
        <f t="shared" si="36"/>
        <v>0.3626958008</v>
      </c>
      <c r="BX22" s="51">
        <f t="shared" si="37"/>
        <v>0.3641601563</v>
      </c>
      <c r="BY22" s="25">
        <f>BY$2*(Underlying*EXP(-DividendYield*TimeToExpiration)*_xlfn.NORM.DIST(BY$2*(LN(Underlying/$H22)+(RiskFreeRate-DividendYield+0.5*BW22^2)*TimeToExpiration)/(BW22*TimeToExpiration^0.5), 0, 1, TRUE) - 
       $H22*EXP(-RiskFreeRate*TimeToExpiration)*_xlfn.NORM.DIST(BY$2*(LN(Underlying/$H22)+(RiskFreeRate-DividendYield-0.5*BW22^2)*TimeToExpiration)/(BW22*TimeToExpiration^0.5), 0, 1, TRUE)
)</f>
        <v>5.945879077</v>
      </c>
      <c r="BZ22" s="25">
        <f>BZ$2*(Underlying*EXP(-DividendYield*TimeToExpiration)*_xlfn.NORM.DIST(BZ$2*(LN(Underlying/$H22)+(RiskFreeRate-DividendYield+0.5*BX22^2)*TimeToExpiration)/(BX22*TimeToExpiration^0.5), 0, 1, TRUE) - 
       $H22*EXP(-RiskFreeRate*TimeToExpiration)*_xlfn.NORM.DIST(BZ$2*(LN(Underlying/$H22)+(RiskFreeRate-DividendYield-0.5*BX22^2)*TimeToExpiration)/(BX22*TimeToExpiration^0.5), 0, 1, TRUE)
)</f>
        <v>5.973619391</v>
      </c>
      <c r="CA22" s="51">
        <f t="shared" si="38"/>
        <v>0.3634279785</v>
      </c>
      <c r="CB22" s="52">
        <f>CB$2*(Underlying*EXP(-DividendYield*TimeToExpiration)*_xlfn.NORM.DIST(CB$2*(LN(Underlying/$H22)+(RiskFreeRate-DividendYield+0.5*CA22^2)*TimeToExpiration)/(CA22*TimeToExpiration^0.5), 0, 1, TRUE) - 
       $H22*EXP(-RiskFreeRate*TimeToExpiration)*_xlfn.NORM.DIST(CB$2*(LN(Underlying/$H22)+(RiskFreeRate-DividendYield-0.5*CA22^2)*TimeToExpiration)/(CA22*TimeToExpiration^0.5), 0, 1, TRUE)
)</f>
        <v>5.95974905</v>
      </c>
      <c r="CC22" s="51">
        <f t="shared" si="39"/>
        <v>0.3626958008</v>
      </c>
      <c r="CD22" s="51">
        <f t="shared" si="40"/>
        <v>0.3634279785</v>
      </c>
      <c r="CE22" s="25">
        <f>CE$2*(Underlying*EXP(-DividendYield*TimeToExpiration)*_xlfn.NORM.DIST(CE$2*(LN(Underlying/$H22)+(RiskFreeRate-DividendYield+0.5*CC22^2)*TimeToExpiration)/(CC22*TimeToExpiration^0.5), 0, 1, TRUE) - 
       $H22*EXP(-RiskFreeRate*TimeToExpiration)*_xlfn.NORM.DIST(CE$2*(LN(Underlying/$H22)+(RiskFreeRate-DividendYield-0.5*CC22^2)*TimeToExpiration)/(CC22*TimeToExpiration^0.5), 0, 1, TRUE)
)</f>
        <v>5.945879077</v>
      </c>
      <c r="CF22" s="25">
        <f>CF$2*(Underlying*EXP(-DividendYield*TimeToExpiration)*_xlfn.NORM.DIST(CF$2*(LN(Underlying/$H22)+(RiskFreeRate-DividendYield+0.5*CD22^2)*TimeToExpiration)/(CD22*TimeToExpiration^0.5), 0, 1, TRUE) - 
       $H22*EXP(-RiskFreeRate*TimeToExpiration)*_xlfn.NORM.DIST(CF$2*(LN(Underlying/$H22)+(RiskFreeRate-DividendYield-0.5*CD22^2)*TimeToExpiration)/(CD22*TimeToExpiration^0.5), 0, 1, TRUE)
)</f>
        <v>5.95974905</v>
      </c>
      <c r="CG22" s="51">
        <f t="shared" si="41"/>
        <v>0.3630618896</v>
      </c>
      <c r="CH22" s="52">
        <f>CH$2*(Underlying*EXP(-DividendYield*TimeToExpiration)*_xlfn.NORM.DIST(CH$2*(LN(Underlying/$H22)+(RiskFreeRate-DividendYield+0.5*CG22^2)*TimeToExpiration)/(CG22*TimeToExpiration^0.5), 0, 1, TRUE) - 
       $H22*EXP(-RiskFreeRate*TimeToExpiration)*_xlfn.NORM.DIST(CH$2*(LN(Underlying/$H22)+(RiskFreeRate-DividendYield-0.5*CG22^2)*TimeToExpiration)/(CG22*TimeToExpiration^0.5), 0, 1, TRUE)
)</f>
        <v>5.952814017</v>
      </c>
      <c r="CI22" s="51">
        <f t="shared" si="42"/>
        <v>0.3626958008</v>
      </c>
      <c r="CJ22" s="51">
        <f t="shared" si="43"/>
        <v>0.3630618896</v>
      </c>
      <c r="CK22" s="25">
        <f>CK$2*(Underlying*EXP(-DividendYield*TimeToExpiration)*_xlfn.NORM.DIST(CK$2*(LN(Underlying/$H22)+(RiskFreeRate-DividendYield+0.5*CI22^2)*TimeToExpiration)/(CI22*TimeToExpiration^0.5), 0, 1, TRUE) - 
       $H22*EXP(-RiskFreeRate*TimeToExpiration)*_xlfn.NORM.DIST(CK$2*(LN(Underlying/$H22)+(RiskFreeRate-DividendYield-0.5*CI22^2)*TimeToExpiration)/(CI22*TimeToExpiration^0.5), 0, 1, TRUE)
)</f>
        <v>5.945879077</v>
      </c>
      <c r="CL22" s="25">
        <f>CL$2*(Underlying*EXP(-DividendYield*TimeToExpiration)*_xlfn.NORM.DIST(CL$2*(LN(Underlying/$H22)+(RiskFreeRate-DividendYield+0.5*CJ22^2)*TimeToExpiration)/(CJ22*TimeToExpiration^0.5), 0, 1, TRUE) - 
       $H22*EXP(-RiskFreeRate*TimeToExpiration)*_xlfn.NORM.DIST(CL$2*(LN(Underlying/$H22)+(RiskFreeRate-DividendYield-0.5*CJ22^2)*TimeToExpiration)/(CJ22*TimeToExpiration^0.5), 0, 1, TRUE)
)</f>
        <v>5.952814017</v>
      </c>
      <c r="CM22" s="51">
        <f t="shared" si="44"/>
        <v>0.3628788452</v>
      </c>
      <c r="CN22" s="52">
        <f>CN$2*(Underlying*EXP(-DividendYield*TimeToExpiration)*_xlfn.NORM.DIST(CN$2*(LN(Underlying/$H22)+(RiskFreeRate-DividendYield+0.5*CM22^2)*TimeToExpiration)/(CM22*TimeToExpiration^0.5), 0, 1, TRUE) - 
       $H22*EXP(-RiskFreeRate*TimeToExpiration)*_xlfn.NORM.DIST(CN$2*(LN(Underlying/$H22)+(RiskFreeRate-DividendYield-0.5*CM22^2)*TimeToExpiration)/(CM22*TimeToExpiration^0.5), 0, 1, TRUE)
)</f>
        <v>5.949346536</v>
      </c>
      <c r="CO22" s="51">
        <f t="shared" si="45"/>
        <v>0.3628788452</v>
      </c>
      <c r="CP22" s="51">
        <f t="shared" si="46"/>
        <v>0.3630618896</v>
      </c>
      <c r="CQ22" s="25">
        <f>CQ$2*(Underlying*EXP(-DividendYield*TimeToExpiration)*_xlfn.NORM.DIST(CQ$2*(LN(Underlying/$H22)+(RiskFreeRate-DividendYield+0.5*CO22^2)*TimeToExpiration)/(CO22*TimeToExpiration^0.5), 0, 1, TRUE) - 
       $H22*EXP(-RiskFreeRate*TimeToExpiration)*_xlfn.NORM.DIST(CQ$2*(LN(Underlying/$H22)+(RiskFreeRate-DividendYield-0.5*CO22^2)*TimeToExpiration)/(CO22*TimeToExpiration^0.5), 0, 1, TRUE)
)</f>
        <v>5.949346536</v>
      </c>
      <c r="CR22" s="25">
        <f>CR$2*(Underlying*EXP(-DividendYield*TimeToExpiration)*_xlfn.NORM.DIST(CR$2*(LN(Underlying/$H22)+(RiskFreeRate-DividendYield+0.5*CP22^2)*TimeToExpiration)/(CP22*TimeToExpiration^0.5), 0, 1, TRUE) - 
       $H22*EXP(-RiskFreeRate*TimeToExpiration)*_xlfn.NORM.DIST(CR$2*(LN(Underlying/$H22)+(RiskFreeRate-DividendYield-0.5*CP22^2)*TimeToExpiration)/(CP22*TimeToExpiration^0.5), 0, 1, TRUE)
)</f>
        <v>5.952814017</v>
      </c>
      <c r="CS22" s="51">
        <f t="shared" si="47"/>
        <v>0.3629703674</v>
      </c>
      <c r="CT22" s="52">
        <f>CT$2*(Underlying*EXP(-DividendYield*TimeToExpiration)*_xlfn.NORM.DIST(CT$2*(LN(Underlying/$H22)+(RiskFreeRate-DividendYield+0.5*CS22^2)*TimeToExpiration)/(CS22*TimeToExpiration^0.5), 0, 1, TRUE) - 
       $H22*EXP(-RiskFreeRate*TimeToExpiration)*_xlfn.NORM.DIST(CT$2*(LN(Underlying/$H22)+(RiskFreeRate-DividendYield-0.5*CS22^2)*TimeToExpiration)/(CS22*TimeToExpiration^0.5), 0, 1, TRUE)
)</f>
        <v>5.951080274</v>
      </c>
      <c r="CU22" s="51">
        <f t="shared" si="48"/>
        <v>0.3628788452</v>
      </c>
      <c r="CV22" s="51">
        <f t="shared" si="49"/>
        <v>0.3629703674</v>
      </c>
      <c r="CW22" s="25">
        <f>CW$2*(Underlying*EXP(-DividendYield*TimeToExpiration)*_xlfn.NORM.DIST(CW$2*(LN(Underlying/$H22)+(RiskFreeRate-DividendYield+0.5*CU22^2)*TimeToExpiration)/(CU22*TimeToExpiration^0.5), 0, 1, TRUE) - 
       $H22*EXP(-RiskFreeRate*TimeToExpiration)*_xlfn.NORM.DIST(CW$2*(LN(Underlying/$H22)+(RiskFreeRate-DividendYield-0.5*CU22^2)*TimeToExpiration)/(CU22*TimeToExpiration^0.5), 0, 1, TRUE)
)</f>
        <v>5.949346536</v>
      </c>
      <c r="CX22" s="25">
        <f>CX$2*(Underlying*EXP(-DividendYield*TimeToExpiration)*_xlfn.NORM.DIST(CX$2*(LN(Underlying/$H22)+(RiskFreeRate-DividendYield+0.5*CV22^2)*TimeToExpiration)/(CV22*TimeToExpiration^0.5), 0, 1, TRUE) - 
       $H22*EXP(-RiskFreeRate*TimeToExpiration)*_xlfn.NORM.DIST(CX$2*(LN(Underlying/$H22)+(RiskFreeRate-DividendYield-0.5*CV22^2)*TimeToExpiration)/(CV22*TimeToExpiration^0.5), 0, 1, TRUE)
)</f>
        <v>5.951080274</v>
      </c>
      <c r="CY22" s="51">
        <f t="shared" si="50"/>
        <v>0.3629246063</v>
      </c>
      <c r="CZ22" s="52">
        <f>CZ$2*(Underlying*EXP(-DividendYield*TimeToExpiration)*_xlfn.NORM.DIST(CZ$2*(LN(Underlying/$H22)+(RiskFreeRate-DividendYield+0.5*CY22^2)*TimeToExpiration)/(CY22*TimeToExpiration^0.5), 0, 1, TRUE) - 
       $H22*EXP(-RiskFreeRate*TimeToExpiration)*_xlfn.NORM.DIST(CZ$2*(LN(Underlying/$H22)+(RiskFreeRate-DividendYield-0.5*CY22^2)*TimeToExpiration)/(CY22*TimeToExpiration^0.5), 0, 1, TRUE)
)</f>
        <v>5.950213404</v>
      </c>
      <c r="DA22" s="51">
        <f t="shared" si="51"/>
        <v>0.3628788452</v>
      </c>
      <c r="DB22" s="51">
        <f t="shared" si="52"/>
        <v>0.3629246063</v>
      </c>
      <c r="DC22" s="25">
        <f>DC$2*(Underlying*EXP(-DividendYield*TimeToExpiration)*_xlfn.NORM.DIST(DC$2*(LN(Underlying/$H22)+(RiskFreeRate-DividendYield+0.5*DA22^2)*TimeToExpiration)/(DA22*TimeToExpiration^0.5), 0, 1, TRUE) - 
       $H22*EXP(-RiskFreeRate*TimeToExpiration)*_xlfn.NORM.DIST(DC$2*(LN(Underlying/$H22)+(RiskFreeRate-DividendYield-0.5*DA22^2)*TimeToExpiration)/(DA22*TimeToExpiration^0.5), 0, 1, TRUE)
)</f>
        <v>5.949346536</v>
      </c>
      <c r="DD22" s="25">
        <f>DD$2*(Underlying*EXP(-DividendYield*TimeToExpiration)*_xlfn.NORM.DIST(DD$2*(LN(Underlying/$H22)+(RiskFreeRate-DividendYield+0.5*DB22^2)*TimeToExpiration)/(DB22*TimeToExpiration^0.5), 0, 1, TRUE) - 
       $H22*EXP(-RiskFreeRate*TimeToExpiration)*_xlfn.NORM.DIST(DD$2*(LN(Underlying/$H22)+(RiskFreeRate-DividendYield-0.5*DB22^2)*TimeToExpiration)/(DB22*TimeToExpiration^0.5), 0, 1, TRUE)
)</f>
        <v>5.950213404</v>
      </c>
      <c r="DE22" s="51">
        <f t="shared" si="53"/>
        <v>0.3629017258</v>
      </c>
      <c r="DF22" s="52">
        <f>DF$2*(Underlying*EXP(-DividendYield*TimeToExpiration)*_xlfn.NORM.DIST(DF$2*(LN(Underlying/$H22)+(RiskFreeRate-DividendYield+0.5*DE22^2)*TimeToExpiration)/(DE22*TimeToExpiration^0.5), 0, 1, TRUE) - 
       $H22*EXP(-RiskFreeRate*TimeToExpiration)*_xlfn.NORM.DIST(DF$2*(LN(Underlying/$H22)+(RiskFreeRate-DividendYield-0.5*DE22^2)*TimeToExpiration)/(DE22*TimeToExpiration^0.5), 0, 1, TRUE)
)</f>
        <v>5.94977997</v>
      </c>
    </row>
    <row r="23">
      <c r="A23" s="20">
        <f>'Option Mkt Data'!A23</f>
        <v>340</v>
      </c>
      <c r="B23" s="35">
        <f t="shared" ref="B23:C23" si="70">DE23</f>
        <v>0.3613916092</v>
      </c>
      <c r="C23" s="7">
        <f t="shared" si="70"/>
        <v>7.149754783</v>
      </c>
      <c r="D23" s="7">
        <f t="shared" si="3"/>
        <v>0.0002453121652</v>
      </c>
      <c r="E23" s="9">
        <f t="shared" si="4"/>
        <v>0.00003430939327</v>
      </c>
      <c r="F23" s="36">
        <f>D23/'Option Mkt Data'!M23</f>
        <v>0.002453135684</v>
      </c>
      <c r="G23" s="5">
        <f>'Option Mkt Data'!K23</f>
        <v>7.150000095</v>
      </c>
      <c r="H23" s="33">
        <f>'Option Mkt Data'!A23</f>
        <v>340</v>
      </c>
      <c r="I23" s="37">
        <f>MinSolverVola</f>
        <v>0.001</v>
      </c>
      <c r="J23" s="38">
        <f>MaxSolverVola</f>
        <v>3</v>
      </c>
      <c r="K23" s="39">
        <f>K$2*(Underlying*EXP(-DividendYield*TimeToExpiration)*_xlfn.NORM.DIST(K$2*(LN(Underlying/$H23)+(RiskFreeRate-DividendYield+0.5*I23^2)*TimeToExpiration)/(I23*TimeToExpiration^0.5), 0, 1, TRUE) - 
       $H23*EXP(-RiskFreeRate*TimeToExpiration)*_xlfn.NORM.DIST(K$2*(LN(Underlying/$H23)+(RiskFreeRate-DividendYield-0.5*I23^2)*TimeToExpiration)/(I23*TimeToExpiration^0.5), 0, 1, TRUE)
)</f>
        <v>0.4535419301</v>
      </c>
      <c r="L23" s="7">
        <f>L$2*(Underlying*EXP(-DividendYield*TimeToExpiration)*_xlfn.NORM.DIST(L$2*(LN(Underlying/$H23)+(RiskFreeRate-DividendYield+0.5*J23^2)*TimeToExpiration)/(J23*TimeToExpiration^0.5), 0, 1, TRUE) - 
       $H23*EXP(-RiskFreeRate*TimeToExpiration)*_xlfn.NORM.DIST(L$2*(LN(Underlying/$H23)+(RiskFreeRate-DividendYield-0.5*J23^2)*TimeToExpiration)/(J23*TimeToExpiration^0.5), 0, 1, TRUE)
)</f>
        <v>57.25507006</v>
      </c>
      <c r="M23" s="40">
        <f t="shared" si="5"/>
        <v>1.5005</v>
      </c>
      <c r="N23" s="8">
        <f>N$2*(Underlying*EXP(-DividendYield*TimeToExpiration)*_xlfn.NORM.DIST(N$2*(LN(Underlying/$H23)+(RiskFreeRate-DividendYield+0.5*M23^2)*TimeToExpiration)/(M23*TimeToExpiration^0.5), 0, 1, TRUE) - 
       $H23*EXP(-RiskFreeRate*TimeToExpiration)*_xlfn.NORM.DIST(N$2*(LN(Underlying/$H23)+(RiskFreeRate-DividendYield-0.5*M23^2)*TimeToExpiration)/(M23*TimeToExpiration^0.5), 0, 1, TRUE)
)</f>
        <v>28.91109378</v>
      </c>
      <c r="O23" s="41">
        <f t="shared" si="6"/>
        <v>0.001</v>
      </c>
      <c r="P23" s="40">
        <f t="shared" si="7"/>
        <v>1.5005</v>
      </c>
      <c r="Q23" s="7">
        <f>Q$2*(Underlying*EXP(-DividendYield*TimeToExpiration)*_xlfn.NORM.DIST(Q$2*(LN(Underlying/$H23)+(RiskFreeRate-DividendYield+0.5*O23^2)*TimeToExpiration)/(O23*TimeToExpiration^0.5), 0, 1, TRUE) - 
       $H23*EXP(-RiskFreeRate*TimeToExpiration)*_xlfn.NORM.DIST(Q$2*(LN(Underlying/$H23)+(RiskFreeRate-DividendYield-0.5*O23^2)*TimeToExpiration)/(O23*TimeToExpiration^0.5), 0, 1, TRUE)
)</f>
        <v>0.4535419301</v>
      </c>
      <c r="R23" s="7">
        <f>R$2*(Underlying*EXP(-DividendYield*TimeToExpiration)*_xlfn.NORM.DIST(R$2*(LN(Underlying/$H23)+(RiskFreeRate-DividendYield+0.5*P23^2)*TimeToExpiration)/(P23*TimeToExpiration^0.5), 0, 1, TRUE) - 
       $H23*EXP(-RiskFreeRate*TimeToExpiration)*_xlfn.NORM.DIST(R$2*(LN(Underlying/$H23)+(RiskFreeRate-DividendYield-0.5*P23^2)*TimeToExpiration)/(P23*TimeToExpiration^0.5), 0, 1, TRUE)
)</f>
        <v>28.91109378</v>
      </c>
      <c r="S23" s="40">
        <f t="shared" si="8"/>
        <v>0.75075</v>
      </c>
      <c r="T23" s="8">
        <f>T$2*(Underlying*EXP(-DividendYield*TimeToExpiration)*_xlfn.NORM.DIST(T$2*(LN(Underlying/$H23)+(RiskFreeRate-DividendYield+0.5*S23^2)*TimeToExpiration)/(S23*TimeToExpiration^0.5), 0, 1, TRUE) - 
       $H23*EXP(-RiskFreeRate*TimeToExpiration)*_xlfn.NORM.DIST(T$2*(LN(Underlying/$H23)+(RiskFreeRate-DividendYield-0.5*S23^2)*TimeToExpiration)/(S23*TimeToExpiration^0.5), 0, 1, TRUE)
)</f>
        <v>14.59952356</v>
      </c>
      <c r="U23" s="41">
        <f t="shared" si="9"/>
        <v>0.001</v>
      </c>
      <c r="V23" s="40">
        <f t="shared" si="10"/>
        <v>0.75075</v>
      </c>
      <c r="W23" s="7">
        <f>W$2*(Underlying*EXP(-DividendYield*TimeToExpiration)*_xlfn.NORM.DIST(W$2*(LN(Underlying/$H23)+(RiskFreeRate-DividendYield+0.5*U23^2)*TimeToExpiration)/(U23*TimeToExpiration^0.5), 0, 1, TRUE) - 
       $H23*EXP(-RiskFreeRate*TimeToExpiration)*_xlfn.NORM.DIST(W$2*(LN(Underlying/$H23)+(RiskFreeRate-DividendYield-0.5*U23^2)*TimeToExpiration)/(U23*TimeToExpiration^0.5), 0, 1, TRUE)
)</f>
        <v>0.4535419301</v>
      </c>
      <c r="X23" s="7">
        <f>X$2*(Underlying*EXP(-DividendYield*TimeToExpiration)*_xlfn.NORM.DIST(X$2*(LN(Underlying/$H23)+(RiskFreeRate-DividendYield+0.5*V23^2)*TimeToExpiration)/(V23*TimeToExpiration^0.5), 0, 1, TRUE) - 
       $H23*EXP(-RiskFreeRate*TimeToExpiration)*_xlfn.NORM.DIST(X$2*(LN(Underlying/$H23)+(RiskFreeRate-DividendYield-0.5*V23^2)*TimeToExpiration)/(V23*TimeToExpiration^0.5), 0, 1, TRUE)
)</f>
        <v>14.59952356</v>
      </c>
      <c r="Y23" s="40">
        <f t="shared" si="11"/>
        <v>0.375875</v>
      </c>
      <c r="Z23" s="8">
        <f>Z$2*(Underlying*EXP(-DividendYield*TimeToExpiration)*_xlfn.NORM.DIST(Z$2*(LN(Underlying/$H23)+(RiskFreeRate-DividendYield+0.5*Y23^2)*TimeToExpiration)/(Y23*TimeToExpiration^0.5), 0, 1, TRUE) - 
       $H23*EXP(-RiskFreeRate*TimeToExpiration)*_xlfn.NORM.DIST(Z$2*(LN(Underlying/$H23)+(RiskFreeRate-DividendYield-0.5*Y23^2)*TimeToExpiration)/(Y23*TimeToExpiration^0.5), 0, 1, TRUE)
)</f>
        <v>7.426955346</v>
      </c>
      <c r="AA23" s="41">
        <f t="shared" si="12"/>
        <v>0.001</v>
      </c>
      <c r="AB23" s="40">
        <f t="shared" si="13"/>
        <v>0.375875</v>
      </c>
      <c r="AC23" s="7">
        <f>AC$2*(Underlying*EXP(-DividendYield*TimeToExpiration)*_xlfn.NORM.DIST(AC$2*(LN(Underlying/$H23)+(RiskFreeRate-DividendYield+0.5*AA23^2)*TimeToExpiration)/(AA23*TimeToExpiration^0.5), 0, 1, TRUE) - 
       $H23*EXP(-RiskFreeRate*TimeToExpiration)*_xlfn.NORM.DIST(AC$2*(LN(Underlying/$H23)+(RiskFreeRate-DividendYield-0.5*AA23^2)*TimeToExpiration)/(AA23*TimeToExpiration^0.5), 0, 1, TRUE)
)</f>
        <v>0.4535419301</v>
      </c>
      <c r="AD23" s="7">
        <f>AD$2*(Underlying*EXP(-DividendYield*TimeToExpiration)*_xlfn.NORM.DIST(AD$2*(LN(Underlying/$H23)+(RiskFreeRate-DividendYield+0.5*AB23^2)*TimeToExpiration)/(AB23*TimeToExpiration^0.5), 0, 1, TRUE) - 
       $H23*EXP(-RiskFreeRate*TimeToExpiration)*_xlfn.NORM.DIST(AD$2*(LN(Underlying/$H23)+(RiskFreeRate-DividendYield-0.5*AB23^2)*TimeToExpiration)/(AB23*TimeToExpiration^0.5), 0, 1, TRUE)
)</f>
        <v>7.426955346</v>
      </c>
      <c r="AE23" s="40">
        <f t="shared" si="14"/>
        <v>0.1884375</v>
      </c>
      <c r="AF23" s="8">
        <f>AF$2*(Underlying*EXP(-DividendYield*TimeToExpiration)*_xlfn.NORM.DIST(AF$2*(LN(Underlying/$H23)+(RiskFreeRate-DividendYield+0.5*AE23^2)*TimeToExpiration)/(AE23*TimeToExpiration^0.5), 0, 1, TRUE) - 
       $H23*EXP(-RiskFreeRate*TimeToExpiration)*_xlfn.NORM.DIST(AF$2*(LN(Underlying/$H23)+(RiskFreeRate-DividendYield-0.5*AE23^2)*TimeToExpiration)/(AE23*TimeToExpiration^0.5), 0, 1, TRUE)
)</f>
        <v>3.840153927</v>
      </c>
      <c r="AG23" s="40">
        <f t="shared" si="15"/>
        <v>0.1884375</v>
      </c>
      <c r="AH23" s="40">
        <f t="shared" si="16"/>
        <v>0.375875</v>
      </c>
      <c r="AI23" s="7">
        <f>AI$2*(Underlying*EXP(-DividendYield*TimeToExpiration)*_xlfn.NORM.DIST(AI$2*(LN(Underlying/$H23)+(RiskFreeRate-DividendYield+0.5*AG23^2)*TimeToExpiration)/(AG23*TimeToExpiration^0.5), 0, 1, TRUE) - 
       $H23*EXP(-RiskFreeRate*TimeToExpiration)*_xlfn.NORM.DIST(AI$2*(LN(Underlying/$H23)+(RiskFreeRate-DividendYield-0.5*AG23^2)*TimeToExpiration)/(AG23*TimeToExpiration^0.5), 0, 1, TRUE)
)</f>
        <v>3.840153927</v>
      </c>
      <c r="AJ23" s="7">
        <f>AJ$2*(Underlying*EXP(-DividendYield*TimeToExpiration)*_xlfn.NORM.DIST(AJ$2*(LN(Underlying/$H23)+(RiskFreeRate-DividendYield+0.5*AH23^2)*TimeToExpiration)/(AH23*TimeToExpiration^0.5), 0, 1, TRUE) - 
       $H23*EXP(-RiskFreeRate*TimeToExpiration)*_xlfn.NORM.DIST(AJ$2*(LN(Underlying/$H23)+(RiskFreeRate-DividendYield-0.5*AH23^2)*TimeToExpiration)/(AH23*TimeToExpiration^0.5), 0, 1, TRUE)
)</f>
        <v>7.426955346</v>
      </c>
      <c r="AK23" s="40">
        <f t="shared" si="17"/>
        <v>0.28215625</v>
      </c>
      <c r="AL23" s="8">
        <f>AL$2*(Underlying*EXP(-DividendYield*TimeToExpiration)*_xlfn.NORM.DIST(AL$2*(LN(Underlying/$H23)+(RiskFreeRate-DividendYield+0.5*AK23^2)*TimeToExpiration)/(AK23*TimeToExpiration^0.5), 0, 1, TRUE) - 
       $H23*EXP(-RiskFreeRate*TimeToExpiration)*_xlfn.NORM.DIST(AL$2*(LN(Underlying/$H23)+(RiskFreeRate-DividendYield-0.5*AK23^2)*TimeToExpiration)/(AK23*TimeToExpiration^0.5), 0, 1, TRUE)
)</f>
        <v>5.633297878</v>
      </c>
      <c r="AM23" s="40">
        <f t="shared" si="18"/>
        <v>0.28215625</v>
      </c>
      <c r="AN23" s="40">
        <f t="shared" si="19"/>
        <v>0.375875</v>
      </c>
      <c r="AO23" s="7">
        <f>AO$2*(Underlying*EXP(-DividendYield*TimeToExpiration)*_xlfn.NORM.DIST(AO$2*(LN(Underlying/$H23)+(RiskFreeRate-DividendYield+0.5*AM23^2)*TimeToExpiration)/(AM23*TimeToExpiration^0.5), 0, 1, TRUE) - 
       $H23*EXP(-RiskFreeRate*TimeToExpiration)*_xlfn.NORM.DIST(AO$2*(LN(Underlying/$H23)+(RiskFreeRate-DividendYield-0.5*AM23^2)*TimeToExpiration)/(AM23*TimeToExpiration^0.5), 0, 1, TRUE)
)</f>
        <v>5.633297878</v>
      </c>
      <c r="AP23" s="7">
        <f>AP$2*(Underlying*EXP(-DividendYield*TimeToExpiration)*_xlfn.NORM.DIST(AP$2*(LN(Underlying/$H23)+(RiskFreeRate-DividendYield+0.5*AN23^2)*TimeToExpiration)/(AN23*TimeToExpiration^0.5), 0, 1, TRUE) - 
       $H23*EXP(-RiskFreeRate*TimeToExpiration)*_xlfn.NORM.DIST(AP$2*(LN(Underlying/$H23)+(RiskFreeRate-DividendYield-0.5*AN23^2)*TimeToExpiration)/(AN23*TimeToExpiration^0.5), 0, 1, TRUE)
)</f>
        <v>7.426955346</v>
      </c>
      <c r="AQ23" s="40">
        <f t="shared" si="20"/>
        <v>0.329015625</v>
      </c>
      <c r="AR23" s="8">
        <f>AR$2*(Underlying*EXP(-DividendYield*TimeToExpiration)*_xlfn.NORM.DIST(AR$2*(LN(Underlying/$H23)+(RiskFreeRate-DividendYield+0.5*AQ23^2)*TimeToExpiration)/(AQ23*TimeToExpiration^0.5), 0, 1, TRUE) - 
       $H23*EXP(-RiskFreeRate*TimeToExpiration)*_xlfn.NORM.DIST(AR$2*(LN(Underlying/$H23)+(RiskFreeRate-DividendYield-0.5*AQ23^2)*TimeToExpiration)/(AQ23*TimeToExpiration^0.5), 0, 1, TRUE)
)</f>
        <v>6.530107429</v>
      </c>
      <c r="AS23" s="40">
        <f t="shared" si="21"/>
        <v>0.329015625</v>
      </c>
      <c r="AT23" s="40">
        <f t="shared" si="22"/>
        <v>0.375875</v>
      </c>
      <c r="AU23" s="7">
        <f>AU$2*(Underlying*EXP(-DividendYield*TimeToExpiration)*_xlfn.NORM.DIST(AU$2*(LN(Underlying/$H23)+(RiskFreeRate-DividendYield+0.5*AS23^2)*TimeToExpiration)/(AS23*TimeToExpiration^0.5), 0, 1, TRUE) - 
       $H23*EXP(-RiskFreeRate*TimeToExpiration)*_xlfn.NORM.DIST(AU$2*(LN(Underlying/$H23)+(RiskFreeRate-DividendYield-0.5*AS23^2)*TimeToExpiration)/(AS23*TimeToExpiration^0.5), 0, 1, TRUE)
)</f>
        <v>6.530107429</v>
      </c>
      <c r="AV23" s="7">
        <f>AV$2*(Underlying*EXP(-DividendYield*TimeToExpiration)*_xlfn.NORM.DIST(AV$2*(LN(Underlying/$H23)+(RiskFreeRate-DividendYield+0.5*AT23^2)*TimeToExpiration)/(AT23*TimeToExpiration^0.5), 0, 1, TRUE) - 
       $H23*EXP(-RiskFreeRate*TimeToExpiration)*_xlfn.NORM.DIST(AV$2*(LN(Underlying/$H23)+(RiskFreeRate-DividendYield-0.5*AT23^2)*TimeToExpiration)/(AT23*TimeToExpiration^0.5), 0, 1, TRUE)
)</f>
        <v>7.426955346</v>
      </c>
      <c r="AW23" s="40">
        <f t="shared" si="23"/>
        <v>0.3524453125</v>
      </c>
      <c r="AX23" s="8">
        <f>AX$2*(Underlying*EXP(-DividendYield*TimeToExpiration)*_xlfn.NORM.DIST(AX$2*(LN(Underlying/$H23)+(RiskFreeRate-DividendYield+0.5*AW23^2)*TimeToExpiration)/(AW23*TimeToExpiration^0.5), 0, 1, TRUE) - 
       $H23*EXP(-RiskFreeRate*TimeToExpiration)*_xlfn.NORM.DIST(AX$2*(LN(Underlying/$H23)+(RiskFreeRate-DividendYield-0.5*AW23^2)*TimeToExpiration)/(AW23*TimeToExpiration^0.5), 0, 1, TRUE)
)</f>
        <v>6.978529887</v>
      </c>
      <c r="AY23" s="40">
        <f t="shared" si="24"/>
        <v>0.3524453125</v>
      </c>
      <c r="AZ23" s="40">
        <f t="shared" si="25"/>
        <v>0.375875</v>
      </c>
      <c r="BA23" s="7">
        <f>BA$2*(Underlying*EXP(-DividendYield*TimeToExpiration)*_xlfn.NORM.DIST(BA$2*(LN(Underlying/$H23)+(RiskFreeRate-DividendYield+0.5*AY23^2)*TimeToExpiration)/(AY23*TimeToExpiration^0.5), 0, 1, TRUE) - 
       $H23*EXP(-RiskFreeRate*TimeToExpiration)*_xlfn.NORM.DIST(BA$2*(LN(Underlying/$H23)+(RiskFreeRate-DividendYield-0.5*AY23^2)*TimeToExpiration)/(AY23*TimeToExpiration^0.5), 0, 1, TRUE)
)</f>
        <v>6.978529887</v>
      </c>
      <c r="BB23" s="7">
        <f>BB$2*(Underlying*EXP(-DividendYield*TimeToExpiration)*_xlfn.NORM.DIST(BB$2*(LN(Underlying/$H23)+(RiskFreeRate-DividendYield+0.5*AZ23^2)*TimeToExpiration)/(AZ23*TimeToExpiration^0.5), 0, 1, TRUE) - 
       $H23*EXP(-RiskFreeRate*TimeToExpiration)*_xlfn.NORM.DIST(BB$2*(LN(Underlying/$H23)+(RiskFreeRate-DividendYield-0.5*AZ23^2)*TimeToExpiration)/(AZ23*TimeToExpiration^0.5), 0, 1, TRUE)
)</f>
        <v>7.426955346</v>
      </c>
      <c r="BC23" s="40">
        <f t="shared" si="26"/>
        <v>0.3641601563</v>
      </c>
      <c r="BD23" s="8">
        <f>BD$2*(Underlying*EXP(-DividendYield*TimeToExpiration)*_xlfn.NORM.DIST(BD$2*(LN(Underlying/$H23)+(RiskFreeRate-DividendYield+0.5*BC23^2)*TimeToExpiration)/(BC23*TimeToExpiration^0.5), 0, 1, TRUE) - 
       $H23*EXP(-RiskFreeRate*TimeToExpiration)*_xlfn.NORM.DIST(BD$2*(LN(Underlying/$H23)+(RiskFreeRate-DividendYield-0.5*BC23^2)*TimeToExpiration)/(BC23*TimeToExpiration^0.5), 0, 1, TRUE)
)</f>
        <v>7.202742578</v>
      </c>
      <c r="BE23" s="40">
        <f t="shared" si="27"/>
        <v>0.3524453125</v>
      </c>
      <c r="BF23" s="40">
        <f t="shared" si="28"/>
        <v>0.3641601563</v>
      </c>
      <c r="BG23" s="7">
        <f>BG$2*(Underlying*EXP(-DividendYield*TimeToExpiration)*_xlfn.NORM.DIST(BG$2*(LN(Underlying/$H23)+(RiskFreeRate-DividendYield+0.5*BE23^2)*TimeToExpiration)/(BE23*TimeToExpiration^0.5), 0, 1, TRUE) - 
       $H23*EXP(-RiskFreeRate*TimeToExpiration)*_xlfn.NORM.DIST(BG$2*(LN(Underlying/$H23)+(RiskFreeRate-DividendYield-0.5*BE23^2)*TimeToExpiration)/(BE23*TimeToExpiration^0.5), 0, 1, TRUE)
)</f>
        <v>6.978529887</v>
      </c>
      <c r="BH23" s="7">
        <f>BH$2*(Underlying*EXP(-DividendYield*TimeToExpiration)*_xlfn.NORM.DIST(BH$2*(LN(Underlying/$H23)+(RiskFreeRate-DividendYield+0.5*BF23^2)*TimeToExpiration)/(BF23*TimeToExpiration^0.5), 0, 1, TRUE) - 
       $H23*EXP(-RiskFreeRate*TimeToExpiration)*_xlfn.NORM.DIST(BH$2*(LN(Underlying/$H23)+(RiskFreeRate-DividendYield-0.5*BF23^2)*TimeToExpiration)/(BF23*TimeToExpiration^0.5), 0, 1, TRUE)
)</f>
        <v>7.202742578</v>
      </c>
      <c r="BI23" s="40">
        <f t="shared" si="29"/>
        <v>0.3583027344</v>
      </c>
      <c r="BJ23" s="8">
        <f>BJ$2*(Underlying*EXP(-DividendYield*TimeToExpiration)*_xlfn.NORM.DIST(BJ$2*(LN(Underlying/$H23)+(RiskFreeRate-DividendYield+0.5*BI23^2)*TimeToExpiration)/(BI23*TimeToExpiration^0.5), 0, 1, TRUE) - 
       $H23*EXP(-RiskFreeRate*TimeToExpiration)*_xlfn.NORM.DIST(BJ$2*(LN(Underlying/$H23)+(RiskFreeRate-DividendYield-0.5*BI23^2)*TimeToExpiration)/(BI23*TimeToExpiration^0.5), 0, 1, TRUE)
)</f>
        <v>7.090636183</v>
      </c>
      <c r="BK23" s="40">
        <f t="shared" si="30"/>
        <v>0.3583027344</v>
      </c>
      <c r="BL23" s="40">
        <f t="shared" si="31"/>
        <v>0.3641601563</v>
      </c>
      <c r="BM23" s="7">
        <f>BM$2*(Underlying*EXP(-DividendYield*TimeToExpiration)*_xlfn.NORM.DIST(BM$2*(LN(Underlying/$H23)+(RiskFreeRate-DividendYield+0.5*BK23^2)*TimeToExpiration)/(BK23*TimeToExpiration^0.5), 0, 1, TRUE) - 
       $H23*EXP(-RiskFreeRate*TimeToExpiration)*_xlfn.NORM.DIST(BM$2*(LN(Underlying/$H23)+(RiskFreeRate-DividendYield-0.5*BK23^2)*TimeToExpiration)/(BK23*TimeToExpiration^0.5), 0, 1, TRUE)
)</f>
        <v>7.090636183</v>
      </c>
      <c r="BN23" s="7">
        <f>BN$2*(Underlying*EXP(-DividendYield*TimeToExpiration)*_xlfn.NORM.DIST(BN$2*(LN(Underlying/$H23)+(RiskFreeRate-DividendYield+0.5*BL23^2)*TimeToExpiration)/(BL23*TimeToExpiration^0.5), 0, 1, TRUE) - 
       $H23*EXP(-RiskFreeRate*TimeToExpiration)*_xlfn.NORM.DIST(BN$2*(LN(Underlying/$H23)+(RiskFreeRate-DividendYield-0.5*BL23^2)*TimeToExpiration)/(BL23*TimeToExpiration^0.5), 0, 1, TRUE)
)</f>
        <v>7.202742578</v>
      </c>
      <c r="BO23" s="40">
        <f t="shared" si="32"/>
        <v>0.3612314453</v>
      </c>
      <c r="BP23" s="8">
        <f>BP$2*(Underlying*EXP(-DividendYield*TimeToExpiration)*_xlfn.NORM.DIST(BP$2*(LN(Underlying/$H23)+(RiskFreeRate-DividendYield+0.5*BO23^2)*TimeToExpiration)/(BO23*TimeToExpiration^0.5), 0, 1, TRUE) - 
       $H23*EXP(-RiskFreeRate*TimeToExpiration)*_xlfn.NORM.DIST(BP$2*(LN(Underlying/$H23)+(RiskFreeRate-DividendYield-0.5*BO23^2)*TimeToExpiration)/(BO23*TimeToExpiration^0.5), 0, 1, TRUE)
)</f>
        <v>7.146689373</v>
      </c>
      <c r="BQ23" s="40">
        <f t="shared" si="33"/>
        <v>0.3612314453</v>
      </c>
      <c r="BR23" s="40">
        <f t="shared" si="34"/>
        <v>0.3641601563</v>
      </c>
      <c r="BS23" s="7">
        <f>BS$2*(Underlying*EXP(-DividendYield*TimeToExpiration)*_xlfn.NORM.DIST(BS$2*(LN(Underlying/$H23)+(RiskFreeRate-DividendYield+0.5*BQ23^2)*TimeToExpiration)/(BQ23*TimeToExpiration^0.5), 0, 1, TRUE) - 
       $H23*EXP(-RiskFreeRate*TimeToExpiration)*_xlfn.NORM.DIST(BS$2*(LN(Underlying/$H23)+(RiskFreeRate-DividendYield-0.5*BQ23^2)*TimeToExpiration)/(BQ23*TimeToExpiration^0.5), 0, 1, TRUE)
)</f>
        <v>7.146689373</v>
      </c>
      <c r="BT23" s="7">
        <f>BT$2*(Underlying*EXP(-DividendYield*TimeToExpiration)*_xlfn.NORM.DIST(BT$2*(LN(Underlying/$H23)+(RiskFreeRate-DividendYield+0.5*BR23^2)*TimeToExpiration)/(BR23*TimeToExpiration^0.5), 0, 1, TRUE) - 
       $H23*EXP(-RiskFreeRate*TimeToExpiration)*_xlfn.NORM.DIST(BT$2*(LN(Underlying/$H23)+(RiskFreeRate-DividendYield-0.5*BR23^2)*TimeToExpiration)/(BR23*TimeToExpiration^0.5), 0, 1, TRUE)
)</f>
        <v>7.202742578</v>
      </c>
      <c r="BU23" s="40">
        <f t="shared" si="35"/>
        <v>0.3626958008</v>
      </c>
      <c r="BV23" s="8">
        <f>BV$2*(Underlying*EXP(-DividendYield*TimeToExpiration)*_xlfn.NORM.DIST(BV$2*(LN(Underlying/$H23)+(RiskFreeRate-DividendYield+0.5*BU23^2)*TimeToExpiration)/(BU23*TimeToExpiration^0.5), 0, 1, TRUE) - 
       $H23*EXP(-RiskFreeRate*TimeToExpiration)*_xlfn.NORM.DIST(BV$2*(LN(Underlying/$H23)+(RiskFreeRate-DividendYield-0.5*BU23^2)*TimeToExpiration)/(BU23*TimeToExpiration^0.5), 0, 1, TRUE)
)</f>
        <v>7.174715975</v>
      </c>
      <c r="BW23" s="40">
        <f t="shared" si="36"/>
        <v>0.3612314453</v>
      </c>
      <c r="BX23" s="40">
        <f t="shared" si="37"/>
        <v>0.3626958008</v>
      </c>
      <c r="BY23" s="7">
        <f>BY$2*(Underlying*EXP(-DividendYield*TimeToExpiration)*_xlfn.NORM.DIST(BY$2*(LN(Underlying/$H23)+(RiskFreeRate-DividendYield+0.5*BW23^2)*TimeToExpiration)/(BW23*TimeToExpiration^0.5), 0, 1, TRUE) - 
       $H23*EXP(-RiskFreeRate*TimeToExpiration)*_xlfn.NORM.DIST(BY$2*(LN(Underlying/$H23)+(RiskFreeRate-DividendYield-0.5*BW23^2)*TimeToExpiration)/(BW23*TimeToExpiration^0.5), 0, 1, TRUE)
)</f>
        <v>7.146689373</v>
      </c>
      <c r="BZ23" s="7">
        <f>BZ$2*(Underlying*EXP(-DividendYield*TimeToExpiration)*_xlfn.NORM.DIST(BZ$2*(LN(Underlying/$H23)+(RiskFreeRate-DividendYield+0.5*BX23^2)*TimeToExpiration)/(BX23*TimeToExpiration^0.5), 0, 1, TRUE) - 
       $H23*EXP(-RiskFreeRate*TimeToExpiration)*_xlfn.NORM.DIST(BZ$2*(LN(Underlying/$H23)+(RiskFreeRate-DividendYield-0.5*BX23^2)*TimeToExpiration)/(BX23*TimeToExpiration^0.5), 0, 1, TRUE)
)</f>
        <v>7.174715975</v>
      </c>
      <c r="CA23" s="40">
        <f t="shared" si="38"/>
        <v>0.361963623</v>
      </c>
      <c r="CB23" s="8">
        <f>CB$2*(Underlying*EXP(-DividendYield*TimeToExpiration)*_xlfn.NORM.DIST(CB$2*(LN(Underlying/$H23)+(RiskFreeRate-DividendYield+0.5*CA23^2)*TimeToExpiration)/(CA23*TimeToExpiration^0.5), 0, 1, TRUE) - 
       $H23*EXP(-RiskFreeRate*TimeToExpiration)*_xlfn.NORM.DIST(CB$2*(LN(Underlying/$H23)+(RiskFreeRate-DividendYield-0.5*CA23^2)*TimeToExpiration)/(CA23*TimeToExpiration^0.5), 0, 1, TRUE)
)</f>
        <v>7.160702674</v>
      </c>
      <c r="CC23" s="40">
        <f t="shared" si="39"/>
        <v>0.3612314453</v>
      </c>
      <c r="CD23" s="40">
        <f t="shared" si="40"/>
        <v>0.361963623</v>
      </c>
      <c r="CE23" s="7">
        <f>CE$2*(Underlying*EXP(-DividendYield*TimeToExpiration)*_xlfn.NORM.DIST(CE$2*(LN(Underlying/$H23)+(RiskFreeRate-DividendYield+0.5*CC23^2)*TimeToExpiration)/(CC23*TimeToExpiration^0.5), 0, 1, TRUE) - 
       $H23*EXP(-RiskFreeRate*TimeToExpiration)*_xlfn.NORM.DIST(CE$2*(LN(Underlying/$H23)+(RiskFreeRate-DividendYield-0.5*CC23^2)*TimeToExpiration)/(CC23*TimeToExpiration^0.5), 0, 1, TRUE)
)</f>
        <v>7.146689373</v>
      </c>
      <c r="CF23" s="7">
        <f>CF$2*(Underlying*EXP(-DividendYield*TimeToExpiration)*_xlfn.NORM.DIST(CF$2*(LN(Underlying/$H23)+(RiskFreeRate-DividendYield+0.5*CD23^2)*TimeToExpiration)/(CD23*TimeToExpiration^0.5), 0, 1, TRUE) - 
       $H23*EXP(-RiskFreeRate*TimeToExpiration)*_xlfn.NORM.DIST(CF$2*(LN(Underlying/$H23)+(RiskFreeRate-DividendYield-0.5*CD23^2)*TimeToExpiration)/(CD23*TimeToExpiration^0.5), 0, 1, TRUE)
)</f>
        <v>7.160702674</v>
      </c>
      <c r="CG23" s="40">
        <f t="shared" si="41"/>
        <v>0.3615975342</v>
      </c>
      <c r="CH23" s="8">
        <f>CH$2*(Underlying*EXP(-DividendYield*TimeToExpiration)*_xlfn.NORM.DIST(CH$2*(LN(Underlying/$H23)+(RiskFreeRate-DividendYield+0.5*CG23^2)*TimeToExpiration)/(CG23*TimeToExpiration^0.5), 0, 1, TRUE) - 
       $H23*EXP(-RiskFreeRate*TimeToExpiration)*_xlfn.NORM.DIST(CH$2*(LN(Underlying/$H23)+(RiskFreeRate-DividendYield-0.5*CG23^2)*TimeToExpiration)/(CG23*TimeToExpiration^0.5), 0, 1, TRUE)
)</f>
        <v>7.153696023</v>
      </c>
      <c r="CI23" s="40">
        <f t="shared" si="42"/>
        <v>0.3612314453</v>
      </c>
      <c r="CJ23" s="40">
        <f t="shared" si="43"/>
        <v>0.3615975342</v>
      </c>
      <c r="CK23" s="7">
        <f>CK$2*(Underlying*EXP(-DividendYield*TimeToExpiration)*_xlfn.NORM.DIST(CK$2*(LN(Underlying/$H23)+(RiskFreeRate-DividendYield+0.5*CI23^2)*TimeToExpiration)/(CI23*TimeToExpiration^0.5), 0, 1, TRUE) - 
       $H23*EXP(-RiskFreeRate*TimeToExpiration)*_xlfn.NORM.DIST(CK$2*(LN(Underlying/$H23)+(RiskFreeRate-DividendYield-0.5*CI23^2)*TimeToExpiration)/(CI23*TimeToExpiration^0.5), 0, 1, TRUE)
)</f>
        <v>7.146689373</v>
      </c>
      <c r="CL23" s="7">
        <f>CL$2*(Underlying*EXP(-DividendYield*TimeToExpiration)*_xlfn.NORM.DIST(CL$2*(LN(Underlying/$H23)+(RiskFreeRate-DividendYield+0.5*CJ23^2)*TimeToExpiration)/(CJ23*TimeToExpiration^0.5), 0, 1, TRUE) - 
       $H23*EXP(-RiskFreeRate*TimeToExpiration)*_xlfn.NORM.DIST(CL$2*(LN(Underlying/$H23)+(RiskFreeRate-DividendYield-0.5*CJ23^2)*TimeToExpiration)/(CJ23*TimeToExpiration^0.5), 0, 1, TRUE)
)</f>
        <v>7.153696023</v>
      </c>
      <c r="CM23" s="40">
        <f t="shared" si="44"/>
        <v>0.3614144897</v>
      </c>
      <c r="CN23" s="8">
        <f>CN$2*(Underlying*EXP(-DividendYield*TimeToExpiration)*_xlfn.NORM.DIST(CN$2*(LN(Underlying/$H23)+(RiskFreeRate-DividendYield+0.5*CM23^2)*TimeToExpiration)/(CM23*TimeToExpiration^0.5), 0, 1, TRUE) - 
       $H23*EXP(-RiskFreeRate*TimeToExpiration)*_xlfn.NORM.DIST(CN$2*(LN(Underlying/$H23)+(RiskFreeRate-DividendYield-0.5*CM23^2)*TimeToExpiration)/(CM23*TimeToExpiration^0.5), 0, 1, TRUE)
)</f>
        <v>7.150192698</v>
      </c>
      <c r="CO23" s="40">
        <f t="shared" si="45"/>
        <v>0.3612314453</v>
      </c>
      <c r="CP23" s="40">
        <f t="shared" si="46"/>
        <v>0.3614144897</v>
      </c>
      <c r="CQ23" s="7">
        <f>CQ$2*(Underlying*EXP(-DividendYield*TimeToExpiration)*_xlfn.NORM.DIST(CQ$2*(LN(Underlying/$H23)+(RiskFreeRate-DividendYield+0.5*CO23^2)*TimeToExpiration)/(CO23*TimeToExpiration^0.5), 0, 1, TRUE) - 
       $H23*EXP(-RiskFreeRate*TimeToExpiration)*_xlfn.NORM.DIST(CQ$2*(LN(Underlying/$H23)+(RiskFreeRate-DividendYield-0.5*CO23^2)*TimeToExpiration)/(CO23*TimeToExpiration^0.5), 0, 1, TRUE)
)</f>
        <v>7.146689373</v>
      </c>
      <c r="CR23" s="7">
        <f>CR$2*(Underlying*EXP(-DividendYield*TimeToExpiration)*_xlfn.NORM.DIST(CR$2*(LN(Underlying/$H23)+(RiskFreeRate-DividendYield+0.5*CP23^2)*TimeToExpiration)/(CP23*TimeToExpiration^0.5), 0, 1, TRUE) - 
       $H23*EXP(-RiskFreeRate*TimeToExpiration)*_xlfn.NORM.DIST(CR$2*(LN(Underlying/$H23)+(RiskFreeRate-DividendYield-0.5*CP23^2)*TimeToExpiration)/(CP23*TimeToExpiration^0.5), 0, 1, TRUE)
)</f>
        <v>7.150192698</v>
      </c>
      <c r="CS23" s="40">
        <f t="shared" si="47"/>
        <v>0.3613229675</v>
      </c>
      <c r="CT23" s="8">
        <f>CT$2*(Underlying*EXP(-DividendYield*TimeToExpiration)*_xlfn.NORM.DIST(CT$2*(LN(Underlying/$H23)+(RiskFreeRate-DividendYield+0.5*CS23^2)*TimeToExpiration)/(CS23*TimeToExpiration^0.5), 0, 1, TRUE) - 
       $H23*EXP(-RiskFreeRate*TimeToExpiration)*_xlfn.NORM.DIST(CT$2*(LN(Underlying/$H23)+(RiskFreeRate-DividendYield-0.5*CS23^2)*TimeToExpiration)/(CS23*TimeToExpiration^0.5), 0, 1, TRUE)
)</f>
        <v>7.148441036</v>
      </c>
      <c r="CU23" s="40">
        <f t="shared" si="48"/>
        <v>0.3613229675</v>
      </c>
      <c r="CV23" s="40">
        <f t="shared" si="49"/>
        <v>0.3614144897</v>
      </c>
      <c r="CW23" s="7">
        <f>CW$2*(Underlying*EXP(-DividendYield*TimeToExpiration)*_xlfn.NORM.DIST(CW$2*(LN(Underlying/$H23)+(RiskFreeRate-DividendYield+0.5*CU23^2)*TimeToExpiration)/(CU23*TimeToExpiration^0.5), 0, 1, TRUE) - 
       $H23*EXP(-RiskFreeRate*TimeToExpiration)*_xlfn.NORM.DIST(CW$2*(LN(Underlying/$H23)+(RiskFreeRate-DividendYield-0.5*CU23^2)*TimeToExpiration)/(CU23*TimeToExpiration^0.5), 0, 1, TRUE)
)</f>
        <v>7.148441036</v>
      </c>
      <c r="CX23" s="7">
        <f>CX$2*(Underlying*EXP(-DividendYield*TimeToExpiration)*_xlfn.NORM.DIST(CX$2*(LN(Underlying/$H23)+(RiskFreeRate-DividendYield+0.5*CV23^2)*TimeToExpiration)/(CV23*TimeToExpiration^0.5), 0, 1, TRUE) - 
       $H23*EXP(-RiskFreeRate*TimeToExpiration)*_xlfn.NORM.DIST(CX$2*(LN(Underlying/$H23)+(RiskFreeRate-DividendYield-0.5*CV23^2)*TimeToExpiration)/(CV23*TimeToExpiration^0.5), 0, 1, TRUE)
)</f>
        <v>7.150192698</v>
      </c>
      <c r="CY23" s="40">
        <f t="shared" si="50"/>
        <v>0.3613687286</v>
      </c>
      <c r="CZ23" s="8">
        <f>CZ$2*(Underlying*EXP(-DividendYield*TimeToExpiration)*_xlfn.NORM.DIST(CZ$2*(LN(Underlying/$H23)+(RiskFreeRate-DividendYield+0.5*CY23^2)*TimeToExpiration)/(CY23*TimeToExpiration^0.5), 0, 1, TRUE) - 
       $H23*EXP(-RiskFreeRate*TimeToExpiration)*_xlfn.NORM.DIST(CZ$2*(LN(Underlying/$H23)+(RiskFreeRate-DividendYield-0.5*CY23^2)*TimeToExpiration)/(CY23*TimeToExpiration^0.5), 0, 1, TRUE)
)</f>
        <v>7.149316867</v>
      </c>
      <c r="DA23" s="40">
        <f t="shared" si="51"/>
        <v>0.3613687286</v>
      </c>
      <c r="DB23" s="40">
        <f t="shared" si="52"/>
        <v>0.3614144897</v>
      </c>
      <c r="DC23" s="7">
        <f>DC$2*(Underlying*EXP(-DividendYield*TimeToExpiration)*_xlfn.NORM.DIST(DC$2*(LN(Underlying/$H23)+(RiskFreeRate-DividendYield+0.5*DA23^2)*TimeToExpiration)/(DA23*TimeToExpiration^0.5), 0, 1, TRUE) - 
       $H23*EXP(-RiskFreeRate*TimeToExpiration)*_xlfn.NORM.DIST(DC$2*(LN(Underlying/$H23)+(RiskFreeRate-DividendYield-0.5*DA23^2)*TimeToExpiration)/(DA23*TimeToExpiration^0.5), 0, 1, TRUE)
)</f>
        <v>7.149316867</v>
      </c>
      <c r="DD23" s="7">
        <f>DD$2*(Underlying*EXP(-DividendYield*TimeToExpiration)*_xlfn.NORM.DIST(DD$2*(LN(Underlying/$H23)+(RiskFreeRate-DividendYield+0.5*DB23^2)*TimeToExpiration)/(DB23*TimeToExpiration^0.5), 0, 1, TRUE) - 
       $H23*EXP(-RiskFreeRate*TimeToExpiration)*_xlfn.NORM.DIST(DD$2*(LN(Underlying/$H23)+(RiskFreeRate-DividendYield-0.5*DB23^2)*TimeToExpiration)/(DB23*TimeToExpiration^0.5), 0, 1, TRUE)
)</f>
        <v>7.150192698</v>
      </c>
      <c r="DE23" s="40">
        <f t="shared" si="53"/>
        <v>0.3613916092</v>
      </c>
      <c r="DF23" s="8">
        <f>DF$2*(Underlying*EXP(-DividendYield*TimeToExpiration)*_xlfn.NORM.DIST(DF$2*(LN(Underlying/$H23)+(RiskFreeRate-DividendYield+0.5*DE23^2)*TimeToExpiration)/(DE23*TimeToExpiration^0.5), 0, 1, TRUE) - 
       $H23*EXP(-RiskFreeRate*TimeToExpiration)*_xlfn.NORM.DIST(DF$2*(LN(Underlying/$H23)+(RiskFreeRate-DividendYield-0.5*DE23^2)*TimeToExpiration)/(DE23*TimeToExpiration^0.5), 0, 1, TRUE)
)</f>
        <v>7.149754783</v>
      </c>
    </row>
    <row r="24">
      <c r="A24" s="20">
        <f>'Option Mkt Data'!A24</f>
        <v>342.5</v>
      </c>
      <c r="B24" s="35">
        <f t="shared" ref="B24:C24" si="71">DE24</f>
        <v>0.3615746536</v>
      </c>
      <c r="C24" s="7">
        <f t="shared" si="71"/>
        <v>8.524739296</v>
      </c>
      <c r="D24" s="7">
        <f t="shared" si="3"/>
        <v>0.0002607988996</v>
      </c>
      <c r="E24" s="9">
        <f t="shared" si="4"/>
        <v>0.00003059224595</v>
      </c>
      <c r="F24" s="36">
        <f>D24/'Option Mkt Data'!M24</f>
        <v>0.001738652701</v>
      </c>
      <c r="G24" s="5">
        <f>'Option Mkt Data'!K24</f>
        <v>8.525000095</v>
      </c>
      <c r="H24" s="33">
        <f>'Option Mkt Data'!A24</f>
        <v>342.5</v>
      </c>
      <c r="I24" s="37">
        <f>MinSolverVola</f>
        <v>0.001</v>
      </c>
      <c r="J24" s="38">
        <f>MaxSolverVola</f>
        <v>3</v>
      </c>
      <c r="K24" s="39">
        <f>K$2*(Underlying*EXP(-DividendYield*TimeToExpiration)*_xlfn.NORM.DIST(K$2*(LN(Underlying/$H24)+(RiskFreeRate-DividendYield+0.5*I24^2)*TimeToExpiration)/(I24*TimeToExpiration^0.5), 0, 1, TRUE) - 
       $H24*EXP(-RiskFreeRate*TimeToExpiration)*_xlfn.NORM.DIST(K$2*(LN(Underlying/$H24)+(RiskFreeRate-DividendYield-0.5*I24^2)*TimeToExpiration)/(I24*TimeToExpiration^0.5), 0, 1, TRUE)
)</f>
        <v>2.951362091</v>
      </c>
      <c r="L24" s="7">
        <f>L$2*(Underlying*EXP(-DividendYield*TimeToExpiration)*_xlfn.NORM.DIST(L$2*(LN(Underlying/$H24)+(RiskFreeRate-DividendYield+0.5*J24^2)*TimeToExpiration)/(J24*TimeToExpiration^0.5), 0, 1, TRUE) - 
       $H24*EXP(-RiskFreeRate*TimeToExpiration)*_xlfn.NORM.DIST(L$2*(LN(Underlying/$H24)+(RiskFreeRate-DividendYield-0.5*J24^2)*TimeToExpiration)/(J24*TimeToExpiration^0.5), 0, 1, TRUE)
)</f>
        <v>58.72525572</v>
      </c>
      <c r="M24" s="40">
        <f t="shared" si="5"/>
        <v>1.5005</v>
      </c>
      <c r="N24" s="8">
        <f>N$2*(Underlying*EXP(-DividendYield*TimeToExpiration)*_xlfn.NORM.DIST(N$2*(LN(Underlying/$H24)+(RiskFreeRate-DividendYield+0.5*M24^2)*TimeToExpiration)/(M24*TimeToExpiration^0.5), 0, 1, TRUE) - 
       $H24*EXP(-RiskFreeRate*TimeToExpiration)*_xlfn.NORM.DIST(N$2*(LN(Underlying/$H24)+(RiskFreeRate-DividendYield-0.5*M24^2)*TimeToExpiration)/(M24*TimeToExpiration^0.5), 0, 1, TRUE)
)</f>
        <v>30.28885682</v>
      </c>
      <c r="O24" s="41">
        <f t="shared" si="6"/>
        <v>0.001</v>
      </c>
      <c r="P24" s="40">
        <f t="shared" si="7"/>
        <v>1.5005</v>
      </c>
      <c r="Q24" s="7">
        <f>Q$2*(Underlying*EXP(-DividendYield*TimeToExpiration)*_xlfn.NORM.DIST(Q$2*(LN(Underlying/$H24)+(RiskFreeRate-DividendYield+0.5*O24^2)*TimeToExpiration)/(O24*TimeToExpiration^0.5), 0, 1, TRUE) - 
       $H24*EXP(-RiskFreeRate*TimeToExpiration)*_xlfn.NORM.DIST(Q$2*(LN(Underlying/$H24)+(RiskFreeRate-DividendYield-0.5*O24^2)*TimeToExpiration)/(O24*TimeToExpiration^0.5), 0, 1, TRUE)
)</f>
        <v>2.951362091</v>
      </c>
      <c r="R24" s="7">
        <f>R$2*(Underlying*EXP(-DividendYield*TimeToExpiration)*_xlfn.NORM.DIST(R$2*(LN(Underlying/$H24)+(RiskFreeRate-DividendYield+0.5*P24^2)*TimeToExpiration)/(P24*TimeToExpiration^0.5), 0, 1, TRUE) - 
       $H24*EXP(-RiskFreeRate*TimeToExpiration)*_xlfn.NORM.DIST(R$2*(LN(Underlying/$H24)+(RiskFreeRate-DividendYield-0.5*P24^2)*TimeToExpiration)/(P24*TimeToExpiration^0.5), 0, 1, TRUE)
)</f>
        <v>30.28885682</v>
      </c>
      <c r="S24" s="40">
        <f t="shared" si="8"/>
        <v>0.75075</v>
      </c>
      <c r="T24" s="8">
        <f>T$2*(Underlying*EXP(-DividendYield*TimeToExpiration)*_xlfn.NORM.DIST(T$2*(LN(Underlying/$H24)+(RiskFreeRate-DividendYield+0.5*S24^2)*TimeToExpiration)/(S24*TimeToExpiration^0.5), 0, 1, TRUE) - 
       $H24*EXP(-RiskFreeRate*TimeToExpiration)*_xlfn.NORM.DIST(T$2*(LN(Underlying/$H24)+(RiskFreeRate-DividendYield-0.5*S24^2)*TimeToExpiration)/(S24*TimeToExpiration^0.5), 0, 1, TRUE)
)</f>
        <v>15.94810694</v>
      </c>
      <c r="U24" s="41">
        <f t="shared" si="9"/>
        <v>0.001</v>
      </c>
      <c r="V24" s="40">
        <f t="shared" si="10"/>
        <v>0.75075</v>
      </c>
      <c r="W24" s="7">
        <f>W$2*(Underlying*EXP(-DividendYield*TimeToExpiration)*_xlfn.NORM.DIST(W$2*(LN(Underlying/$H24)+(RiskFreeRate-DividendYield+0.5*U24^2)*TimeToExpiration)/(U24*TimeToExpiration^0.5), 0, 1, TRUE) - 
       $H24*EXP(-RiskFreeRate*TimeToExpiration)*_xlfn.NORM.DIST(W$2*(LN(Underlying/$H24)+(RiskFreeRate-DividendYield-0.5*U24^2)*TimeToExpiration)/(U24*TimeToExpiration^0.5), 0, 1, TRUE)
)</f>
        <v>2.951362091</v>
      </c>
      <c r="X24" s="7">
        <f>X$2*(Underlying*EXP(-DividendYield*TimeToExpiration)*_xlfn.NORM.DIST(X$2*(LN(Underlying/$H24)+(RiskFreeRate-DividendYield+0.5*V24^2)*TimeToExpiration)/(V24*TimeToExpiration^0.5), 0, 1, TRUE) - 
       $H24*EXP(-RiskFreeRate*TimeToExpiration)*_xlfn.NORM.DIST(X$2*(LN(Underlying/$H24)+(RiskFreeRate-DividendYield-0.5*V24^2)*TimeToExpiration)/(V24*TimeToExpiration^0.5), 0, 1, TRUE)
)</f>
        <v>15.94810694</v>
      </c>
      <c r="Y24" s="40">
        <f t="shared" si="11"/>
        <v>0.375875</v>
      </c>
      <c r="Z24" s="8">
        <f>Z$2*(Underlying*EXP(-DividendYield*TimeToExpiration)*_xlfn.NORM.DIST(Z$2*(LN(Underlying/$H24)+(RiskFreeRate-DividendYield+0.5*Y24^2)*TimeToExpiration)/(Y24*TimeToExpiration^0.5), 0, 1, TRUE) - 
       $H24*EXP(-RiskFreeRate*TimeToExpiration)*_xlfn.NORM.DIST(Z$2*(LN(Underlying/$H24)+(RiskFreeRate-DividendYield-0.5*Y24^2)*TimeToExpiration)/(Y24*TimeToExpiration^0.5), 0, 1, TRUE)
)</f>
        <v>8.7957642</v>
      </c>
      <c r="AA24" s="41">
        <f t="shared" si="12"/>
        <v>0.001</v>
      </c>
      <c r="AB24" s="40">
        <f t="shared" si="13"/>
        <v>0.375875</v>
      </c>
      <c r="AC24" s="7">
        <f>AC$2*(Underlying*EXP(-DividendYield*TimeToExpiration)*_xlfn.NORM.DIST(AC$2*(LN(Underlying/$H24)+(RiskFreeRate-DividendYield+0.5*AA24^2)*TimeToExpiration)/(AA24*TimeToExpiration^0.5), 0, 1, TRUE) - 
       $H24*EXP(-RiskFreeRate*TimeToExpiration)*_xlfn.NORM.DIST(AC$2*(LN(Underlying/$H24)+(RiskFreeRate-DividendYield-0.5*AA24^2)*TimeToExpiration)/(AA24*TimeToExpiration^0.5), 0, 1, TRUE)
)</f>
        <v>2.951362091</v>
      </c>
      <c r="AD24" s="7">
        <f>AD$2*(Underlying*EXP(-DividendYield*TimeToExpiration)*_xlfn.NORM.DIST(AD$2*(LN(Underlying/$H24)+(RiskFreeRate-DividendYield+0.5*AB24^2)*TimeToExpiration)/(AB24*TimeToExpiration^0.5), 0, 1, TRUE) - 
       $H24*EXP(-RiskFreeRate*TimeToExpiration)*_xlfn.NORM.DIST(AD$2*(LN(Underlying/$H24)+(RiskFreeRate-DividendYield-0.5*AB24^2)*TimeToExpiration)/(AB24*TimeToExpiration^0.5), 0, 1, TRUE)
)</f>
        <v>8.7957642</v>
      </c>
      <c r="AE24" s="40">
        <f t="shared" si="14"/>
        <v>0.1884375</v>
      </c>
      <c r="AF24" s="8">
        <f>AF$2*(Underlying*EXP(-DividendYield*TimeToExpiration)*_xlfn.NORM.DIST(AF$2*(LN(Underlying/$H24)+(RiskFreeRate-DividendYield+0.5*AE24^2)*TimeToExpiration)/(AE24*TimeToExpiration^0.5), 0, 1, TRUE) - 
       $H24*EXP(-RiskFreeRate*TimeToExpiration)*_xlfn.NORM.DIST(AF$2*(LN(Underlying/$H24)+(RiskFreeRate-DividendYield-0.5*AE24^2)*TimeToExpiration)/(AE24*TimeToExpiration^0.5), 0, 1, TRUE)
)</f>
        <v>5.287486433</v>
      </c>
      <c r="AG24" s="40">
        <f t="shared" si="15"/>
        <v>0.1884375</v>
      </c>
      <c r="AH24" s="40">
        <f t="shared" si="16"/>
        <v>0.375875</v>
      </c>
      <c r="AI24" s="7">
        <f>AI$2*(Underlying*EXP(-DividendYield*TimeToExpiration)*_xlfn.NORM.DIST(AI$2*(LN(Underlying/$H24)+(RiskFreeRate-DividendYield+0.5*AG24^2)*TimeToExpiration)/(AG24*TimeToExpiration^0.5), 0, 1, TRUE) - 
       $H24*EXP(-RiskFreeRate*TimeToExpiration)*_xlfn.NORM.DIST(AI$2*(LN(Underlying/$H24)+(RiskFreeRate-DividendYield-0.5*AG24^2)*TimeToExpiration)/(AG24*TimeToExpiration^0.5), 0, 1, TRUE)
)</f>
        <v>5.287486433</v>
      </c>
      <c r="AJ24" s="7">
        <f>AJ$2*(Underlying*EXP(-DividendYield*TimeToExpiration)*_xlfn.NORM.DIST(AJ$2*(LN(Underlying/$H24)+(RiskFreeRate-DividendYield+0.5*AH24^2)*TimeToExpiration)/(AH24*TimeToExpiration^0.5), 0, 1, TRUE) - 
       $H24*EXP(-RiskFreeRate*TimeToExpiration)*_xlfn.NORM.DIST(AJ$2*(LN(Underlying/$H24)+(RiskFreeRate-DividendYield-0.5*AH24^2)*TimeToExpiration)/(AH24*TimeToExpiration^0.5), 0, 1, TRUE)
)</f>
        <v>8.7957642</v>
      </c>
      <c r="AK24" s="40">
        <f t="shared" si="17"/>
        <v>0.28215625</v>
      </c>
      <c r="AL24" s="8">
        <f>AL$2*(Underlying*EXP(-DividendYield*TimeToExpiration)*_xlfn.NORM.DIST(AL$2*(LN(Underlying/$H24)+(RiskFreeRate-DividendYield+0.5*AK24^2)*TimeToExpiration)/(AK24*TimeToExpiration^0.5), 0, 1, TRUE) - 
       $H24*EXP(-RiskFreeRate*TimeToExpiration)*_xlfn.NORM.DIST(AL$2*(LN(Underlying/$H24)+(RiskFreeRate-DividendYield-0.5*AK24^2)*TimeToExpiration)/(AK24*TimeToExpiration^0.5), 0, 1, TRUE)
)</f>
        <v>7.026336124</v>
      </c>
      <c r="AM24" s="40">
        <f t="shared" si="18"/>
        <v>0.28215625</v>
      </c>
      <c r="AN24" s="40">
        <f t="shared" si="19"/>
        <v>0.375875</v>
      </c>
      <c r="AO24" s="7">
        <f>AO$2*(Underlying*EXP(-DividendYield*TimeToExpiration)*_xlfn.NORM.DIST(AO$2*(LN(Underlying/$H24)+(RiskFreeRate-DividendYield+0.5*AM24^2)*TimeToExpiration)/(AM24*TimeToExpiration^0.5), 0, 1, TRUE) - 
       $H24*EXP(-RiskFreeRate*TimeToExpiration)*_xlfn.NORM.DIST(AO$2*(LN(Underlying/$H24)+(RiskFreeRate-DividendYield-0.5*AM24^2)*TimeToExpiration)/(AM24*TimeToExpiration^0.5), 0, 1, TRUE)
)</f>
        <v>7.026336124</v>
      </c>
      <c r="AP24" s="7">
        <f>AP$2*(Underlying*EXP(-DividendYield*TimeToExpiration)*_xlfn.NORM.DIST(AP$2*(LN(Underlying/$H24)+(RiskFreeRate-DividendYield+0.5*AN24^2)*TimeToExpiration)/(AN24*TimeToExpiration^0.5), 0, 1, TRUE) - 
       $H24*EXP(-RiskFreeRate*TimeToExpiration)*_xlfn.NORM.DIST(AP$2*(LN(Underlying/$H24)+(RiskFreeRate-DividendYield-0.5*AN24^2)*TimeToExpiration)/(AN24*TimeToExpiration^0.5), 0, 1, TRUE)
)</f>
        <v>8.7957642</v>
      </c>
      <c r="AQ24" s="40">
        <f t="shared" si="20"/>
        <v>0.329015625</v>
      </c>
      <c r="AR24" s="8">
        <f>AR$2*(Underlying*EXP(-DividendYield*TimeToExpiration)*_xlfn.NORM.DIST(AR$2*(LN(Underlying/$H24)+(RiskFreeRate-DividendYield+0.5*AQ24^2)*TimeToExpiration)/(AQ24*TimeToExpiration^0.5), 0, 1, TRUE) - 
       $H24*EXP(-RiskFreeRate*TimeToExpiration)*_xlfn.NORM.DIST(AR$2*(LN(Underlying/$H24)+(RiskFreeRate-DividendYield-0.5*AQ24^2)*TimeToExpiration)/(AQ24*TimeToExpiration^0.5), 0, 1, TRUE)
)</f>
        <v>7.908855863</v>
      </c>
      <c r="AS24" s="40">
        <f t="shared" si="21"/>
        <v>0.329015625</v>
      </c>
      <c r="AT24" s="40">
        <f t="shared" si="22"/>
        <v>0.375875</v>
      </c>
      <c r="AU24" s="7">
        <f>AU$2*(Underlying*EXP(-DividendYield*TimeToExpiration)*_xlfn.NORM.DIST(AU$2*(LN(Underlying/$H24)+(RiskFreeRate-DividendYield+0.5*AS24^2)*TimeToExpiration)/(AS24*TimeToExpiration^0.5), 0, 1, TRUE) - 
       $H24*EXP(-RiskFreeRate*TimeToExpiration)*_xlfn.NORM.DIST(AU$2*(LN(Underlying/$H24)+(RiskFreeRate-DividendYield-0.5*AS24^2)*TimeToExpiration)/(AS24*TimeToExpiration^0.5), 0, 1, TRUE)
)</f>
        <v>7.908855863</v>
      </c>
      <c r="AV24" s="7">
        <f>AV$2*(Underlying*EXP(-DividendYield*TimeToExpiration)*_xlfn.NORM.DIST(AV$2*(LN(Underlying/$H24)+(RiskFreeRate-DividendYield+0.5*AT24^2)*TimeToExpiration)/(AT24*TimeToExpiration^0.5), 0, 1, TRUE) - 
       $H24*EXP(-RiskFreeRate*TimeToExpiration)*_xlfn.NORM.DIST(AV$2*(LN(Underlying/$H24)+(RiskFreeRate-DividendYield-0.5*AT24^2)*TimeToExpiration)/(AT24*TimeToExpiration^0.5), 0, 1, TRUE)
)</f>
        <v>8.7957642</v>
      </c>
      <c r="AW24" s="40">
        <f t="shared" si="23"/>
        <v>0.3524453125</v>
      </c>
      <c r="AX24" s="8">
        <f>AX$2*(Underlying*EXP(-DividendYield*TimeToExpiration)*_xlfn.NORM.DIST(AX$2*(LN(Underlying/$H24)+(RiskFreeRate-DividendYield+0.5*AW24^2)*TimeToExpiration)/(AW24*TimeToExpiration^0.5), 0, 1, TRUE) - 
       $H24*EXP(-RiskFreeRate*TimeToExpiration)*_xlfn.NORM.DIST(AX$2*(LN(Underlying/$H24)+(RiskFreeRate-DividendYield-0.5*AW24^2)*TimeToExpiration)/(AW24*TimeToExpiration^0.5), 0, 1, TRUE)
)</f>
        <v>8.351872017</v>
      </c>
      <c r="AY24" s="40">
        <f t="shared" si="24"/>
        <v>0.3524453125</v>
      </c>
      <c r="AZ24" s="40">
        <f t="shared" si="25"/>
        <v>0.375875</v>
      </c>
      <c r="BA24" s="7">
        <f>BA$2*(Underlying*EXP(-DividendYield*TimeToExpiration)*_xlfn.NORM.DIST(BA$2*(LN(Underlying/$H24)+(RiskFreeRate-DividendYield+0.5*AY24^2)*TimeToExpiration)/(AY24*TimeToExpiration^0.5), 0, 1, TRUE) - 
       $H24*EXP(-RiskFreeRate*TimeToExpiration)*_xlfn.NORM.DIST(BA$2*(LN(Underlying/$H24)+(RiskFreeRate-DividendYield-0.5*AY24^2)*TimeToExpiration)/(AY24*TimeToExpiration^0.5), 0, 1, TRUE)
)</f>
        <v>8.351872017</v>
      </c>
      <c r="BB24" s="7">
        <f>BB$2*(Underlying*EXP(-DividendYield*TimeToExpiration)*_xlfn.NORM.DIST(BB$2*(LN(Underlying/$H24)+(RiskFreeRate-DividendYield+0.5*AZ24^2)*TimeToExpiration)/(AZ24*TimeToExpiration^0.5), 0, 1, TRUE) - 
       $H24*EXP(-RiskFreeRate*TimeToExpiration)*_xlfn.NORM.DIST(BB$2*(LN(Underlying/$H24)+(RiskFreeRate-DividendYield-0.5*AZ24^2)*TimeToExpiration)/(AZ24*TimeToExpiration^0.5), 0, 1, TRUE)
)</f>
        <v>8.7957642</v>
      </c>
      <c r="BC24" s="40">
        <f t="shared" si="26"/>
        <v>0.3641601563</v>
      </c>
      <c r="BD24" s="8">
        <f>BD$2*(Underlying*EXP(-DividendYield*TimeToExpiration)*_xlfn.NORM.DIST(BD$2*(LN(Underlying/$H24)+(RiskFreeRate-DividendYield+0.5*BC24^2)*TimeToExpiration)/(BC24*TimeToExpiration^0.5), 0, 1, TRUE) - 
       $H24*EXP(-RiskFreeRate*TimeToExpiration)*_xlfn.NORM.DIST(BD$2*(LN(Underlying/$H24)+(RiskFreeRate-DividendYield-0.5*BC24^2)*TimeToExpiration)/(BC24*TimeToExpiration^0.5), 0, 1, TRUE)
)</f>
        <v>8.573719369</v>
      </c>
      <c r="BE24" s="40">
        <f t="shared" si="27"/>
        <v>0.3524453125</v>
      </c>
      <c r="BF24" s="40">
        <f t="shared" si="28"/>
        <v>0.3641601563</v>
      </c>
      <c r="BG24" s="7">
        <f>BG$2*(Underlying*EXP(-DividendYield*TimeToExpiration)*_xlfn.NORM.DIST(BG$2*(LN(Underlying/$H24)+(RiskFreeRate-DividendYield+0.5*BE24^2)*TimeToExpiration)/(BE24*TimeToExpiration^0.5), 0, 1, TRUE) - 
       $H24*EXP(-RiskFreeRate*TimeToExpiration)*_xlfn.NORM.DIST(BG$2*(LN(Underlying/$H24)+(RiskFreeRate-DividendYield-0.5*BE24^2)*TimeToExpiration)/(BE24*TimeToExpiration^0.5), 0, 1, TRUE)
)</f>
        <v>8.351872017</v>
      </c>
      <c r="BH24" s="7">
        <f>BH$2*(Underlying*EXP(-DividendYield*TimeToExpiration)*_xlfn.NORM.DIST(BH$2*(LN(Underlying/$H24)+(RiskFreeRate-DividendYield+0.5*BF24^2)*TimeToExpiration)/(BF24*TimeToExpiration^0.5), 0, 1, TRUE) - 
       $H24*EXP(-RiskFreeRate*TimeToExpiration)*_xlfn.NORM.DIST(BH$2*(LN(Underlying/$H24)+(RiskFreeRate-DividendYield-0.5*BF24^2)*TimeToExpiration)/(BF24*TimeToExpiration^0.5), 0, 1, TRUE)
)</f>
        <v>8.573719369</v>
      </c>
      <c r="BI24" s="40">
        <f t="shared" si="29"/>
        <v>0.3583027344</v>
      </c>
      <c r="BJ24" s="8">
        <f>BJ$2*(Underlying*EXP(-DividendYield*TimeToExpiration)*_xlfn.NORM.DIST(BJ$2*(LN(Underlying/$H24)+(RiskFreeRate-DividendYield+0.5*BI24^2)*TimeToExpiration)/(BI24*TimeToExpiration^0.5), 0, 1, TRUE) - 
       $H24*EXP(-RiskFreeRate*TimeToExpiration)*_xlfn.NORM.DIST(BJ$2*(LN(Underlying/$H24)+(RiskFreeRate-DividendYield-0.5*BI24^2)*TimeToExpiration)/(BI24*TimeToExpiration^0.5), 0, 1, TRUE)
)</f>
        <v>8.462769771</v>
      </c>
      <c r="BK24" s="40">
        <f t="shared" si="30"/>
        <v>0.3583027344</v>
      </c>
      <c r="BL24" s="40">
        <f t="shared" si="31"/>
        <v>0.3641601563</v>
      </c>
      <c r="BM24" s="7">
        <f>BM$2*(Underlying*EXP(-DividendYield*TimeToExpiration)*_xlfn.NORM.DIST(BM$2*(LN(Underlying/$H24)+(RiskFreeRate-DividendYield+0.5*BK24^2)*TimeToExpiration)/(BK24*TimeToExpiration^0.5), 0, 1, TRUE) - 
       $H24*EXP(-RiskFreeRate*TimeToExpiration)*_xlfn.NORM.DIST(BM$2*(LN(Underlying/$H24)+(RiskFreeRate-DividendYield-0.5*BK24^2)*TimeToExpiration)/(BK24*TimeToExpiration^0.5), 0, 1, TRUE)
)</f>
        <v>8.462769771</v>
      </c>
      <c r="BN24" s="7">
        <f>BN$2*(Underlying*EXP(-DividendYield*TimeToExpiration)*_xlfn.NORM.DIST(BN$2*(LN(Underlying/$H24)+(RiskFreeRate-DividendYield+0.5*BL24^2)*TimeToExpiration)/(BL24*TimeToExpiration^0.5), 0, 1, TRUE) - 
       $H24*EXP(-RiskFreeRate*TimeToExpiration)*_xlfn.NORM.DIST(BN$2*(LN(Underlying/$H24)+(RiskFreeRate-DividendYield-0.5*BL24^2)*TimeToExpiration)/(BL24*TimeToExpiration^0.5), 0, 1, TRUE)
)</f>
        <v>8.573719369</v>
      </c>
      <c r="BO24" s="40">
        <f t="shared" si="32"/>
        <v>0.3612314453</v>
      </c>
      <c r="BP24" s="8">
        <f>BP$2*(Underlying*EXP(-DividendYield*TimeToExpiration)*_xlfn.NORM.DIST(BP$2*(LN(Underlying/$H24)+(RiskFreeRate-DividendYield+0.5*BO24^2)*TimeToExpiration)/(BO24*TimeToExpiration^0.5), 0, 1, TRUE) - 
       $H24*EXP(-RiskFreeRate*TimeToExpiration)*_xlfn.NORM.DIST(BP$2*(LN(Underlying/$H24)+(RiskFreeRate-DividendYield-0.5*BO24^2)*TimeToExpiration)/(BO24*TimeToExpiration^0.5), 0, 1, TRUE)
)</f>
        <v>8.51823825</v>
      </c>
      <c r="BQ24" s="40">
        <f t="shared" si="33"/>
        <v>0.3612314453</v>
      </c>
      <c r="BR24" s="40">
        <f t="shared" si="34"/>
        <v>0.3641601563</v>
      </c>
      <c r="BS24" s="7">
        <f>BS$2*(Underlying*EXP(-DividendYield*TimeToExpiration)*_xlfn.NORM.DIST(BS$2*(LN(Underlying/$H24)+(RiskFreeRate-DividendYield+0.5*BQ24^2)*TimeToExpiration)/(BQ24*TimeToExpiration^0.5), 0, 1, TRUE) - 
       $H24*EXP(-RiskFreeRate*TimeToExpiration)*_xlfn.NORM.DIST(BS$2*(LN(Underlying/$H24)+(RiskFreeRate-DividendYield-0.5*BQ24^2)*TimeToExpiration)/(BQ24*TimeToExpiration^0.5), 0, 1, TRUE)
)</f>
        <v>8.51823825</v>
      </c>
      <c r="BT24" s="7">
        <f>BT$2*(Underlying*EXP(-DividendYield*TimeToExpiration)*_xlfn.NORM.DIST(BT$2*(LN(Underlying/$H24)+(RiskFreeRate-DividendYield+0.5*BR24^2)*TimeToExpiration)/(BR24*TimeToExpiration^0.5), 0, 1, TRUE) - 
       $H24*EXP(-RiskFreeRate*TimeToExpiration)*_xlfn.NORM.DIST(BT$2*(LN(Underlying/$H24)+(RiskFreeRate-DividendYield-0.5*BR24^2)*TimeToExpiration)/(BR24*TimeToExpiration^0.5), 0, 1, TRUE)
)</f>
        <v>8.573719369</v>
      </c>
      <c r="BU24" s="40">
        <f t="shared" si="35"/>
        <v>0.3626958008</v>
      </c>
      <c r="BV24" s="8">
        <f>BV$2*(Underlying*EXP(-DividendYield*TimeToExpiration)*_xlfn.NORM.DIST(BV$2*(LN(Underlying/$H24)+(RiskFreeRate-DividendYield+0.5*BU24^2)*TimeToExpiration)/(BU24*TimeToExpiration^0.5), 0, 1, TRUE) - 
       $H24*EXP(-RiskFreeRate*TimeToExpiration)*_xlfn.NORM.DIST(BV$2*(LN(Underlying/$H24)+(RiskFreeRate-DividendYield-0.5*BU24^2)*TimeToExpiration)/(BU24*TimeToExpiration^0.5), 0, 1, TRUE)
)</f>
        <v>8.545977249</v>
      </c>
      <c r="BW24" s="40">
        <f t="shared" si="36"/>
        <v>0.3612314453</v>
      </c>
      <c r="BX24" s="40">
        <f t="shared" si="37"/>
        <v>0.3626958008</v>
      </c>
      <c r="BY24" s="7">
        <f>BY$2*(Underlying*EXP(-DividendYield*TimeToExpiration)*_xlfn.NORM.DIST(BY$2*(LN(Underlying/$H24)+(RiskFreeRate-DividendYield+0.5*BW24^2)*TimeToExpiration)/(BW24*TimeToExpiration^0.5), 0, 1, TRUE) - 
       $H24*EXP(-RiskFreeRate*TimeToExpiration)*_xlfn.NORM.DIST(BY$2*(LN(Underlying/$H24)+(RiskFreeRate-DividendYield-0.5*BW24^2)*TimeToExpiration)/(BW24*TimeToExpiration^0.5), 0, 1, TRUE)
)</f>
        <v>8.51823825</v>
      </c>
      <c r="BZ24" s="7">
        <f>BZ$2*(Underlying*EXP(-DividendYield*TimeToExpiration)*_xlfn.NORM.DIST(BZ$2*(LN(Underlying/$H24)+(RiskFreeRate-DividendYield+0.5*BX24^2)*TimeToExpiration)/(BX24*TimeToExpiration^0.5), 0, 1, TRUE) - 
       $H24*EXP(-RiskFreeRate*TimeToExpiration)*_xlfn.NORM.DIST(BZ$2*(LN(Underlying/$H24)+(RiskFreeRate-DividendYield-0.5*BX24^2)*TimeToExpiration)/(BX24*TimeToExpiration^0.5), 0, 1, TRUE)
)</f>
        <v>8.545977249</v>
      </c>
      <c r="CA24" s="40">
        <f t="shared" si="38"/>
        <v>0.361963623</v>
      </c>
      <c r="CB24" s="8">
        <f>CB$2*(Underlying*EXP(-DividendYield*TimeToExpiration)*_xlfn.NORM.DIST(CB$2*(LN(Underlying/$H24)+(RiskFreeRate-DividendYield+0.5*CA24^2)*TimeToExpiration)/(CA24*TimeToExpiration^0.5), 0, 1, TRUE) - 
       $H24*EXP(-RiskFreeRate*TimeToExpiration)*_xlfn.NORM.DIST(CB$2*(LN(Underlying/$H24)+(RiskFreeRate-DividendYield-0.5*CA24^2)*TimeToExpiration)/(CA24*TimeToExpiration^0.5), 0, 1, TRUE)
)</f>
        <v>8.532107357</v>
      </c>
      <c r="CC24" s="40">
        <f t="shared" si="39"/>
        <v>0.3612314453</v>
      </c>
      <c r="CD24" s="40">
        <f t="shared" si="40"/>
        <v>0.361963623</v>
      </c>
      <c r="CE24" s="7">
        <f>CE$2*(Underlying*EXP(-DividendYield*TimeToExpiration)*_xlfn.NORM.DIST(CE$2*(LN(Underlying/$H24)+(RiskFreeRate-DividendYield+0.5*CC24^2)*TimeToExpiration)/(CC24*TimeToExpiration^0.5), 0, 1, TRUE) - 
       $H24*EXP(-RiskFreeRate*TimeToExpiration)*_xlfn.NORM.DIST(CE$2*(LN(Underlying/$H24)+(RiskFreeRate-DividendYield-0.5*CC24^2)*TimeToExpiration)/(CC24*TimeToExpiration^0.5), 0, 1, TRUE)
)</f>
        <v>8.51823825</v>
      </c>
      <c r="CF24" s="7">
        <f>CF$2*(Underlying*EXP(-DividendYield*TimeToExpiration)*_xlfn.NORM.DIST(CF$2*(LN(Underlying/$H24)+(RiskFreeRate-DividendYield+0.5*CD24^2)*TimeToExpiration)/(CD24*TimeToExpiration^0.5), 0, 1, TRUE) - 
       $H24*EXP(-RiskFreeRate*TimeToExpiration)*_xlfn.NORM.DIST(CF$2*(LN(Underlying/$H24)+(RiskFreeRate-DividendYield-0.5*CD24^2)*TimeToExpiration)/(CD24*TimeToExpiration^0.5), 0, 1, TRUE)
)</f>
        <v>8.532107357</v>
      </c>
      <c r="CG24" s="40">
        <f t="shared" si="41"/>
        <v>0.3615975342</v>
      </c>
      <c r="CH24" s="8">
        <f>CH$2*(Underlying*EXP(-DividendYield*TimeToExpiration)*_xlfn.NORM.DIST(CH$2*(LN(Underlying/$H24)+(RiskFreeRate-DividendYield+0.5*CG24^2)*TimeToExpiration)/(CG24*TimeToExpiration^0.5), 0, 1, TRUE) - 
       $H24*EXP(-RiskFreeRate*TimeToExpiration)*_xlfn.NORM.DIST(CH$2*(LN(Underlying/$H24)+(RiskFreeRate-DividendYield-0.5*CG24^2)*TimeToExpiration)/(CG24*TimeToExpiration^0.5), 0, 1, TRUE)
)</f>
        <v>8.525172705</v>
      </c>
      <c r="CI24" s="40">
        <f t="shared" si="42"/>
        <v>0.3612314453</v>
      </c>
      <c r="CJ24" s="40">
        <f t="shared" si="43"/>
        <v>0.3615975342</v>
      </c>
      <c r="CK24" s="7">
        <f>CK$2*(Underlying*EXP(-DividendYield*TimeToExpiration)*_xlfn.NORM.DIST(CK$2*(LN(Underlying/$H24)+(RiskFreeRate-DividendYield+0.5*CI24^2)*TimeToExpiration)/(CI24*TimeToExpiration^0.5), 0, 1, TRUE) - 
       $H24*EXP(-RiskFreeRate*TimeToExpiration)*_xlfn.NORM.DIST(CK$2*(LN(Underlying/$H24)+(RiskFreeRate-DividendYield-0.5*CI24^2)*TimeToExpiration)/(CI24*TimeToExpiration^0.5), 0, 1, TRUE)
)</f>
        <v>8.51823825</v>
      </c>
      <c r="CL24" s="7">
        <f>CL$2*(Underlying*EXP(-DividendYield*TimeToExpiration)*_xlfn.NORM.DIST(CL$2*(LN(Underlying/$H24)+(RiskFreeRate-DividendYield+0.5*CJ24^2)*TimeToExpiration)/(CJ24*TimeToExpiration^0.5), 0, 1, TRUE) - 
       $H24*EXP(-RiskFreeRate*TimeToExpiration)*_xlfn.NORM.DIST(CL$2*(LN(Underlying/$H24)+(RiskFreeRate-DividendYield-0.5*CJ24^2)*TimeToExpiration)/(CJ24*TimeToExpiration^0.5), 0, 1, TRUE)
)</f>
        <v>8.525172705</v>
      </c>
      <c r="CM24" s="40">
        <f t="shared" si="44"/>
        <v>0.3614144897</v>
      </c>
      <c r="CN24" s="8">
        <f>CN$2*(Underlying*EXP(-DividendYield*TimeToExpiration)*_xlfn.NORM.DIST(CN$2*(LN(Underlying/$H24)+(RiskFreeRate-DividendYield+0.5*CM24^2)*TimeToExpiration)/(CM24*TimeToExpiration^0.5), 0, 1, TRUE) - 
       $H24*EXP(-RiskFreeRate*TimeToExpiration)*_xlfn.NORM.DIST(CN$2*(LN(Underlying/$H24)+(RiskFreeRate-DividendYield-0.5*CM24^2)*TimeToExpiration)/(CM24*TimeToExpiration^0.5), 0, 1, TRUE)
)</f>
        <v>8.521705453</v>
      </c>
      <c r="CO24" s="40">
        <f t="shared" si="45"/>
        <v>0.3614144897</v>
      </c>
      <c r="CP24" s="40">
        <f t="shared" si="46"/>
        <v>0.3615975342</v>
      </c>
      <c r="CQ24" s="7">
        <f>CQ$2*(Underlying*EXP(-DividendYield*TimeToExpiration)*_xlfn.NORM.DIST(CQ$2*(LN(Underlying/$H24)+(RiskFreeRate-DividendYield+0.5*CO24^2)*TimeToExpiration)/(CO24*TimeToExpiration^0.5), 0, 1, TRUE) - 
       $H24*EXP(-RiskFreeRate*TimeToExpiration)*_xlfn.NORM.DIST(CQ$2*(LN(Underlying/$H24)+(RiskFreeRate-DividendYield-0.5*CO24^2)*TimeToExpiration)/(CO24*TimeToExpiration^0.5), 0, 1, TRUE)
)</f>
        <v>8.521705453</v>
      </c>
      <c r="CR24" s="7">
        <f>CR$2*(Underlying*EXP(-DividendYield*TimeToExpiration)*_xlfn.NORM.DIST(CR$2*(LN(Underlying/$H24)+(RiskFreeRate-DividendYield+0.5*CP24^2)*TimeToExpiration)/(CP24*TimeToExpiration^0.5), 0, 1, TRUE) - 
       $H24*EXP(-RiskFreeRate*TimeToExpiration)*_xlfn.NORM.DIST(CR$2*(LN(Underlying/$H24)+(RiskFreeRate-DividendYield-0.5*CP24^2)*TimeToExpiration)/(CP24*TimeToExpiration^0.5), 0, 1, TRUE)
)</f>
        <v>8.525172705</v>
      </c>
      <c r="CS24" s="40">
        <f t="shared" si="47"/>
        <v>0.361506012</v>
      </c>
      <c r="CT24" s="8">
        <f>CT$2*(Underlying*EXP(-DividendYield*TimeToExpiration)*_xlfn.NORM.DIST(CT$2*(LN(Underlying/$H24)+(RiskFreeRate-DividendYield+0.5*CS24^2)*TimeToExpiration)/(CS24*TimeToExpiration^0.5), 0, 1, TRUE) - 
       $H24*EXP(-RiskFreeRate*TimeToExpiration)*_xlfn.NORM.DIST(CT$2*(LN(Underlying/$H24)+(RiskFreeRate-DividendYield-0.5*CS24^2)*TimeToExpiration)/(CS24*TimeToExpiration^0.5), 0, 1, TRUE)
)</f>
        <v>8.523439073</v>
      </c>
      <c r="CU24" s="40">
        <f t="shared" si="48"/>
        <v>0.361506012</v>
      </c>
      <c r="CV24" s="40">
        <f t="shared" si="49"/>
        <v>0.3615975342</v>
      </c>
      <c r="CW24" s="7">
        <f>CW$2*(Underlying*EXP(-DividendYield*TimeToExpiration)*_xlfn.NORM.DIST(CW$2*(LN(Underlying/$H24)+(RiskFreeRate-DividendYield+0.5*CU24^2)*TimeToExpiration)/(CU24*TimeToExpiration^0.5), 0, 1, TRUE) - 
       $H24*EXP(-RiskFreeRate*TimeToExpiration)*_xlfn.NORM.DIST(CW$2*(LN(Underlying/$H24)+(RiskFreeRate-DividendYield-0.5*CU24^2)*TimeToExpiration)/(CU24*TimeToExpiration^0.5), 0, 1, TRUE)
)</f>
        <v>8.523439073</v>
      </c>
      <c r="CX24" s="7">
        <f>CX$2*(Underlying*EXP(-DividendYield*TimeToExpiration)*_xlfn.NORM.DIST(CX$2*(LN(Underlying/$H24)+(RiskFreeRate-DividendYield+0.5*CV24^2)*TimeToExpiration)/(CV24*TimeToExpiration^0.5), 0, 1, TRUE) - 
       $H24*EXP(-RiskFreeRate*TimeToExpiration)*_xlfn.NORM.DIST(CX$2*(LN(Underlying/$H24)+(RiskFreeRate-DividendYield-0.5*CV24^2)*TimeToExpiration)/(CV24*TimeToExpiration^0.5), 0, 1, TRUE)
)</f>
        <v>8.525172705</v>
      </c>
      <c r="CY24" s="40">
        <f t="shared" si="50"/>
        <v>0.3615517731</v>
      </c>
      <c r="CZ24" s="8">
        <f>CZ$2*(Underlying*EXP(-DividendYield*TimeToExpiration)*_xlfn.NORM.DIST(CZ$2*(LN(Underlying/$H24)+(RiskFreeRate-DividendYield+0.5*CY24^2)*TimeToExpiration)/(CY24*TimeToExpiration^0.5), 0, 1, TRUE) - 
       $H24*EXP(-RiskFreeRate*TimeToExpiration)*_xlfn.NORM.DIST(CZ$2*(LN(Underlying/$H24)+(RiskFreeRate-DividendYield-0.5*CY24^2)*TimeToExpiration)/(CY24*TimeToExpiration^0.5), 0, 1, TRUE)
)</f>
        <v>8.524305888</v>
      </c>
      <c r="DA24" s="40">
        <f t="shared" si="51"/>
        <v>0.3615517731</v>
      </c>
      <c r="DB24" s="40">
        <f t="shared" si="52"/>
        <v>0.3615975342</v>
      </c>
      <c r="DC24" s="7">
        <f>DC$2*(Underlying*EXP(-DividendYield*TimeToExpiration)*_xlfn.NORM.DIST(DC$2*(LN(Underlying/$H24)+(RiskFreeRate-DividendYield+0.5*DA24^2)*TimeToExpiration)/(DA24*TimeToExpiration^0.5), 0, 1, TRUE) - 
       $H24*EXP(-RiskFreeRate*TimeToExpiration)*_xlfn.NORM.DIST(DC$2*(LN(Underlying/$H24)+(RiskFreeRate-DividendYield-0.5*DA24^2)*TimeToExpiration)/(DA24*TimeToExpiration^0.5), 0, 1, TRUE)
)</f>
        <v>8.524305888</v>
      </c>
      <c r="DD24" s="7">
        <f>DD$2*(Underlying*EXP(-DividendYield*TimeToExpiration)*_xlfn.NORM.DIST(DD$2*(LN(Underlying/$H24)+(RiskFreeRate-DividendYield+0.5*DB24^2)*TimeToExpiration)/(DB24*TimeToExpiration^0.5), 0, 1, TRUE) - 
       $H24*EXP(-RiskFreeRate*TimeToExpiration)*_xlfn.NORM.DIST(DD$2*(LN(Underlying/$H24)+(RiskFreeRate-DividendYield-0.5*DB24^2)*TimeToExpiration)/(DB24*TimeToExpiration^0.5), 0, 1, TRUE)
)</f>
        <v>8.525172705</v>
      </c>
      <c r="DE24" s="40">
        <f t="shared" si="53"/>
        <v>0.3615746536</v>
      </c>
      <c r="DF24" s="8">
        <f>DF$2*(Underlying*EXP(-DividendYield*TimeToExpiration)*_xlfn.NORM.DIST(DF$2*(LN(Underlying/$H24)+(RiskFreeRate-DividendYield+0.5*DE24^2)*TimeToExpiration)/(DE24*TimeToExpiration^0.5), 0, 1, TRUE) - 
       $H24*EXP(-RiskFreeRate*TimeToExpiration)*_xlfn.NORM.DIST(DF$2*(LN(Underlying/$H24)+(RiskFreeRate-DividendYield-0.5*DE24^2)*TimeToExpiration)/(DE24*TimeToExpiration^0.5), 0, 1, TRUE)
)</f>
        <v>8.524739296</v>
      </c>
    </row>
    <row r="25">
      <c r="A25" s="20">
        <f>'Option Mkt Data'!A25</f>
        <v>345</v>
      </c>
      <c r="B25" s="35">
        <f t="shared" ref="B25:C25" si="72">DE25</f>
        <v>0.3637254257</v>
      </c>
      <c r="C25" s="7">
        <f t="shared" si="72"/>
        <v>10.07509994</v>
      </c>
      <c r="D25" s="7">
        <f t="shared" si="3"/>
        <v>0.0001001339782</v>
      </c>
      <c r="E25" s="9">
        <f t="shared" si="4"/>
        <v>0.000009938856583</v>
      </c>
      <c r="F25" s="36">
        <f>D25/'Option Mkt Data'!M25</f>
        <v>0.0006675615457</v>
      </c>
      <c r="G25" s="5">
        <f>'Option Mkt Data'!K25</f>
        <v>10.07499981</v>
      </c>
      <c r="H25" s="33">
        <f>'Option Mkt Data'!A25</f>
        <v>345</v>
      </c>
      <c r="I25" s="37">
        <f>MinSolverVola</f>
        <v>0.001</v>
      </c>
      <c r="J25" s="38">
        <f>MaxSolverVola</f>
        <v>3</v>
      </c>
      <c r="K25" s="39">
        <f>K$2*(Underlying*EXP(-DividendYield*TimeToExpiration)*_xlfn.NORM.DIST(K$2*(LN(Underlying/$H25)+(RiskFreeRate-DividendYield+0.5*I25^2)*TimeToExpiration)/(I25*TimeToExpiration^0.5), 0, 1, TRUE) - 
       $H25*EXP(-RiskFreeRate*TimeToExpiration)*_xlfn.NORM.DIST(K$2*(LN(Underlying/$H25)+(RiskFreeRate-DividendYield-0.5*I25^2)*TimeToExpiration)/(I25*TimeToExpiration^0.5), 0, 1, TRUE)
)</f>
        <v>5.449182253</v>
      </c>
      <c r="L25" s="7">
        <f>L$2*(Underlying*EXP(-DividendYield*TimeToExpiration)*_xlfn.NORM.DIST(L$2*(LN(Underlying/$H25)+(RiskFreeRate-DividendYield+0.5*J25^2)*TimeToExpiration)/(J25*TimeToExpiration^0.5), 0, 1, TRUE) - 
       $H25*EXP(-RiskFreeRate*TimeToExpiration)*_xlfn.NORM.DIST(L$2*(LN(Underlying/$H25)+(RiskFreeRate-DividendYield-0.5*J25^2)*TimeToExpiration)/(J25*TimeToExpiration^0.5), 0, 1, TRUE)
)</f>
        <v>60.21212885</v>
      </c>
      <c r="M25" s="40">
        <f t="shared" si="5"/>
        <v>1.5005</v>
      </c>
      <c r="N25" s="8">
        <f>N$2*(Underlying*EXP(-DividendYield*TimeToExpiration)*_xlfn.NORM.DIST(N$2*(LN(Underlying/$H25)+(RiskFreeRate-DividendYield+0.5*M25^2)*TimeToExpiration)/(M25*TimeToExpiration^0.5), 0, 1, TRUE) - 
       $H25*EXP(-RiskFreeRate*TimeToExpiration)*_xlfn.NORM.DIST(N$2*(LN(Underlying/$H25)+(RiskFreeRate-DividendYield-0.5*M25^2)*TimeToExpiration)/(M25*TimeToExpiration^0.5), 0, 1, TRUE)
)</f>
        <v>31.70052764</v>
      </c>
      <c r="O25" s="41">
        <f t="shared" si="6"/>
        <v>0.001</v>
      </c>
      <c r="P25" s="40">
        <f t="shared" si="7"/>
        <v>1.5005</v>
      </c>
      <c r="Q25" s="7">
        <f>Q$2*(Underlying*EXP(-DividendYield*TimeToExpiration)*_xlfn.NORM.DIST(Q$2*(LN(Underlying/$H25)+(RiskFreeRate-DividendYield+0.5*O25^2)*TimeToExpiration)/(O25*TimeToExpiration^0.5), 0, 1, TRUE) - 
       $H25*EXP(-RiskFreeRate*TimeToExpiration)*_xlfn.NORM.DIST(Q$2*(LN(Underlying/$H25)+(RiskFreeRate-DividendYield-0.5*O25^2)*TimeToExpiration)/(O25*TimeToExpiration^0.5), 0, 1, TRUE)
)</f>
        <v>5.449182253</v>
      </c>
      <c r="R25" s="7">
        <f>R$2*(Underlying*EXP(-DividendYield*TimeToExpiration)*_xlfn.NORM.DIST(R$2*(LN(Underlying/$H25)+(RiskFreeRate-DividendYield+0.5*P25^2)*TimeToExpiration)/(P25*TimeToExpiration^0.5), 0, 1, TRUE) - 
       $H25*EXP(-RiskFreeRate*TimeToExpiration)*_xlfn.NORM.DIST(R$2*(LN(Underlying/$H25)+(RiskFreeRate-DividendYield-0.5*P25^2)*TimeToExpiration)/(P25*TimeToExpiration^0.5), 0, 1, TRUE)
)</f>
        <v>31.70052764</v>
      </c>
      <c r="S25" s="40">
        <f t="shared" si="8"/>
        <v>0.75075</v>
      </c>
      <c r="T25" s="8">
        <f>T$2*(Underlying*EXP(-DividendYield*TimeToExpiration)*_xlfn.NORM.DIST(T$2*(LN(Underlying/$H25)+(RiskFreeRate-DividendYield+0.5*S25^2)*TimeToExpiration)/(S25*TimeToExpiration^0.5), 0, 1, TRUE) - 
       $H25*EXP(-RiskFreeRate*TimeToExpiration)*_xlfn.NORM.DIST(T$2*(LN(Underlying/$H25)+(RiskFreeRate-DividendYield-0.5*S25^2)*TimeToExpiration)/(S25*TimeToExpiration^0.5), 0, 1, TRUE)
)</f>
        <v>17.36455851</v>
      </c>
      <c r="U25" s="41">
        <f t="shared" si="9"/>
        <v>0.001</v>
      </c>
      <c r="V25" s="40">
        <f t="shared" si="10"/>
        <v>0.75075</v>
      </c>
      <c r="W25" s="7">
        <f>W$2*(Underlying*EXP(-DividendYield*TimeToExpiration)*_xlfn.NORM.DIST(W$2*(LN(Underlying/$H25)+(RiskFreeRate-DividendYield+0.5*U25^2)*TimeToExpiration)/(U25*TimeToExpiration^0.5), 0, 1, TRUE) - 
       $H25*EXP(-RiskFreeRate*TimeToExpiration)*_xlfn.NORM.DIST(W$2*(LN(Underlying/$H25)+(RiskFreeRate-DividendYield-0.5*U25^2)*TimeToExpiration)/(U25*TimeToExpiration^0.5), 0, 1, TRUE)
)</f>
        <v>5.449182253</v>
      </c>
      <c r="X25" s="7">
        <f>X$2*(Underlying*EXP(-DividendYield*TimeToExpiration)*_xlfn.NORM.DIST(X$2*(LN(Underlying/$H25)+(RiskFreeRate-DividendYield+0.5*V25^2)*TimeToExpiration)/(V25*TimeToExpiration^0.5), 0, 1, TRUE) - 
       $H25*EXP(-RiskFreeRate*TimeToExpiration)*_xlfn.NORM.DIST(X$2*(LN(Underlying/$H25)+(RiskFreeRate-DividendYield-0.5*V25^2)*TimeToExpiration)/(V25*TimeToExpiration^0.5), 0, 1, TRUE)
)</f>
        <v>17.36455851</v>
      </c>
      <c r="Y25" s="40">
        <f t="shared" si="11"/>
        <v>0.375875</v>
      </c>
      <c r="Z25" s="8">
        <f>Z$2*(Underlying*EXP(-DividendYield*TimeToExpiration)*_xlfn.NORM.DIST(Z$2*(LN(Underlying/$H25)+(RiskFreeRate-DividendYield+0.5*Y25^2)*TimeToExpiration)/(Y25*TimeToExpiration^0.5), 0, 1, TRUE) - 
       $H25*EXP(-RiskFreeRate*TimeToExpiration)*_xlfn.NORM.DIST(Z$2*(LN(Underlying/$H25)+(RiskFreeRate-DividendYield-0.5*Y25^2)*TimeToExpiration)/(Y25*TimeToExpiration^0.5), 0, 1, TRUE)
)</f>
        <v>10.29878134</v>
      </c>
      <c r="AA25" s="41">
        <f t="shared" si="12"/>
        <v>0.001</v>
      </c>
      <c r="AB25" s="40">
        <f t="shared" si="13"/>
        <v>0.375875</v>
      </c>
      <c r="AC25" s="7">
        <f>AC$2*(Underlying*EXP(-DividendYield*TimeToExpiration)*_xlfn.NORM.DIST(AC$2*(LN(Underlying/$H25)+(RiskFreeRate-DividendYield+0.5*AA25^2)*TimeToExpiration)/(AA25*TimeToExpiration^0.5), 0, 1, TRUE) - 
       $H25*EXP(-RiskFreeRate*TimeToExpiration)*_xlfn.NORM.DIST(AC$2*(LN(Underlying/$H25)+(RiskFreeRate-DividendYield-0.5*AA25^2)*TimeToExpiration)/(AA25*TimeToExpiration^0.5), 0, 1, TRUE)
)</f>
        <v>5.449182253</v>
      </c>
      <c r="AD25" s="7">
        <f>AD$2*(Underlying*EXP(-DividendYield*TimeToExpiration)*_xlfn.NORM.DIST(AD$2*(LN(Underlying/$H25)+(RiskFreeRate-DividendYield+0.5*AB25^2)*TimeToExpiration)/(AB25*TimeToExpiration^0.5), 0, 1, TRUE) - 
       $H25*EXP(-RiskFreeRate*TimeToExpiration)*_xlfn.NORM.DIST(AD$2*(LN(Underlying/$H25)+(RiskFreeRate-DividendYield-0.5*AB25^2)*TimeToExpiration)/(AB25*TimeToExpiration^0.5), 0, 1, TRUE)
)</f>
        <v>10.29878134</v>
      </c>
      <c r="AE25" s="40">
        <f t="shared" si="14"/>
        <v>0.1884375</v>
      </c>
      <c r="AF25" s="8">
        <f>AF$2*(Underlying*EXP(-DividendYield*TimeToExpiration)*_xlfn.NORM.DIST(AF$2*(LN(Underlying/$H25)+(RiskFreeRate-DividendYield+0.5*AE25^2)*TimeToExpiration)/(AE25*TimeToExpiration^0.5), 0, 1, TRUE) - 
       $H25*EXP(-RiskFreeRate*TimeToExpiration)*_xlfn.NORM.DIST(AF$2*(LN(Underlying/$H25)+(RiskFreeRate-DividendYield-0.5*AE25^2)*TimeToExpiration)/(AE25*TimeToExpiration^0.5), 0, 1, TRUE)
)</f>
        <v>6.991211878</v>
      </c>
      <c r="AG25" s="40">
        <f t="shared" si="15"/>
        <v>0.1884375</v>
      </c>
      <c r="AH25" s="40">
        <f t="shared" si="16"/>
        <v>0.375875</v>
      </c>
      <c r="AI25" s="7">
        <f>AI$2*(Underlying*EXP(-DividendYield*TimeToExpiration)*_xlfn.NORM.DIST(AI$2*(LN(Underlying/$H25)+(RiskFreeRate-DividendYield+0.5*AG25^2)*TimeToExpiration)/(AG25*TimeToExpiration^0.5), 0, 1, TRUE) - 
       $H25*EXP(-RiskFreeRate*TimeToExpiration)*_xlfn.NORM.DIST(AI$2*(LN(Underlying/$H25)+(RiskFreeRate-DividendYield-0.5*AG25^2)*TimeToExpiration)/(AG25*TimeToExpiration^0.5), 0, 1, TRUE)
)</f>
        <v>6.991211878</v>
      </c>
      <c r="AJ25" s="7">
        <f>AJ$2*(Underlying*EXP(-DividendYield*TimeToExpiration)*_xlfn.NORM.DIST(AJ$2*(LN(Underlying/$H25)+(RiskFreeRate-DividendYield+0.5*AH25^2)*TimeToExpiration)/(AH25*TimeToExpiration^0.5), 0, 1, TRUE) - 
       $H25*EXP(-RiskFreeRate*TimeToExpiration)*_xlfn.NORM.DIST(AJ$2*(LN(Underlying/$H25)+(RiskFreeRate-DividendYield-0.5*AH25^2)*TimeToExpiration)/(AH25*TimeToExpiration^0.5), 0, 1, TRUE)
)</f>
        <v>10.29878134</v>
      </c>
      <c r="AK25" s="40">
        <f t="shared" si="17"/>
        <v>0.28215625</v>
      </c>
      <c r="AL25" s="8">
        <f>AL$2*(Underlying*EXP(-DividendYield*TimeToExpiration)*_xlfn.NORM.DIST(AL$2*(LN(Underlying/$H25)+(RiskFreeRate-DividendYield+0.5*AK25^2)*TimeToExpiration)/(AK25*TimeToExpiration^0.5), 0, 1, TRUE) - 
       $H25*EXP(-RiskFreeRate*TimeToExpiration)*_xlfn.NORM.DIST(AL$2*(LN(Underlying/$H25)+(RiskFreeRate-DividendYield-0.5*AK25^2)*TimeToExpiration)/(AK25*TimeToExpiration^0.5), 0, 1, TRUE)
)</f>
        <v>8.596166477</v>
      </c>
      <c r="AM25" s="40">
        <f t="shared" si="18"/>
        <v>0.28215625</v>
      </c>
      <c r="AN25" s="40">
        <f t="shared" si="19"/>
        <v>0.375875</v>
      </c>
      <c r="AO25" s="7">
        <f>AO$2*(Underlying*EXP(-DividendYield*TimeToExpiration)*_xlfn.NORM.DIST(AO$2*(LN(Underlying/$H25)+(RiskFreeRate-DividendYield+0.5*AM25^2)*TimeToExpiration)/(AM25*TimeToExpiration^0.5), 0, 1, TRUE) - 
       $H25*EXP(-RiskFreeRate*TimeToExpiration)*_xlfn.NORM.DIST(AO$2*(LN(Underlying/$H25)+(RiskFreeRate-DividendYield-0.5*AM25^2)*TimeToExpiration)/(AM25*TimeToExpiration^0.5), 0, 1, TRUE)
)</f>
        <v>8.596166477</v>
      </c>
      <c r="AP25" s="7">
        <f>AP$2*(Underlying*EXP(-DividendYield*TimeToExpiration)*_xlfn.NORM.DIST(AP$2*(LN(Underlying/$H25)+(RiskFreeRate-DividendYield+0.5*AN25^2)*TimeToExpiration)/(AN25*TimeToExpiration^0.5), 0, 1, TRUE) - 
       $H25*EXP(-RiskFreeRate*TimeToExpiration)*_xlfn.NORM.DIST(AP$2*(LN(Underlying/$H25)+(RiskFreeRate-DividendYield-0.5*AN25^2)*TimeToExpiration)/(AN25*TimeToExpiration^0.5), 0, 1, TRUE)
)</f>
        <v>10.29878134</v>
      </c>
      <c r="AQ25" s="40">
        <f t="shared" si="20"/>
        <v>0.329015625</v>
      </c>
      <c r="AR25" s="8">
        <f>AR$2*(Underlying*EXP(-DividendYield*TimeToExpiration)*_xlfn.NORM.DIST(AR$2*(LN(Underlying/$H25)+(RiskFreeRate-DividendYield+0.5*AQ25^2)*TimeToExpiration)/(AQ25*TimeToExpiration^0.5), 0, 1, TRUE) - 
       $H25*EXP(-RiskFreeRate*TimeToExpiration)*_xlfn.NORM.DIST(AR$2*(LN(Underlying/$H25)+(RiskFreeRate-DividendYield-0.5*AQ25^2)*TimeToExpiration)/(AQ25*TimeToExpiration^0.5), 0, 1, TRUE)
)</f>
        <v>9.440253546</v>
      </c>
      <c r="AS25" s="40">
        <f t="shared" si="21"/>
        <v>0.329015625</v>
      </c>
      <c r="AT25" s="40">
        <f t="shared" si="22"/>
        <v>0.375875</v>
      </c>
      <c r="AU25" s="7">
        <f>AU$2*(Underlying*EXP(-DividendYield*TimeToExpiration)*_xlfn.NORM.DIST(AU$2*(LN(Underlying/$H25)+(RiskFreeRate-DividendYield+0.5*AS25^2)*TimeToExpiration)/(AS25*TimeToExpiration^0.5), 0, 1, TRUE) - 
       $H25*EXP(-RiskFreeRate*TimeToExpiration)*_xlfn.NORM.DIST(AU$2*(LN(Underlying/$H25)+(RiskFreeRate-DividendYield-0.5*AS25^2)*TimeToExpiration)/(AS25*TimeToExpiration^0.5), 0, 1, TRUE)
)</f>
        <v>9.440253546</v>
      </c>
      <c r="AV25" s="7">
        <f>AV$2*(Underlying*EXP(-DividendYield*TimeToExpiration)*_xlfn.NORM.DIST(AV$2*(LN(Underlying/$H25)+(RiskFreeRate-DividendYield+0.5*AT25^2)*TimeToExpiration)/(AT25*TimeToExpiration^0.5), 0, 1, TRUE) - 
       $H25*EXP(-RiskFreeRate*TimeToExpiration)*_xlfn.NORM.DIST(AV$2*(LN(Underlying/$H25)+(RiskFreeRate-DividendYield-0.5*AT25^2)*TimeToExpiration)/(AT25*TimeToExpiration^0.5), 0, 1, TRUE)
)</f>
        <v>10.29878134</v>
      </c>
      <c r="AW25" s="40">
        <f t="shared" si="23"/>
        <v>0.3524453125</v>
      </c>
      <c r="AX25" s="8">
        <f>AX$2*(Underlying*EXP(-DividendYield*TimeToExpiration)*_xlfn.NORM.DIST(AX$2*(LN(Underlying/$H25)+(RiskFreeRate-DividendYield+0.5*AW25^2)*TimeToExpiration)/(AW25*TimeToExpiration^0.5), 0, 1, TRUE) - 
       $H25*EXP(-RiskFreeRate*TimeToExpiration)*_xlfn.NORM.DIST(AX$2*(LN(Underlying/$H25)+(RiskFreeRate-DividendYield-0.5*AW25^2)*TimeToExpiration)/(AW25*TimeToExpiration^0.5), 0, 1, TRUE)
)</f>
        <v>9.868061555</v>
      </c>
      <c r="AY25" s="40">
        <f t="shared" si="24"/>
        <v>0.3524453125</v>
      </c>
      <c r="AZ25" s="40">
        <f t="shared" si="25"/>
        <v>0.375875</v>
      </c>
      <c r="BA25" s="7">
        <f>BA$2*(Underlying*EXP(-DividendYield*TimeToExpiration)*_xlfn.NORM.DIST(BA$2*(LN(Underlying/$H25)+(RiskFreeRate-DividendYield+0.5*AY25^2)*TimeToExpiration)/(AY25*TimeToExpiration^0.5), 0, 1, TRUE) - 
       $H25*EXP(-RiskFreeRate*TimeToExpiration)*_xlfn.NORM.DIST(BA$2*(LN(Underlying/$H25)+(RiskFreeRate-DividendYield-0.5*AY25^2)*TimeToExpiration)/(AY25*TimeToExpiration^0.5), 0, 1, TRUE)
)</f>
        <v>9.868061555</v>
      </c>
      <c r="BB25" s="7">
        <f>BB$2*(Underlying*EXP(-DividendYield*TimeToExpiration)*_xlfn.NORM.DIST(BB$2*(LN(Underlying/$H25)+(RiskFreeRate-DividendYield+0.5*AZ25^2)*TimeToExpiration)/(AZ25*TimeToExpiration^0.5), 0, 1, TRUE) - 
       $H25*EXP(-RiskFreeRate*TimeToExpiration)*_xlfn.NORM.DIST(BB$2*(LN(Underlying/$H25)+(RiskFreeRate-DividendYield-0.5*AZ25^2)*TimeToExpiration)/(AZ25*TimeToExpiration^0.5), 0, 1, TRUE)
)</f>
        <v>10.29878134</v>
      </c>
      <c r="BC25" s="40">
        <f t="shared" si="26"/>
        <v>0.3641601563</v>
      </c>
      <c r="BD25" s="8">
        <f>BD$2*(Underlying*EXP(-DividendYield*TimeToExpiration)*_xlfn.NORM.DIST(BD$2*(LN(Underlying/$H25)+(RiskFreeRate-DividendYield+0.5*BC25^2)*TimeToExpiration)/(BC25*TimeToExpiration^0.5), 0, 1, TRUE) - 
       $H25*EXP(-RiskFreeRate*TimeToExpiration)*_xlfn.NORM.DIST(BD$2*(LN(Underlying/$H25)+(RiskFreeRate-DividendYield-0.5*BC25^2)*TimeToExpiration)/(BC25*TimeToExpiration^0.5), 0, 1, TRUE)
)</f>
        <v>10.08309175</v>
      </c>
      <c r="BE25" s="40">
        <f t="shared" si="27"/>
        <v>0.3524453125</v>
      </c>
      <c r="BF25" s="40">
        <f t="shared" si="28"/>
        <v>0.3641601563</v>
      </c>
      <c r="BG25" s="7">
        <f>BG$2*(Underlying*EXP(-DividendYield*TimeToExpiration)*_xlfn.NORM.DIST(BG$2*(LN(Underlying/$H25)+(RiskFreeRate-DividendYield+0.5*BE25^2)*TimeToExpiration)/(BE25*TimeToExpiration^0.5), 0, 1, TRUE) - 
       $H25*EXP(-RiskFreeRate*TimeToExpiration)*_xlfn.NORM.DIST(BG$2*(LN(Underlying/$H25)+(RiskFreeRate-DividendYield-0.5*BE25^2)*TimeToExpiration)/(BE25*TimeToExpiration^0.5), 0, 1, TRUE)
)</f>
        <v>9.868061555</v>
      </c>
      <c r="BH25" s="7">
        <f>BH$2*(Underlying*EXP(-DividendYield*TimeToExpiration)*_xlfn.NORM.DIST(BH$2*(LN(Underlying/$H25)+(RiskFreeRate-DividendYield+0.5*BF25^2)*TimeToExpiration)/(BF25*TimeToExpiration^0.5), 0, 1, TRUE) - 
       $H25*EXP(-RiskFreeRate*TimeToExpiration)*_xlfn.NORM.DIST(BH$2*(LN(Underlying/$H25)+(RiskFreeRate-DividendYield-0.5*BF25^2)*TimeToExpiration)/(BF25*TimeToExpiration^0.5), 0, 1, TRUE)
)</f>
        <v>10.08309175</v>
      </c>
      <c r="BI25" s="40">
        <f t="shared" si="29"/>
        <v>0.3583027344</v>
      </c>
      <c r="BJ25" s="8">
        <f>BJ$2*(Underlying*EXP(-DividendYield*TimeToExpiration)*_xlfn.NORM.DIST(BJ$2*(LN(Underlying/$H25)+(RiskFreeRate-DividendYield+0.5*BI25^2)*TimeToExpiration)/(BI25*TimeToExpiration^0.5), 0, 1, TRUE) - 
       $H25*EXP(-RiskFreeRate*TimeToExpiration)*_xlfn.NORM.DIST(BJ$2*(LN(Underlying/$H25)+(RiskFreeRate-DividendYield-0.5*BI25^2)*TimeToExpiration)/(BI25*TimeToExpiration^0.5), 0, 1, TRUE)
)</f>
        <v>9.975490276</v>
      </c>
      <c r="BK25" s="40">
        <f t="shared" si="30"/>
        <v>0.3583027344</v>
      </c>
      <c r="BL25" s="40">
        <f t="shared" si="31"/>
        <v>0.3641601563</v>
      </c>
      <c r="BM25" s="7">
        <f>BM$2*(Underlying*EXP(-DividendYield*TimeToExpiration)*_xlfn.NORM.DIST(BM$2*(LN(Underlying/$H25)+(RiskFreeRate-DividendYield+0.5*BK25^2)*TimeToExpiration)/(BK25*TimeToExpiration^0.5), 0, 1, TRUE) - 
       $H25*EXP(-RiskFreeRate*TimeToExpiration)*_xlfn.NORM.DIST(BM$2*(LN(Underlying/$H25)+(RiskFreeRate-DividendYield-0.5*BK25^2)*TimeToExpiration)/(BK25*TimeToExpiration^0.5), 0, 1, TRUE)
)</f>
        <v>9.975490276</v>
      </c>
      <c r="BN25" s="7">
        <f>BN$2*(Underlying*EXP(-DividendYield*TimeToExpiration)*_xlfn.NORM.DIST(BN$2*(LN(Underlying/$H25)+(RiskFreeRate-DividendYield+0.5*BL25^2)*TimeToExpiration)/(BL25*TimeToExpiration^0.5), 0, 1, TRUE) - 
       $H25*EXP(-RiskFreeRate*TimeToExpiration)*_xlfn.NORM.DIST(BN$2*(LN(Underlying/$H25)+(RiskFreeRate-DividendYield-0.5*BL25^2)*TimeToExpiration)/(BL25*TimeToExpiration^0.5), 0, 1, TRUE)
)</f>
        <v>10.08309175</v>
      </c>
      <c r="BO25" s="40">
        <f t="shared" si="32"/>
        <v>0.3612314453</v>
      </c>
      <c r="BP25" s="8">
        <f>BP$2*(Underlying*EXP(-DividendYield*TimeToExpiration)*_xlfn.NORM.DIST(BP$2*(LN(Underlying/$H25)+(RiskFreeRate-DividendYield+0.5*BO25^2)*TimeToExpiration)/(BO25*TimeToExpiration^0.5), 0, 1, TRUE) - 
       $H25*EXP(-RiskFreeRate*TimeToExpiration)*_xlfn.NORM.DIST(BP$2*(LN(Underlying/$H25)+(RiskFreeRate-DividendYield-0.5*BO25^2)*TimeToExpiration)/(BO25*TimeToExpiration^0.5), 0, 1, TRUE)
)</f>
        <v>10.02926993</v>
      </c>
      <c r="BQ25" s="40">
        <f t="shared" si="33"/>
        <v>0.3612314453</v>
      </c>
      <c r="BR25" s="40">
        <f t="shared" si="34"/>
        <v>0.3641601563</v>
      </c>
      <c r="BS25" s="7">
        <f>BS$2*(Underlying*EXP(-DividendYield*TimeToExpiration)*_xlfn.NORM.DIST(BS$2*(LN(Underlying/$H25)+(RiskFreeRate-DividendYield+0.5*BQ25^2)*TimeToExpiration)/(BQ25*TimeToExpiration^0.5), 0, 1, TRUE) - 
       $H25*EXP(-RiskFreeRate*TimeToExpiration)*_xlfn.NORM.DIST(BS$2*(LN(Underlying/$H25)+(RiskFreeRate-DividendYield-0.5*BQ25^2)*TimeToExpiration)/(BQ25*TimeToExpiration^0.5), 0, 1, TRUE)
)</f>
        <v>10.02926993</v>
      </c>
      <c r="BT25" s="7">
        <f>BT$2*(Underlying*EXP(-DividendYield*TimeToExpiration)*_xlfn.NORM.DIST(BT$2*(LN(Underlying/$H25)+(RiskFreeRate-DividendYield+0.5*BR25^2)*TimeToExpiration)/(BR25*TimeToExpiration^0.5), 0, 1, TRUE) - 
       $H25*EXP(-RiskFreeRate*TimeToExpiration)*_xlfn.NORM.DIST(BT$2*(LN(Underlying/$H25)+(RiskFreeRate-DividendYield-0.5*BR25^2)*TimeToExpiration)/(BR25*TimeToExpiration^0.5), 0, 1, TRUE)
)</f>
        <v>10.08309175</v>
      </c>
      <c r="BU25" s="40">
        <f t="shared" si="35"/>
        <v>0.3626958008</v>
      </c>
      <c r="BV25" s="8">
        <f>BV$2*(Underlying*EXP(-DividendYield*TimeToExpiration)*_xlfn.NORM.DIST(BV$2*(LN(Underlying/$H25)+(RiskFreeRate-DividendYield+0.5*BU25^2)*TimeToExpiration)/(BU25*TimeToExpiration^0.5), 0, 1, TRUE) - 
       $H25*EXP(-RiskFreeRate*TimeToExpiration)*_xlfn.NORM.DIST(BV$2*(LN(Underlying/$H25)+(RiskFreeRate-DividendYield-0.5*BU25^2)*TimeToExpiration)/(BU25*TimeToExpiration^0.5), 0, 1, TRUE)
)</f>
        <v>10.05617563</v>
      </c>
      <c r="BW25" s="40">
        <f t="shared" si="36"/>
        <v>0.3626958008</v>
      </c>
      <c r="BX25" s="40">
        <f t="shared" si="37"/>
        <v>0.3641601563</v>
      </c>
      <c r="BY25" s="7">
        <f>BY$2*(Underlying*EXP(-DividendYield*TimeToExpiration)*_xlfn.NORM.DIST(BY$2*(LN(Underlying/$H25)+(RiskFreeRate-DividendYield+0.5*BW25^2)*TimeToExpiration)/(BW25*TimeToExpiration^0.5), 0, 1, TRUE) - 
       $H25*EXP(-RiskFreeRate*TimeToExpiration)*_xlfn.NORM.DIST(BY$2*(LN(Underlying/$H25)+(RiskFreeRate-DividendYield-0.5*BW25^2)*TimeToExpiration)/(BW25*TimeToExpiration^0.5), 0, 1, TRUE)
)</f>
        <v>10.05617563</v>
      </c>
      <c r="BZ25" s="7">
        <f>BZ$2*(Underlying*EXP(-DividendYield*TimeToExpiration)*_xlfn.NORM.DIST(BZ$2*(LN(Underlying/$H25)+(RiskFreeRate-DividendYield+0.5*BX25^2)*TimeToExpiration)/(BX25*TimeToExpiration^0.5), 0, 1, TRUE) - 
       $H25*EXP(-RiskFreeRate*TimeToExpiration)*_xlfn.NORM.DIST(BZ$2*(LN(Underlying/$H25)+(RiskFreeRate-DividendYield-0.5*BX25^2)*TimeToExpiration)/(BX25*TimeToExpiration^0.5), 0, 1, TRUE)
)</f>
        <v>10.08309175</v>
      </c>
      <c r="CA25" s="40">
        <f t="shared" si="38"/>
        <v>0.3634279785</v>
      </c>
      <c r="CB25" s="8">
        <f>CB$2*(Underlying*EXP(-DividendYield*TimeToExpiration)*_xlfn.NORM.DIST(CB$2*(LN(Underlying/$H25)+(RiskFreeRate-DividendYield+0.5*CA25^2)*TimeToExpiration)/(CA25*TimeToExpiration^0.5), 0, 1, TRUE) - 
       $H25*EXP(-RiskFreeRate*TimeToExpiration)*_xlfn.NORM.DIST(CB$2*(LN(Underlying/$H25)+(RiskFreeRate-DividendYield-0.5*CA25^2)*TimeToExpiration)/(CA25*TimeToExpiration^0.5), 0, 1, TRUE)
)</f>
        <v>10.06963239</v>
      </c>
      <c r="CC25" s="40">
        <f t="shared" si="39"/>
        <v>0.3634279785</v>
      </c>
      <c r="CD25" s="40">
        <f t="shared" si="40"/>
        <v>0.3641601563</v>
      </c>
      <c r="CE25" s="7">
        <f>CE$2*(Underlying*EXP(-DividendYield*TimeToExpiration)*_xlfn.NORM.DIST(CE$2*(LN(Underlying/$H25)+(RiskFreeRate-DividendYield+0.5*CC25^2)*TimeToExpiration)/(CC25*TimeToExpiration^0.5), 0, 1, TRUE) - 
       $H25*EXP(-RiskFreeRate*TimeToExpiration)*_xlfn.NORM.DIST(CE$2*(LN(Underlying/$H25)+(RiskFreeRate-DividendYield-0.5*CC25^2)*TimeToExpiration)/(CC25*TimeToExpiration^0.5), 0, 1, TRUE)
)</f>
        <v>10.06963239</v>
      </c>
      <c r="CF25" s="7">
        <f>CF$2*(Underlying*EXP(-DividendYield*TimeToExpiration)*_xlfn.NORM.DIST(CF$2*(LN(Underlying/$H25)+(RiskFreeRate-DividendYield+0.5*CD25^2)*TimeToExpiration)/(CD25*TimeToExpiration^0.5), 0, 1, TRUE) - 
       $H25*EXP(-RiskFreeRate*TimeToExpiration)*_xlfn.NORM.DIST(CF$2*(LN(Underlying/$H25)+(RiskFreeRate-DividendYield-0.5*CD25^2)*TimeToExpiration)/(CD25*TimeToExpiration^0.5), 0, 1, TRUE)
)</f>
        <v>10.08309175</v>
      </c>
      <c r="CG25" s="40">
        <f t="shared" si="41"/>
        <v>0.3637940674</v>
      </c>
      <c r="CH25" s="8">
        <f>CH$2*(Underlying*EXP(-DividendYield*TimeToExpiration)*_xlfn.NORM.DIST(CH$2*(LN(Underlying/$H25)+(RiskFreeRate-DividendYield+0.5*CG25^2)*TimeToExpiration)/(CG25*TimeToExpiration^0.5), 0, 1, TRUE) - 
       $H25*EXP(-RiskFreeRate*TimeToExpiration)*_xlfn.NORM.DIST(CH$2*(LN(Underlying/$H25)+(RiskFreeRate-DividendYield-0.5*CG25^2)*TimeToExpiration)/(CG25*TimeToExpiration^0.5), 0, 1, TRUE)
)</f>
        <v>10.07636175</v>
      </c>
      <c r="CI25" s="40">
        <f t="shared" si="42"/>
        <v>0.3634279785</v>
      </c>
      <c r="CJ25" s="40">
        <f t="shared" si="43"/>
        <v>0.3637940674</v>
      </c>
      <c r="CK25" s="7">
        <f>CK$2*(Underlying*EXP(-DividendYield*TimeToExpiration)*_xlfn.NORM.DIST(CK$2*(LN(Underlying/$H25)+(RiskFreeRate-DividendYield+0.5*CI25^2)*TimeToExpiration)/(CI25*TimeToExpiration^0.5), 0, 1, TRUE) - 
       $H25*EXP(-RiskFreeRate*TimeToExpiration)*_xlfn.NORM.DIST(CK$2*(LN(Underlying/$H25)+(RiskFreeRate-DividendYield-0.5*CI25^2)*TimeToExpiration)/(CI25*TimeToExpiration^0.5), 0, 1, TRUE)
)</f>
        <v>10.06963239</v>
      </c>
      <c r="CL25" s="7">
        <f>CL$2*(Underlying*EXP(-DividendYield*TimeToExpiration)*_xlfn.NORM.DIST(CL$2*(LN(Underlying/$H25)+(RiskFreeRate-DividendYield+0.5*CJ25^2)*TimeToExpiration)/(CJ25*TimeToExpiration^0.5), 0, 1, TRUE) - 
       $H25*EXP(-RiskFreeRate*TimeToExpiration)*_xlfn.NORM.DIST(CL$2*(LN(Underlying/$H25)+(RiskFreeRate-DividendYield-0.5*CJ25^2)*TimeToExpiration)/(CJ25*TimeToExpiration^0.5), 0, 1, TRUE)
)</f>
        <v>10.07636175</v>
      </c>
      <c r="CM25" s="40">
        <f t="shared" si="44"/>
        <v>0.3636110229</v>
      </c>
      <c r="CN25" s="8">
        <f>CN$2*(Underlying*EXP(-DividendYield*TimeToExpiration)*_xlfn.NORM.DIST(CN$2*(LN(Underlying/$H25)+(RiskFreeRate-DividendYield+0.5*CM25^2)*TimeToExpiration)/(CM25*TimeToExpiration^0.5), 0, 1, TRUE) - 
       $H25*EXP(-RiskFreeRate*TimeToExpiration)*_xlfn.NORM.DIST(CN$2*(LN(Underlying/$H25)+(RiskFreeRate-DividendYield-0.5*CM25^2)*TimeToExpiration)/(CM25*TimeToExpiration^0.5), 0, 1, TRUE)
)</f>
        <v>10.07299699</v>
      </c>
      <c r="CO25" s="40">
        <f t="shared" si="45"/>
        <v>0.3636110229</v>
      </c>
      <c r="CP25" s="40">
        <f t="shared" si="46"/>
        <v>0.3637940674</v>
      </c>
      <c r="CQ25" s="7">
        <f>CQ$2*(Underlying*EXP(-DividendYield*TimeToExpiration)*_xlfn.NORM.DIST(CQ$2*(LN(Underlying/$H25)+(RiskFreeRate-DividendYield+0.5*CO25^2)*TimeToExpiration)/(CO25*TimeToExpiration^0.5), 0, 1, TRUE) - 
       $H25*EXP(-RiskFreeRate*TimeToExpiration)*_xlfn.NORM.DIST(CQ$2*(LN(Underlying/$H25)+(RiskFreeRate-DividendYield-0.5*CO25^2)*TimeToExpiration)/(CO25*TimeToExpiration^0.5), 0, 1, TRUE)
)</f>
        <v>10.07299699</v>
      </c>
      <c r="CR25" s="7">
        <f>CR$2*(Underlying*EXP(-DividendYield*TimeToExpiration)*_xlfn.NORM.DIST(CR$2*(LN(Underlying/$H25)+(RiskFreeRate-DividendYield+0.5*CP25^2)*TimeToExpiration)/(CP25*TimeToExpiration^0.5), 0, 1, TRUE) - 
       $H25*EXP(-RiskFreeRate*TimeToExpiration)*_xlfn.NORM.DIST(CR$2*(LN(Underlying/$H25)+(RiskFreeRate-DividendYield-0.5*CP25^2)*TimeToExpiration)/(CP25*TimeToExpiration^0.5), 0, 1, TRUE)
)</f>
        <v>10.07636175</v>
      </c>
      <c r="CS25" s="40">
        <f t="shared" si="47"/>
        <v>0.3637025452</v>
      </c>
      <c r="CT25" s="8">
        <f>CT$2*(Underlying*EXP(-DividendYield*TimeToExpiration)*_xlfn.NORM.DIST(CT$2*(LN(Underlying/$H25)+(RiskFreeRate-DividendYield+0.5*CS25^2)*TimeToExpiration)/(CS25*TimeToExpiration^0.5), 0, 1, TRUE) - 
       $H25*EXP(-RiskFreeRate*TimeToExpiration)*_xlfn.NORM.DIST(CT$2*(LN(Underlying/$H25)+(RiskFreeRate-DividendYield-0.5*CS25^2)*TimeToExpiration)/(CS25*TimeToExpiration^0.5), 0, 1, TRUE)
)</f>
        <v>10.07467935</v>
      </c>
      <c r="CU25" s="40">
        <f t="shared" si="48"/>
        <v>0.3637025452</v>
      </c>
      <c r="CV25" s="40">
        <f t="shared" si="49"/>
        <v>0.3637940674</v>
      </c>
      <c r="CW25" s="7">
        <f>CW$2*(Underlying*EXP(-DividendYield*TimeToExpiration)*_xlfn.NORM.DIST(CW$2*(LN(Underlying/$H25)+(RiskFreeRate-DividendYield+0.5*CU25^2)*TimeToExpiration)/(CU25*TimeToExpiration^0.5), 0, 1, TRUE) - 
       $H25*EXP(-RiskFreeRate*TimeToExpiration)*_xlfn.NORM.DIST(CW$2*(LN(Underlying/$H25)+(RiskFreeRate-DividendYield-0.5*CU25^2)*TimeToExpiration)/(CU25*TimeToExpiration^0.5), 0, 1, TRUE)
)</f>
        <v>10.07467935</v>
      </c>
      <c r="CX25" s="7">
        <f>CX$2*(Underlying*EXP(-DividendYield*TimeToExpiration)*_xlfn.NORM.DIST(CX$2*(LN(Underlying/$H25)+(RiskFreeRate-DividendYield+0.5*CV25^2)*TimeToExpiration)/(CV25*TimeToExpiration^0.5), 0, 1, TRUE) - 
       $H25*EXP(-RiskFreeRate*TimeToExpiration)*_xlfn.NORM.DIST(CX$2*(LN(Underlying/$H25)+(RiskFreeRate-DividendYield-0.5*CV25^2)*TimeToExpiration)/(CV25*TimeToExpiration^0.5), 0, 1, TRUE)
)</f>
        <v>10.07636175</v>
      </c>
      <c r="CY25" s="40">
        <f t="shared" si="50"/>
        <v>0.3637483063</v>
      </c>
      <c r="CZ25" s="8">
        <f>CZ$2*(Underlying*EXP(-DividendYield*TimeToExpiration)*_xlfn.NORM.DIST(CZ$2*(LN(Underlying/$H25)+(RiskFreeRate-DividendYield+0.5*CY25^2)*TimeToExpiration)/(CY25*TimeToExpiration^0.5), 0, 1, TRUE) - 
       $H25*EXP(-RiskFreeRate*TimeToExpiration)*_xlfn.NORM.DIST(CZ$2*(LN(Underlying/$H25)+(RiskFreeRate-DividendYield-0.5*CY25^2)*TimeToExpiration)/(CY25*TimeToExpiration^0.5), 0, 1, TRUE)
)</f>
        <v>10.07552054</v>
      </c>
      <c r="DA25" s="40">
        <f t="shared" si="51"/>
        <v>0.3637025452</v>
      </c>
      <c r="DB25" s="40">
        <f t="shared" si="52"/>
        <v>0.3637483063</v>
      </c>
      <c r="DC25" s="7">
        <f>DC$2*(Underlying*EXP(-DividendYield*TimeToExpiration)*_xlfn.NORM.DIST(DC$2*(LN(Underlying/$H25)+(RiskFreeRate-DividendYield+0.5*DA25^2)*TimeToExpiration)/(DA25*TimeToExpiration^0.5), 0, 1, TRUE) - 
       $H25*EXP(-RiskFreeRate*TimeToExpiration)*_xlfn.NORM.DIST(DC$2*(LN(Underlying/$H25)+(RiskFreeRate-DividendYield-0.5*DA25^2)*TimeToExpiration)/(DA25*TimeToExpiration^0.5), 0, 1, TRUE)
)</f>
        <v>10.07467935</v>
      </c>
      <c r="DD25" s="7">
        <f>DD$2*(Underlying*EXP(-DividendYield*TimeToExpiration)*_xlfn.NORM.DIST(DD$2*(LN(Underlying/$H25)+(RiskFreeRate-DividendYield+0.5*DB25^2)*TimeToExpiration)/(DB25*TimeToExpiration^0.5), 0, 1, TRUE) - 
       $H25*EXP(-RiskFreeRate*TimeToExpiration)*_xlfn.NORM.DIST(DD$2*(LN(Underlying/$H25)+(RiskFreeRate-DividendYield-0.5*DB25^2)*TimeToExpiration)/(DB25*TimeToExpiration^0.5), 0, 1, TRUE)
)</f>
        <v>10.07552054</v>
      </c>
      <c r="DE25" s="40">
        <f t="shared" si="53"/>
        <v>0.3637254257</v>
      </c>
      <c r="DF25" s="8">
        <f>DF$2*(Underlying*EXP(-DividendYield*TimeToExpiration)*_xlfn.NORM.DIST(DF$2*(LN(Underlying/$H25)+(RiskFreeRate-DividendYield+0.5*DE25^2)*TimeToExpiration)/(DE25*TimeToExpiration^0.5), 0, 1, TRUE) - 
       $H25*EXP(-RiskFreeRate*TimeToExpiration)*_xlfn.NORM.DIST(DF$2*(LN(Underlying/$H25)+(RiskFreeRate-DividendYield-0.5*DE25^2)*TimeToExpiration)/(DE25*TimeToExpiration^0.5), 0, 1, TRUE)
)</f>
        <v>10.07509994</v>
      </c>
    </row>
    <row r="26">
      <c r="A26" s="20">
        <f>'Option Mkt Data'!A26</f>
        <v>347.5</v>
      </c>
      <c r="B26" s="35">
        <f t="shared" ref="B26:C26" si="73">DE26</f>
        <v>0.3641830368</v>
      </c>
      <c r="C26" s="7">
        <f t="shared" si="73"/>
        <v>11.7252424</v>
      </c>
      <c r="D26" s="7">
        <f t="shared" si="3"/>
        <v>0.0002424966303</v>
      </c>
      <c r="E26" s="9">
        <f t="shared" si="4"/>
        <v>0.00002068201554</v>
      </c>
      <c r="F26" s="36">
        <f>D26/'Option Mkt Data'!M26</f>
        <v>0.001616638059</v>
      </c>
      <c r="G26" s="5">
        <f>'Option Mkt Data'!K26</f>
        <v>11.72499991</v>
      </c>
      <c r="H26" s="33">
        <f>'Option Mkt Data'!A26</f>
        <v>347.5</v>
      </c>
      <c r="I26" s="37">
        <f>MinSolverVola</f>
        <v>0.001</v>
      </c>
      <c r="J26" s="38">
        <f>MaxSolverVola</f>
        <v>3</v>
      </c>
      <c r="K26" s="39">
        <f>K$2*(Underlying*EXP(-DividendYield*TimeToExpiration)*_xlfn.NORM.DIST(K$2*(LN(Underlying/$H26)+(RiskFreeRate-DividendYield+0.5*I26^2)*TimeToExpiration)/(I26*TimeToExpiration^0.5), 0, 1, TRUE) - 
       $H26*EXP(-RiskFreeRate*TimeToExpiration)*_xlfn.NORM.DIST(K$2*(LN(Underlying/$H26)+(RiskFreeRate-DividendYield-0.5*I26^2)*TimeToExpiration)/(I26*TimeToExpiration^0.5), 0, 1, TRUE)
)</f>
        <v>7.947002414</v>
      </c>
      <c r="L26" s="7">
        <f>L$2*(Underlying*EXP(-DividendYield*TimeToExpiration)*_xlfn.NORM.DIST(L$2*(LN(Underlying/$H26)+(RiskFreeRate-DividendYield+0.5*J26^2)*TimeToExpiration)/(J26*TimeToExpiration^0.5), 0, 1, TRUE) - 
       $H26*EXP(-RiskFreeRate*TimeToExpiration)*_xlfn.NORM.DIST(L$2*(LN(Underlying/$H26)+(RiskFreeRate-DividendYield-0.5*J26^2)*TimeToExpiration)/(J26*TimeToExpiration^0.5), 0, 1, TRUE)
)</f>
        <v>61.71550018</v>
      </c>
      <c r="M26" s="40">
        <f t="shared" si="5"/>
        <v>1.5005</v>
      </c>
      <c r="N26" s="8">
        <f>N$2*(Underlying*EXP(-DividendYield*TimeToExpiration)*_xlfn.NORM.DIST(N$2*(LN(Underlying/$H26)+(RiskFreeRate-DividendYield+0.5*M26^2)*TimeToExpiration)/(M26*TimeToExpiration^0.5), 0, 1, TRUE) - 
       $H26*EXP(-RiskFreeRate*TimeToExpiration)*_xlfn.NORM.DIST(N$2*(LN(Underlying/$H26)+(RiskFreeRate-DividendYield-0.5*M26^2)*TimeToExpiration)/(M26*TimeToExpiration^0.5), 0, 1, TRUE)
)</f>
        <v>33.14567194</v>
      </c>
      <c r="O26" s="41">
        <f t="shared" si="6"/>
        <v>0.001</v>
      </c>
      <c r="P26" s="40">
        <f t="shared" si="7"/>
        <v>1.5005</v>
      </c>
      <c r="Q26" s="7">
        <f>Q$2*(Underlying*EXP(-DividendYield*TimeToExpiration)*_xlfn.NORM.DIST(Q$2*(LN(Underlying/$H26)+(RiskFreeRate-DividendYield+0.5*O26^2)*TimeToExpiration)/(O26*TimeToExpiration^0.5), 0, 1, TRUE) - 
       $H26*EXP(-RiskFreeRate*TimeToExpiration)*_xlfn.NORM.DIST(Q$2*(LN(Underlying/$H26)+(RiskFreeRate-DividendYield-0.5*O26^2)*TimeToExpiration)/(O26*TimeToExpiration^0.5), 0, 1, TRUE)
)</f>
        <v>7.947002414</v>
      </c>
      <c r="R26" s="7">
        <f>R$2*(Underlying*EXP(-DividendYield*TimeToExpiration)*_xlfn.NORM.DIST(R$2*(LN(Underlying/$H26)+(RiskFreeRate-DividendYield+0.5*P26^2)*TimeToExpiration)/(P26*TimeToExpiration^0.5), 0, 1, TRUE) - 
       $H26*EXP(-RiskFreeRate*TimeToExpiration)*_xlfn.NORM.DIST(R$2*(LN(Underlying/$H26)+(RiskFreeRate-DividendYield-0.5*P26^2)*TimeToExpiration)/(P26*TimeToExpiration^0.5), 0, 1, TRUE)
)</f>
        <v>33.14567194</v>
      </c>
      <c r="S26" s="40">
        <f t="shared" si="8"/>
        <v>0.75075</v>
      </c>
      <c r="T26" s="8">
        <f>T$2*(Underlying*EXP(-DividendYield*TimeToExpiration)*_xlfn.NORM.DIST(T$2*(LN(Underlying/$H26)+(RiskFreeRate-DividendYield+0.5*S26^2)*TimeToExpiration)/(S26*TimeToExpiration^0.5), 0, 1, TRUE) - 
       $H26*EXP(-RiskFreeRate*TimeToExpiration)*_xlfn.NORM.DIST(T$2*(LN(Underlying/$H26)+(RiskFreeRate-DividendYield-0.5*S26^2)*TimeToExpiration)/(S26*TimeToExpiration^0.5), 0, 1, TRUE)
)</f>
        <v>18.84761279</v>
      </c>
      <c r="U26" s="41">
        <f t="shared" si="9"/>
        <v>0.001</v>
      </c>
      <c r="V26" s="40">
        <f t="shared" si="10"/>
        <v>0.75075</v>
      </c>
      <c r="W26" s="7">
        <f>W$2*(Underlying*EXP(-DividendYield*TimeToExpiration)*_xlfn.NORM.DIST(W$2*(LN(Underlying/$H26)+(RiskFreeRate-DividendYield+0.5*U26^2)*TimeToExpiration)/(U26*TimeToExpiration^0.5), 0, 1, TRUE) - 
       $H26*EXP(-RiskFreeRate*TimeToExpiration)*_xlfn.NORM.DIST(W$2*(LN(Underlying/$H26)+(RiskFreeRate-DividendYield-0.5*U26^2)*TimeToExpiration)/(U26*TimeToExpiration^0.5), 0, 1, TRUE)
)</f>
        <v>7.947002414</v>
      </c>
      <c r="X26" s="7">
        <f>X$2*(Underlying*EXP(-DividendYield*TimeToExpiration)*_xlfn.NORM.DIST(X$2*(LN(Underlying/$H26)+(RiskFreeRate-DividendYield+0.5*V26^2)*TimeToExpiration)/(V26*TimeToExpiration^0.5), 0, 1, TRUE) - 
       $H26*EXP(-RiskFreeRate*TimeToExpiration)*_xlfn.NORM.DIST(X$2*(LN(Underlying/$H26)+(RiskFreeRate-DividendYield-0.5*V26^2)*TimeToExpiration)/(V26*TimeToExpiration^0.5), 0, 1, TRUE)
)</f>
        <v>18.84761279</v>
      </c>
      <c r="Y26" s="40">
        <f t="shared" si="11"/>
        <v>0.375875</v>
      </c>
      <c r="Z26" s="8">
        <f>Z$2*(Underlying*EXP(-DividendYield*TimeToExpiration)*_xlfn.NORM.DIST(Z$2*(LN(Underlying/$H26)+(RiskFreeRate-DividendYield+0.5*Y26^2)*TimeToExpiration)/(Y26*TimeToExpiration^0.5), 0, 1, TRUE) - 
       $H26*EXP(-RiskFreeRate*TimeToExpiration)*_xlfn.NORM.DIST(Z$2*(LN(Underlying/$H26)+(RiskFreeRate-DividendYield-0.5*Y26^2)*TimeToExpiration)/(Y26*TimeToExpiration^0.5), 0, 1, TRUE)
)</f>
        <v>11.93043495</v>
      </c>
      <c r="AA26" s="41">
        <f t="shared" si="12"/>
        <v>0.001</v>
      </c>
      <c r="AB26" s="40">
        <f t="shared" si="13"/>
        <v>0.375875</v>
      </c>
      <c r="AC26" s="7">
        <f>AC$2*(Underlying*EXP(-DividendYield*TimeToExpiration)*_xlfn.NORM.DIST(AC$2*(LN(Underlying/$H26)+(RiskFreeRate-DividendYield+0.5*AA26^2)*TimeToExpiration)/(AA26*TimeToExpiration^0.5), 0, 1, TRUE) - 
       $H26*EXP(-RiskFreeRate*TimeToExpiration)*_xlfn.NORM.DIST(AC$2*(LN(Underlying/$H26)+(RiskFreeRate-DividendYield-0.5*AA26^2)*TimeToExpiration)/(AA26*TimeToExpiration^0.5), 0, 1, TRUE)
)</f>
        <v>7.947002414</v>
      </c>
      <c r="AD26" s="7">
        <f>AD$2*(Underlying*EXP(-DividendYield*TimeToExpiration)*_xlfn.NORM.DIST(AD$2*(LN(Underlying/$H26)+(RiskFreeRate-DividendYield+0.5*AB26^2)*TimeToExpiration)/(AB26*TimeToExpiration^0.5), 0, 1, TRUE) - 
       $H26*EXP(-RiskFreeRate*TimeToExpiration)*_xlfn.NORM.DIST(AD$2*(LN(Underlying/$H26)+(RiskFreeRate-DividendYield-0.5*AB26^2)*TimeToExpiration)/(AB26*TimeToExpiration^0.5), 0, 1, TRUE)
)</f>
        <v>11.93043495</v>
      </c>
      <c r="AE26" s="40">
        <f t="shared" si="14"/>
        <v>0.1884375</v>
      </c>
      <c r="AF26" s="8">
        <f>AF$2*(Underlying*EXP(-DividendYield*TimeToExpiration)*_xlfn.NORM.DIST(AF$2*(LN(Underlying/$H26)+(RiskFreeRate-DividendYield+0.5*AE26^2)*TimeToExpiration)/(AE26*TimeToExpiration^0.5), 0, 1, TRUE) - 
       $H26*EXP(-RiskFreeRate*TimeToExpiration)*_xlfn.NORM.DIST(AF$2*(LN(Underlying/$H26)+(RiskFreeRate-DividendYield-0.5*AE26^2)*TimeToExpiration)/(AE26*TimeToExpiration^0.5), 0, 1, TRUE)
)</f>
        <v>8.918935102</v>
      </c>
      <c r="AG26" s="40">
        <f t="shared" si="15"/>
        <v>0.1884375</v>
      </c>
      <c r="AH26" s="40">
        <f t="shared" si="16"/>
        <v>0.375875</v>
      </c>
      <c r="AI26" s="7">
        <f>AI$2*(Underlying*EXP(-DividendYield*TimeToExpiration)*_xlfn.NORM.DIST(AI$2*(LN(Underlying/$H26)+(RiskFreeRate-DividendYield+0.5*AG26^2)*TimeToExpiration)/(AG26*TimeToExpiration^0.5), 0, 1, TRUE) - 
       $H26*EXP(-RiskFreeRate*TimeToExpiration)*_xlfn.NORM.DIST(AI$2*(LN(Underlying/$H26)+(RiskFreeRate-DividendYield-0.5*AG26^2)*TimeToExpiration)/(AG26*TimeToExpiration^0.5), 0, 1, TRUE)
)</f>
        <v>8.918935102</v>
      </c>
      <c r="AJ26" s="7">
        <f>AJ$2*(Underlying*EXP(-DividendYield*TimeToExpiration)*_xlfn.NORM.DIST(AJ$2*(LN(Underlying/$H26)+(RiskFreeRate-DividendYield+0.5*AH26^2)*TimeToExpiration)/(AH26*TimeToExpiration^0.5), 0, 1, TRUE) - 
       $H26*EXP(-RiskFreeRate*TimeToExpiration)*_xlfn.NORM.DIST(AJ$2*(LN(Underlying/$H26)+(RiskFreeRate-DividendYield-0.5*AH26^2)*TimeToExpiration)/(AH26*TimeToExpiration^0.5), 0, 1, TRUE)
)</f>
        <v>11.93043495</v>
      </c>
      <c r="AK26" s="40">
        <f t="shared" si="17"/>
        <v>0.28215625</v>
      </c>
      <c r="AL26" s="8">
        <f>AL$2*(Underlying*EXP(-DividendYield*TimeToExpiration)*_xlfn.NORM.DIST(AL$2*(LN(Underlying/$H26)+(RiskFreeRate-DividendYield+0.5*AK26^2)*TimeToExpiration)/(AK26*TimeToExpiration^0.5), 0, 1, TRUE) - 
       $H26*EXP(-RiskFreeRate*TimeToExpiration)*_xlfn.NORM.DIST(AL$2*(LN(Underlying/$H26)+(RiskFreeRate-DividendYield-0.5*AK26^2)*TimeToExpiration)/(AK26*TimeToExpiration^0.5), 0, 1, TRUE)
)</f>
        <v>10.33138729</v>
      </c>
      <c r="AM26" s="40">
        <f t="shared" si="18"/>
        <v>0.28215625</v>
      </c>
      <c r="AN26" s="40">
        <f t="shared" si="19"/>
        <v>0.375875</v>
      </c>
      <c r="AO26" s="7">
        <f>AO$2*(Underlying*EXP(-DividendYield*TimeToExpiration)*_xlfn.NORM.DIST(AO$2*(LN(Underlying/$H26)+(RiskFreeRate-DividendYield+0.5*AM26^2)*TimeToExpiration)/(AM26*TimeToExpiration^0.5), 0, 1, TRUE) - 
       $H26*EXP(-RiskFreeRate*TimeToExpiration)*_xlfn.NORM.DIST(AO$2*(LN(Underlying/$H26)+(RiskFreeRate-DividendYield-0.5*AM26^2)*TimeToExpiration)/(AM26*TimeToExpiration^0.5), 0, 1, TRUE)
)</f>
        <v>10.33138729</v>
      </c>
      <c r="AP26" s="7">
        <f>AP$2*(Underlying*EXP(-DividendYield*TimeToExpiration)*_xlfn.NORM.DIST(AP$2*(LN(Underlying/$H26)+(RiskFreeRate-DividendYield+0.5*AN26^2)*TimeToExpiration)/(AN26*TimeToExpiration^0.5), 0, 1, TRUE) - 
       $H26*EXP(-RiskFreeRate*TimeToExpiration)*_xlfn.NORM.DIST(AP$2*(LN(Underlying/$H26)+(RiskFreeRate-DividendYield-0.5*AN26^2)*TimeToExpiration)/(AN26*TimeToExpiration^0.5), 0, 1, TRUE)
)</f>
        <v>11.93043495</v>
      </c>
      <c r="AQ26" s="40">
        <f t="shared" si="20"/>
        <v>0.329015625</v>
      </c>
      <c r="AR26" s="8">
        <f>AR$2*(Underlying*EXP(-DividendYield*TimeToExpiration)*_xlfn.NORM.DIST(AR$2*(LN(Underlying/$H26)+(RiskFreeRate-DividendYield+0.5*AQ26^2)*TimeToExpiration)/(AQ26*TimeToExpiration^0.5), 0, 1, TRUE) - 
       $H26*EXP(-RiskFreeRate*TimeToExpiration)*_xlfn.NORM.DIST(AR$2*(LN(Underlying/$H26)+(RiskFreeRate-DividendYield-0.5*AQ26^2)*TimeToExpiration)/(AQ26*TimeToExpiration^0.5), 0, 1, TRUE)
)</f>
        <v>11.11656938</v>
      </c>
      <c r="AS26" s="40">
        <f t="shared" si="21"/>
        <v>0.329015625</v>
      </c>
      <c r="AT26" s="40">
        <f t="shared" si="22"/>
        <v>0.375875</v>
      </c>
      <c r="AU26" s="7">
        <f>AU$2*(Underlying*EXP(-DividendYield*TimeToExpiration)*_xlfn.NORM.DIST(AU$2*(LN(Underlying/$H26)+(RiskFreeRate-DividendYield+0.5*AS26^2)*TimeToExpiration)/(AS26*TimeToExpiration^0.5), 0, 1, TRUE) - 
       $H26*EXP(-RiskFreeRate*TimeToExpiration)*_xlfn.NORM.DIST(AU$2*(LN(Underlying/$H26)+(RiskFreeRate-DividendYield-0.5*AS26^2)*TimeToExpiration)/(AS26*TimeToExpiration^0.5), 0, 1, TRUE)
)</f>
        <v>11.11656938</v>
      </c>
      <c r="AV26" s="7">
        <f>AV$2*(Underlying*EXP(-DividendYield*TimeToExpiration)*_xlfn.NORM.DIST(AV$2*(LN(Underlying/$H26)+(RiskFreeRate-DividendYield+0.5*AT26^2)*TimeToExpiration)/(AT26*TimeToExpiration^0.5), 0, 1, TRUE) - 
       $H26*EXP(-RiskFreeRate*TimeToExpiration)*_xlfn.NORM.DIST(AV$2*(LN(Underlying/$H26)+(RiskFreeRate-DividendYield-0.5*AT26^2)*TimeToExpiration)/(AT26*TimeToExpiration^0.5), 0, 1, TRUE)
)</f>
        <v>11.93043495</v>
      </c>
      <c r="AW26" s="40">
        <f t="shared" si="23"/>
        <v>0.3524453125</v>
      </c>
      <c r="AX26" s="8">
        <f>AX$2*(Underlying*EXP(-DividendYield*TimeToExpiration)*_xlfn.NORM.DIST(AX$2*(LN(Underlying/$H26)+(RiskFreeRate-DividendYield+0.5*AW26^2)*TimeToExpiration)/(AW26*TimeToExpiration^0.5), 0, 1, TRUE) - 
       $H26*EXP(-RiskFreeRate*TimeToExpiration)*_xlfn.NORM.DIST(AX$2*(LN(Underlying/$H26)+(RiskFreeRate-DividendYield-0.5*AW26^2)*TimeToExpiration)/(AW26*TimeToExpiration^0.5), 0, 1, TRUE)
)</f>
        <v>11.520579</v>
      </c>
      <c r="AY26" s="40">
        <f t="shared" si="24"/>
        <v>0.3524453125</v>
      </c>
      <c r="AZ26" s="40">
        <f t="shared" si="25"/>
        <v>0.375875</v>
      </c>
      <c r="BA26" s="7">
        <f>BA$2*(Underlying*EXP(-DividendYield*TimeToExpiration)*_xlfn.NORM.DIST(BA$2*(LN(Underlying/$H26)+(RiskFreeRate-DividendYield+0.5*AY26^2)*TimeToExpiration)/(AY26*TimeToExpiration^0.5), 0, 1, TRUE) - 
       $H26*EXP(-RiskFreeRate*TimeToExpiration)*_xlfn.NORM.DIST(BA$2*(LN(Underlying/$H26)+(RiskFreeRate-DividendYield-0.5*AY26^2)*TimeToExpiration)/(AY26*TimeToExpiration^0.5), 0, 1, TRUE)
)</f>
        <v>11.520579</v>
      </c>
      <c r="BB26" s="7">
        <f>BB$2*(Underlying*EXP(-DividendYield*TimeToExpiration)*_xlfn.NORM.DIST(BB$2*(LN(Underlying/$H26)+(RiskFreeRate-DividendYield+0.5*AZ26^2)*TimeToExpiration)/(AZ26*TimeToExpiration^0.5), 0, 1, TRUE) - 
       $H26*EXP(-RiskFreeRate*TimeToExpiration)*_xlfn.NORM.DIST(BB$2*(LN(Underlying/$H26)+(RiskFreeRate-DividendYield-0.5*AZ26^2)*TimeToExpiration)/(AZ26*TimeToExpiration^0.5), 0, 1, TRUE)
)</f>
        <v>11.93043495</v>
      </c>
      <c r="BC26" s="40">
        <f t="shared" si="26"/>
        <v>0.3641601563</v>
      </c>
      <c r="BD26" s="8">
        <f>BD$2*(Underlying*EXP(-DividendYield*TimeToExpiration)*_xlfn.NORM.DIST(BD$2*(LN(Underlying/$H26)+(RiskFreeRate-DividendYield+0.5*BC26^2)*TimeToExpiration)/(BC26*TimeToExpiration^0.5), 0, 1, TRUE) - 
       $H26*EXP(-RiskFreeRate*TimeToExpiration)*_xlfn.NORM.DIST(BD$2*(LN(Underlying/$H26)+(RiskFreeRate-DividendYield-0.5*BC26^2)*TimeToExpiration)/(BC26*TimeToExpiration^0.5), 0, 1, TRUE)
)</f>
        <v>11.72484211</v>
      </c>
      <c r="BE26" s="40">
        <f t="shared" si="27"/>
        <v>0.3641601563</v>
      </c>
      <c r="BF26" s="40">
        <f t="shared" si="28"/>
        <v>0.375875</v>
      </c>
      <c r="BG26" s="7">
        <f>BG$2*(Underlying*EXP(-DividendYield*TimeToExpiration)*_xlfn.NORM.DIST(BG$2*(LN(Underlying/$H26)+(RiskFreeRate-DividendYield+0.5*BE26^2)*TimeToExpiration)/(BE26*TimeToExpiration^0.5), 0, 1, TRUE) - 
       $H26*EXP(-RiskFreeRate*TimeToExpiration)*_xlfn.NORM.DIST(BG$2*(LN(Underlying/$H26)+(RiskFreeRate-DividendYield-0.5*BE26^2)*TimeToExpiration)/(BE26*TimeToExpiration^0.5), 0, 1, TRUE)
)</f>
        <v>11.72484211</v>
      </c>
      <c r="BH26" s="7">
        <f>BH$2*(Underlying*EXP(-DividendYield*TimeToExpiration)*_xlfn.NORM.DIST(BH$2*(LN(Underlying/$H26)+(RiskFreeRate-DividendYield+0.5*BF26^2)*TimeToExpiration)/(BF26*TimeToExpiration^0.5), 0, 1, TRUE) - 
       $H26*EXP(-RiskFreeRate*TimeToExpiration)*_xlfn.NORM.DIST(BH$2*(LN(Underlying/$H26)+(RiskFreeRate-DividendYield-0.5*BF26^2)*TimeToExpiration)/(BF26*TimeToExpiration^0.5), 0, 1, TRUE)
)</f>
        <v>11.93043495</v>
      </c>
      <c r="BI26" s="40">
        <f t="shared" si="29"/>
        <v>0.3700175781</v>
      </c>
      <c r="BJ26" s="8">
        <f>BJ$2*(Underlying*EXP(-DividendYield*TimeToExpiration)*_xlfn.NORM.DIST(BJ$2*(LN(Underlying/$H26)+(RiskFreeRate-DividendYield+0.5*BI26^2)*TimeToExpiration)/(BI26*TimeToExpiration^0.5), 0, 1, TRUE) - 
       $H26*EXP(-RiskFreeRate*TimeToExpiration)*_xlfn.NORM.DIST(BJ$2*(LN(Underlying/$H26)+(RiskFreeRate-DividendYield-0.5*BI26^2)*TimeToExpiration)/(BI26*TimeToExpiration^0.5), 0, 1, TRUE)
)</f>
        <v>11.82747972</v>
      </c>
      <c r="BK26" s="40">
        <f t="shared" si="30"/>
        <v>0.3641601563</v>
      </c>
      <c r="BL26" s="40">
        <f t="shared" si="31"/>
        <v>0.3700175781</v>
      </c>
      <c r="BM26" s="7">
        <f>BM$2*(Underlying*EXP(-DividendYield*TimeToExpiration)*_xlfn.NORM.DIST(BM$2*(LN(Underlying/$H26)+(RiskFreeRate-DividendYield+0.5*BK26^2)*TimeToExpiration)/(BK26*TimeToExpiration^0.5), 0, 1, TRUE) - 
       $H26*EXP(-RiskFreeRate*TimeToExpiration)*_xlfn.NORM.DIST(BM$2*(LN(Underlying/$H26)+(RiskFreeRate-DividendYield-0.5*BK26^2)*TimeToExpiration)/(BK26*TimeToExpiration^0.5), 0, 1, TRUE)
)</f>
        <v>11.72484211</v>
      </c>
      <c r="BN26" s="7">
        <f>BN$2*(Underlying*EXP(-DividendYield*TimeToExpiration)*_xlfn.NORM.DIST(BN$2*(LN(Underlying/$H26)+(RiskFreeRate-DividendYield+0.5*BL26^2)*TimeToExpiration)/(BL26*TimeToExpiration^0.5), 0, 1, TRUE) - 
       $H26*EXP(-RiskFreeRate*TimeToExpiration)*_xlfn.NORM.DIST(BN$2*(LN(Underlying/$H26)+(RiskFreeRate-DividendYield-0.5*BL26^2)*TimeToExpiration)/(BL26*TimeToExpiration^0.5), 0, 1, TRUE)
)</f>
        <v>11.82747972</v>
      </c>
      <c r="BO26" s="40">
        <f t="shared" si="32"/>
        <v>0.3670888672</v>
      </c>
      <c r="BP26" s="8">
        <f>BP$2*(Underlying*EXP(-DividendYield*TimeToExpiration)*_xlfn.NORM.DIST(BP$2*(LN(Underlying/$H26)+(RiskFreeRate-DividendYield+0.5*BO26^2)*TimeToExpiration)/(BO26*TimeToExpiration^0.5), 0, 1, TRUE) - 
       $H26*EXP(-RiskFreeRate*TimeToExpiration)*_xlfn.NORM.DIST(BP$2*(LN(Underlying/$H26)+(RiskFreeRate-DividendYield-0.5*BO26^2)*TimeToExpiration)/(BO26*TimeToExpiration^0.5), 0, 1, TRUE)
)</f>
        <v>11.77612032</v>
      </c>
      <c r="BQ26" s="40">
        <f t="shared" si="33"/>
        <v>0.3641601563</v>
      </c>
      <c r="BR26" s="40">
        <f t="shared" si="34"/>
        <v>0.3670888672</v>
      </c>
      <c r="BS26" s="7">
        <f>BS$2*(Underlying*EXP(-DividendYield*TimeToExpiration)*_xlfn.NORM.DIST(BS$2*(LN(Underlying/$H26)+(RiskFreeRate-DividendYield+0.5*BQ26^2)*TimeToExpiration)/(BQ26*TimeToExpiration^0.5), 0, 1, TRUE) - 
       $H26*EXP(-RiskFreeRate*TimeToExpiration)*_xlfn.NORM.DIST(BS$2*(LN(Underlying/$H26)+(RiskFreeRate-DividendYield-0.5*BQ26^2)*TimeToExpiration)/(BQ26*TimeToExpiration^0.5), 0, 1, TRUE)
)</f>
        <v>11.72484211</v>
      </c>
      <c r="BT26" s="7">
        <f>BT$2*(Underlying*EXP(-DividendYield*TimeToExpiration)*_xlfn.NORM.DIST(BT$2*(LN(Underlying/$H26)+(RiskFreeRate-DividendYield+0.5*BR26^2)*TimeToExpiration)/(BR26*TimeToExpiration^0.5), 0, 1, TRUE) - 
       $H26*EXP(-RiskFreeRate*TimeToExpiration)*_xlfn.NORM.DIST(BT$2*(LN(Underlying/$H26)+(RiskFreeRate-DividendYield-0.5*BR26^2)*TimeToExpiration)/(BR26*TimeToExpiration^0.5), 0, 1, TRUE)
)</f>
        <v>11.77612032</v>
      </c>
      <c r="BU26" s="40">
        <f t="shared" si="35"/>
        <v>0.3656245117</v>
      </c>
      <c r="BV26" s="8">
        <f>BV$2*(Underlying*EXP(-DividendYield*TimeToExpiration)*_xlfn.NORM.DIST(BV$2*(LN(Underlying/$H26)+(RiskFreeRate-DividendYield+0.5*BU26^2)*TimeToExpiration)/(BU26*TimeToExpiration^0.5), 0, 1, TRUE) - 
       $H26*EXP(-RiskFreeRate*TimeToExpiration)*_xlfn.NORM.DIST(BV$2*(LN(Underlying/$H26)+(RiskFreeRate-DividendYield-0.5*BU26^2)*TimeToExpiration)/(BU26*TimeToExpiration^0.5), 0, 1, TRUE)
)</f>
        <v>11.75047095</v>
      </c>
      <c r="BW26" s="40">
        <f t="shared" si="36"/>
        <v>0.3641601563</v>
      </c>
      <c r="BX26" s="40">
        <f t="shared" si="37"/>
        <v>0.3656245117</v>
      </c>
      <c r="BY26" s="7">
        <f>BY$2*(Underlying*EXP(-DividendYield*TimeToExpiration)*_xlfn.NORM.DIST(BY$2*(LN(Underlying/$H26)+(RiskFreeRate-DividendYield+0.5*BW26^2)*TimeToExpiration)/(BW26*TimeToExpiration^0.5), 0, 1, TRUE) - 
       $H26*EXP(-RiskFreeRate*TimeToExpiration)*_xlfn.NORM.DIST(BY$2*(LN(Underlying/$H26)+(RiskFreeRate-DividendYield-0.5*BW26^2)*TimeToExpiration)/(BW26*TimeToExpiration^0.5), 0, 1, TRUE)
)</f>
        <v>11.72484211</v>
      </c>
      <c r="BZ26" s="7">
        <f>BZ$2*(Underlying*EXP(-DividendYield*TimeToExpiration)*_xlfn.NORM.DIST(BZ$2*(LN(Underlying/$H26)+(RiskFreeRate-DividendYield+0.5*BX26^2)*TimeToExpiration)/(BX26*TimeToExpiration^0.5), 0, 1, TRUE) - 
       $H26*EXP(-RiskFreeRate*TimeToExpiration)*_xlfn.NORM.DIST(BZ$2*(LN(Underlying/$H26)+(RiskFreeRate-DividendYield-0.5*BX26^2)*TimeToExpiration)/(BX26*TimeToExpiration^0.5), 0, 1, TRUE)
)</f>
        <v>11.75047095</v>
      </c>
      <c r="CA26" s="40">
        <f t="shared" si="38"/>
        <v>0.364892334</v>
      </c>
      <c r="CB26" s="8">
        <f>CB$2*(Underlying*EXP(-DividendYield*TimeToExpiration)*_xlfn.NORM.DIST(CB$2*(LN(Underlying/$H26)+(RiskFreeRate-DividendYield+0.5*CA26^2)*TimeToExpiration)/(CA26*TimeToExpiration^0.5), 0, 1, TRUE) - 
       $H26*EXP(-RiskFreeRate*TimeToExpiration)*_xlfn.NORM.DIST(CB$2*(LN(Underlying/$H26)+(RiskFreeRate-DividendYield-0.5*CA26^2)*TimeToExpiration)/(CA26*TimeToExpiration^0.5), 0, 1, TRUE)
)</f>
        <v>11.73765395</v>
      </c>
      <c r="CC26" s="40">
        <f t="shared" si="39"/>
        <v>0.3641601563</v>
      </c>
      <c r="CD26" s="40">
        <f t="shared" si="40"/>
        <v>0.364892334</v>
      </c>
      <c r="CE26" s="7">
        <f>CE$2*(Underlying*EXP(-DividendYield*TimeToExpiration)*_xlfn.NORM.DIST(CE$2*(LN(Underlying/$H26)+(RiskFreeRate-DividendYield+0.5*CC26^2)*TimeToExpiration)/(CC26*TimeToExpiration^0.5), 0, 1, TRUE) - 
       $H26*EXP(-RiskFreeRate*TimeToExpiration)*_xlfn.NORM.DIST(CE$2*(LN(Underlying/$H26)+(RiskFreeRate-DividendYield-0.5*CC26^2)*TimeToExpiration)/(CC26*TimeToExpiration^0.5), 0, 1, TRUE)
)</f>
        <v>11.72484211</v>
      </c>
      <c r="CF26" s="7">
        <f>CF$2*(Underlying*EXP(-DividendYield*TimeToExpiration)*_xlfn.NORM.DIST(CF$2*(LN(Underlying/$H26)+(RiskFreeRate-DividendYield+0.5*CD26^2)*TimeToExpiration)/(CD26*TimeToExpiration^0.5), 0, 1, TRUE) - 
       $H26*EXP(-RiskFreeRate*TimeToExpiration)*_xlfn.NORM.DIST(CF$2*(LN(Underlying/$H26)+(RiskFreeRate-DividendYield-0.5*CD26^2)*TimeToExpiration)/(CD26*TimeToExpiration^0.5), 0, 1, TRUE)
)</f>
        <v>11.73765395</v>
      </c>
      <c r="CG26" s="40">
        <f t="shared" si="41"/>
        <v>0.3645262451</v>
      </c>
      <c r="CH26" s="8">
        <f>CH$2*(Underlying*EXP(-DividendYield*TimeToExpiration)*_xlfn.NORM.DIST(CH$2*(LN(Underlying/$H26)+(RiskFreeRate-DividendYield+0.5*CG26^2)*TimeToExpiration)/(CG26*TimeToExpiration^0.5), 0, 1, TRUE) - 
       $H26*EXP(-RiskFreeRate*TimeToExpiration)*_xlfn.NORM.DIST(CH$2*(LN(Underlying/$H26)+(RiskFreeRate-DividendYield-0.5*CG26^2)*TimeToExpiration)/(CG26*TimeToExpiration^0.5), 0, 1, TRUE)
)</f>
        <v>11.73124738</v>
      </c>
      <c r="CI26" s="40">
        <f t="shared" si="42"/>
        <v>0.3641601563</v>
      </c>
      <c r="CJ26" s="40">
        <f t="shared" si="43"/>
        <v>0.3645262451</v>
      </c>
      <c r="CK26" s="7">
        <f>CK$2*(Underlying*EXP(-DividendYield*TimeToExpiration)*_xlfn.NORM.DIST(CK$2*(LN(Underlying/$H26)+(RiskFreeRate-DividendYield+0.5*CI26^2)*TimeToExpiration)/(CI26*TimeToExpiration^0.5), 0, 1, TRUE) - 
       $H26*EXP(-RiskFreeRate*TimeToExpiration)*_xlfn.NORM.DIST(CK$2*(LN(Underlying/$H26)+(RiskFreeRate-DividendYield-0.5*CI26^2)*TimeToExpiration)/(CI26*TimeToExpiration^0.5), 0, 1, TRUE)
)</f>
        <v>11.72484211</v>
      </c>
      <c r="CL26" s="7">
        <f>CL$2*(Underlying*EXP(-DividendYield*TimeToExpiration)*_xlfn.NORM.DIST(CL$2*(LN(Underlying/$H26)+(RiskFreeRate-DividendYield+0.5*CJ26^2)*TimeToExpiration)/(CJ26*TimeToExpiration^0.5), 0, 1, TRUE) - 
       $H26*EXP(-RiskFreeRate*TimeToExpiration)*_xlfn.NORM.DIST(CL$2*(LN(Underlying/$H26)+(RiskFreeRate-DividendYield-0.5*CJ26^2)*TimeToExpiration)/(CJ26*TimeToExpiration^0.5), 0, 1, TRUE)
)</f>
        <v>11.73124738</v>
      </c>
      <c r="CM26" s="40">
        <f t="shared" si="44"/>
        <v>0.3643432007</v>
      </c>
      <c r="CN26" s="8">
        <f>CN$2*(Underlying*EXP(-DividendYield*TimeToExpiration)*_xlfn.NORM.DIST(CN$2*(LN(Underlying/$H26)+(RiskFreeRate-DividendYield+0.5*CM26^2)*TimeToExpiration)/(CM26*TimeToExpiration^0.5), 0, 1, TRUE) - 
       $H26*EXP(-RiskFreeRate*TimeToExpiration)*_xlfn.NORM.DIST(CN$2*(LN(Underlying/$H26)+(RiskFreeRate-DividendYield-0.5*CM26^2)*TimeToExpiration)/(CM26*TimeToExpiration^0.5), 0, 1, TRUE)
)</f>
        <v>11.72804458</v>
      </c>
      <c r="CO26" s="40">
        <f t="shared" si="45"/>
        <v>0.3641601563</v>
      </c>
      <c r="CP26" s="40">
        <f t="shared" si="46"/>
        <v>0.3643432007</v>
      </c>
      <c r="CQ26" s="7">
        <f>CQ$2*(Underlying*EXP(-DividendYield*TimeToExpiration)*_xlfn.NORM.DIST(CQ$2*(LN(Underlying/$H26)+(RiskFreeRate-DividendYield+0.5*CO26^2)*TimeToExpiration)/(CO26*TimeToExpiration^0.5), 0, 1, TRUE) - 
       $H26*EXP(-RiskFreeRate*TimeToExpiration)*_xlfn.NORM.DIST(CQ$2*(LN(Underlying/$H26)+(RiskFreeRate-DividendYield-0.5*CO26^2)*TimeToExpiration)/(CO26*TimeToExpiration^0.5), 0, 1, TRUE)
)</f>
        <v>11.72484211</v>
      </c>
      <c r="CR26" s="7">
        <f>CR$2*(Underlying*EXP(-DividendYield*TimeToExpiration)*_xlfn.NORM.DIST(CR$2*(LN(Underlying/$H26)+(RiskFreeRate-DividendYield+0.5*CP26^2)*TimeToExpiration)/(CP26*TimeToExpiration^0.5), 0, 1, TRUE) - 
       $H26*EXP(-RiskFreeRate*TimeToExpiration)*_xlfn.NORM.DIST(CR$2*(LN(Underlying/$H26)+(RiskFreeRate-DividendYield-0.5*CP26^2)*TimeToExpiration)/(CP26*TimeToExpiration^0.5), 0, 1, TRUE)
)</f>
        <v>11.72804458</v>
      </c>
      <c r="CS26" s="40">
        <f t="shared" si="47"/>
        <v>0.3642516785</v>
      </c>
      <c r="CT26" s="8">
        <f>CT$2*(Underlying*EXP(-DividendYield*TimeToExpiration)*_xlfn.NORM.DIST(CT$2*(LN(Underlying/$H26)+(RiskFreeRate-DividendYield+0.5*CS26^2)*TimeToExpiration)/(CS26*TimeToExpiration^0.5), 0, 1, TRUE) - 
       $H26*EXP(-RiskFreeRate*TimeToExpiration)*_xlfn.NORM.DIST(CT$2*(LN(Underlying/$H26)+(RiskFreeRate-DividendYield-0.5*CS26^2)*TimeToExpiration)/(CS26*TimeToExpiration^0.5), 0, 1, TRUE)
)</f>
        <v>11.72644331</v>
      </c>
      <c r="CU26" s="40">
        <f t="shared" si="48"/>
        <v>0.3641601563</v>
      </c>
      <c r="CV26" s="40">
        <f t="shared" si="49"/>
        <v>0.3642516785</v>
      </c>
      <c r="CW26" s="7">
        <f>CW$2*(Underlying*EXP(-DividendYield*TimeToExpiration)*_xlfn.NORM.DIST(CW$2*(LN(Underlying/$H26)+(RiskFreeRate-DividendYield+0.5*CU26^2)*TimeToExpiration)/(CU26*TimeToExpiration^0.5), 0, 1, TRUE) - 
       $H26*EXP(-RiskFreeRate*TimeToExpiration)*_xlfn.NORM.DIST(CW$2*(LN(Underlying/$H26)+(RiskFreeRate-DividendYield-0.5*CU26^2)*TimeToExpiration)/(CU26*TimeToExpiration^0.5), 0, 1, TRUE)
)</f>
        <v>11.72484211</v>
      </c>
      <c r="CX26" s="7">
        <f>CX$2*(Underlying*EXP(-DividendYield*TimeToExpiration)*_xlfn.NORM.DIST(CX$2*(LN(Underlying/$H26)+(RiskFreeRate-DividendYield+0.5*CV26^2)*TimeToExpiration)/(CV26*TimeToExpiration^0.5), 0, 1, TRUE) - 
       $H26*EXP(-RiskFreeRate*TimeToExpiration)*_xlfn.NORM.DIST(CX$2*(LN(Underlying/$H26)+(RiskFreeRate-DividendYield-0.5*CV26^2)*TimeToExpiration)/(CV26*TimeToExpiration^0.5), 0, 1, TRUE)
)</f>
        <v>11.72644331</v>
      </c>
      <c r="CY26" s="40">
        <f t="shared" si="50"/>
        <v>0.3642059174</v>
      </c>
      <c r="CZ26" s="8">
        <f>CZ$2*(Underlying*EXP(-DividendYield*TimeToExpiration)*_xlfn.NORM.DIST(CZ$2*(LN(Underlying/$H26)+(RiskFreeRate-DividendYield+0.5*CY26^2)*TimeToExpiration)/(CY26*TimeToExpiration^0.5), 0, 1, TRUE) - 
       $H26*EXP(-RiskFreeRate*TimeToExpiration)*_xlfn.NORM.DIST(CZ$2*(LN(Underlying/$H26)+(RiskFreeRate-DividendYield-0.5*CY26^2)*TimeToExpiration)/(CY26*TimeToExpiration^0.5), 0, 1, TRUE)
)</f>
        <v>11.7256427</v>
      </c>
      <c r="DA26" s="40">
        <f t="shared" si="51"/>
        <v>0.3641601563</v>
      </c>
      <c r="DB26" s="40">
        <f t="shared" si="52"/>
        <v>0.3642059174</v>
      </c>
      <c r="DC26" s="7">
        <f>DC$2*(Underlying*EXP(-DividendYield*TimeToExpiration)*_xlfn.NORM.DIST(DC$2*(LN(Underlying/$H26)+(RiskFreeRate-DividendYield+0.5*DA26^2)*TimeToExpiration)/(DA26*TimeToExpiration^0.5), 0, 1, TRUE) - 
       $H26*EXP(-RiskFreeRate*TimeToExpiration)*_xlfn.NORM.DIST(DC$2*(LN(Underlying/$H26)+(RiskFreeRate-DividendYield-0.5*DA26^2)*TimeToExpiration)/(DA26*TimeToExpiration^0.5), 0, 1, TRUE)
)</f>
        <v>11.72484211</v>
      </c>
      <c r="DD26" s="7">
        <f>DD$2*(Underlying*EXP(-DividendYield*TimeToExpiration)*_xlfn.NORM.DIST(DD$2*(LN(Underlying/$H26)+(RiskFreeRate-DividendYield+0.5*DB26^2)*TimeToExpiration)/(DB26*TimeToExpiration^0.5), 0, 1, TRUE) - 
       $H26*EXP(-RiskFreeRate*TimeToExpiration)*_xlfn.NORM.DIST(DD$2*(LN(Underlying/$H26)+(RiskFreeRate-DividendYield-0.5*DB26^2)*TimeToExpiration)/(DB26*TimeToExpiration^0.5), 0, 1, TRUE)
)</f>
        <v>11.7256427</v>
      </c>
      <c r="DE26" s="40">
        <f t="shared" si="53"/>
        <v>0.3641830368</v>
      </c>
      <c r="DF26" s="8">
        <f>DF$2*(Underlying*EXP(-DividendYield*TimeToExpiration)*_xlfn.NORM.DIST(DF$2*(LN(Underlying/$H26)+(RiskFreeRate-DividendYield+0.5*DE26^2)*TimeToExpiration)/(DE26*TimeToExpiration^0.5), 0, 1, TRUE) - 
       $H26*EXP(-RiskFreeRate*TimeToExpiration)*_xlfn.NORM.DIST(DF$2*(LN(Underlying/$H26)+(RiskFreeRate-DividendYield-0.5*DE26^2)*TimeToExpiration)/(DE26*TimeToExpiration^0.5), 0, 1, TRUE)
)</f>
        <v>11.7252424</v>
      </c>
    </row>
    <row r="27">
      <c r="A27" s="20">
        <f>'Option Mkt Data'!A27</f>
        <v>350</v>
      </c>
      <c r="B27" s="35">
        <f t="shared" ref="B27:C27" si="74">DE27</f>
        <v>0.3662422867</v>
      </c>
      <c r="C27" s="7">
        <f t="shared" si="74"/>
        <v>13.52482961</v>
      </c>
      <c r="D27" s="7">
        <f t="shared" si="3"/>
        <v>0.0001704899314</v>
      </c>
      <c r="E27" s="9">
        <f t="shared" si="4"/>
        <v>0.00001260554013</v>
      </c>
      <c r="F27" s="36">
        <f>D27/'Option Mkt Data'!M27</f>
        <v>0.001136595224</v>
      </c>
      <c r="G27" s="5">
        <f>'Option Mkt Data'!K27</f>
        <v>13.5250001</v>
      </c>
      <c r="H27" s="33">
        <f>'Option Mkt Data'!A27</f>
        <v>350</v>
      </c>
      <c r="I27" s="37">
        <f>MinSolverVola</f>
        <v>0.001</v>
      </c>
      <c r="J27" s="38">
        <f>MaxSolverVola</f>
        <v>3</v>
      </c>
      <c r="K27" s="39">
        <f>K$2*(Underlying*EXP(-DividendYield*TimeToExpiration)*_xlfn.NORM.DIST(K$2*(LN(Underlying/$H27)+(RiskFreeRate-DividendYield+0.5*I27^2)*TimeToExpiration)/(I27*TimeToExpiration^0.5), 0, 1, TRUE) - 
       $H27*EXP(-RiskFreeRate*TimeToExpiration)*_xlfn.NORM.DIST(K$2*(LN(Underlying/$H27)+(RiskFreeRate-DividendYield-0.5*I27^2)*TimeToExpiration)/(I27*TimeToExpiration^0.5), 0, 1, TRUE)
)</f>
        <v>10.44482258</v>
      </c>
      <c r="L27" s="7">
        <f>L$2*(Underlying*EXP(-DividendYield*TimeToExpiration)*_xlfn.NORM.DIST(L$2*(LN(Underlying/$H27)+(RiskFreeRate-DividendYield+0.5*J27^2)*TimeToExpiration)/(J27*TimeToExpiration^0.5), 0, 1, TRUE) - 
       $H27*EXP(-RiskFreeRate*TimeToExpiration)*_xlfn.NORM.DIST(L$2*(LN(Underlying/$H27)+(RiskFreeRate-DividendYield-0.5*J27^2)*TimeToExpiration)/(J27*TimeToExpiration^0.5), 0, 1, TRUE)
)</f>
        <v>63.23517923</v>
      </c>
      <c r="M27" s="40">
        <f t="shared" si="5"/>
        <v>1.5005</v>
      </c>
      <c r="N27" s="8">
        <f>N$2*(Underlying*EXP(-DividendYield*TimeToExpiration)*_xlfn.NORM.DIST(N$2*(LN(Underlying/$H27)+(RiskFreeRate-DividendYield+0.5*M27^2)*TimeToExpiration)/(M27*TimeToExpiration^0.5), 0, 1, TRUE) - 
       $H27*EXP(-RiskFreeRate*TimeToExpiration)*_xlfn.NORM.DIST(N$2*(LN(Underlying/$H27)+(RiskFreeRate-DividendYield-0.5*M27^2)*TimeToExpiration)/(M27*TimeToExpiration^0.5), 0, 1, TRUE)
)</f>
        <v>34.62382567</v>
      </c>
      <c r="O27" s="41">
        <f t="shared" si="6"/>
        <v>0.001</v>
      </c>
      <c r="P27" s="40">
        <f t="shared" si="7"/>
        <v>1.5005</v>
      </c>
      <c r="Q27" s="7">
        <f>Q$2*(Underlying*EXP(-DividendYield*TimeToExpiration)*_xlfn.NORM.DIST(Q$2*(LN(Underlying/$H27)+(RiskFreeRate-DividendYield+0.5*O27^2)*TimeToExpiration)/(O27*TimeToExpiration^0.5), 0, 1, TRUE) - 
       $H27*EXP(-RiskFreeRate*TimeToExpiration)*_xlfn.NORM.DIST(Q$2*(LN(Underlying/$H27)+(RiskFreeRate-DividendYield-0.5*O27^2)*TimeToExpiration)/(O27*TimeToExpiration^0.5), 0, 1, TRUE)
)</f>
        <v>10.44482258</v>
      </c>
      <c r="R27" s="7">
        <f>R$2*(Underlying*EXP(-DividendYield*TimeToExpiration)*_xlfn.NORM.DIST(R$2*(LN(Underlying/$H27)+(RiskFreeRate-DividendYield+0.5*P27^2)*TimeToExpiration)/(P27*TimeToExpiration^0.5), 0, 1, TRUE) - 
       $H27*EXP(-RiskFreeRate*TimeToExpiration)*_xlfn.NORM.DIST(R$2*(LN(Underlying/$H27)+(RiskFreeRate-DividendYield-0.5*P27^2)*TimeToExpiration)/(P27*TimeToExpiration^0.5), 0, 1, TRUE)
)</f>
        <v>34.62382567</v>
      </c>
      <c r="S27" s="40">
        <f t="shared" si="8"/>
        <v>0.75075</v>
      </c>
      <c r="T27" s="8">
        <f>T$2*(Underlying*EXP(-DividendYield*TimeToExpiration)*_xlfn.NORM.DIST(T$2*(LN(Underlying/$H27)+(RiskFreeRate-DividendYield+0.5*S27^2)*TimeToExpiration)/(S27*TimeToExpiration^0.5), 0, 1, TRUE) - 
       $H27*EXP(-RiskFreeRate*TimeToExpiration)*_xlfn.NORM.DIST(T$2*(LN(Underlying/$H27)+(RiskFreeRate-DividendYield-0.5*S27^2)*TimeToExpiration)/(S27*TimeToExpiration^0.5), 0, 1, TRUE)
)</f>
        <v>20.39573426</v>
      </c>
      <c r="U27" s="41">
        <f t="shared" si="9"/>
        <v>0.001</v>
      </c>
      <c r="V27" s="40">
        <f t="shared" si="10"/>
        <v>0.75075</v>
      </c>
      <c r="W27" s="7">
        <f>W$2*(Underlying*EXP(-DividendYield*TimeToExpiration)*_xlfn.NORM.DIST(W$2*(LN(Underlying/$H27)+(RiskFreeRate-DividendYield+0.5*U27^2)*TimeToExpiration)/(U27*TimeToExpiration^0.5), 0, 1, TRUE) - 
       $H27*EXP(-RiskFreeRate*TimeToExpiration)*_xlfn.NORM.DIST(W$2*(LN(Underlying/$H27)+(RiskFreeRate-DividendYield-0.5*U27^2)*TimeToExpiration)/(U27*TimeToExpiration^0.5), 0, 1, TRUE)
)</f>
        <v>10.44482258</v>
      </c>
      <c r="X27" s="7">
        <f>X$2*(Underlying*EXP(-DividendYield*TimeToExpiration)*_xlfn.NORM.DIST(X$2*(LN(Underlying/$H27)+(RiskFreeRate-DividendYield+0.5*V27^2)*TimeToExpiration)/(V27*TimeToExpiration^0.5), 0, 1, TRUE) - 
       $H27*EXP(-RiskFreeRate*TimeToExpiration)*_xlfn.NORM.DIST(X$2*(LN(Underlying/$H27)+(RiskFreeRate-DividendYield-0.5*V27^2)*TimeToExpiration)/(V27*TimeToExpiration^0.5), 0, 1, TRUE)
)</f>
        <v>20.39573426</v>
      </c>
      <c r="Y27" s="40">
        <f t="shared" si="11"/>
        <v>0.375875</v>
      </c>
      <c r="Z27" s="8">
        <f>Z$2*(Underlying*EXP(-DividendYield*TimeToExpiration)*_xlfn.NORM.DIST(Z$2*(LN(Underlying/$H27)+(RiskFreeRate-DividendYield+0.5*Y27^2)*TimeToExpiration)/(Y27*TimeToExpiration^0.5), 0, 1, TRUE) - 
       $H27*EXP(-RiskFreeRate*TimeToExpiration)*_xlfn.NORM.DIST(Z$2*(LN(Underlying/$H27)+(RiskFreeRate-DividendYield-0.5*Y27^2)*TimeToExpiration)/(Y27*TimeToExpiration^0.5), 0, 1, TRUE)
)</f>
        <v>13.68316564</v>
      </c>
      <c r="AA27" s="41">
        <f t="shared" si="12"/>
        <v>0.001</v>
      </c>
      <c r="AB27" s="40">
        <f t="shared" si="13"/>
        <v>0.375875</v>
      </c>
      <c r="AC27" s="7">
        <f>AC$2*(Underlying*EXP(-DividendYield*TimeToExpiration)*_xlfn.NORM.DIST(AC$2*(LN(Underlying/$H27)+(RiskFreeRate-DividendYield+0.5*AA27^2)*TimeToExpiration)/(AA27*TimeToExpiration^0.5), 0, 1, TRUE) - 
       $H27*EXP(-RiskFreeRate*TimeToExpiration)*_xlfn.NORM.DIST(AC$2*(LN(Underlying/$H27)+(RiskFreeRate-DividendYield-0.5*AA27^2)*TimeToExpiration)/(AA27*TimeToExpiration^0.5), 0, 1, TRUE)
)</f>
        <v>10.44482258</v>
      </c>
      <c r="AD27" s="7">
        <f>AD$2*(Underlying*EXP(-DividendYield*TimeToExpiration)*_xlfn.NORM.DIST(AD$2*(LN(Underlying/$H27)+(RiskFreeRate-DividendYield+0.5*AB27^2)*TimeToExpiration)/(AB27*TimeToExpiration^0.5), 0, 1, TRUE) - 
       $H27*EXP(-RiskFreeRate*TimeToExpiration)*_xlfn.NORM.DIST(AD$2*(LN(Underlying/$H27)+(RiskFreeRate-DividendYield-0.5*AB27^2)*TimeToExpiration)/(AB27*TimeToExpiration^0.5), 0, 1, TRUE)
)</f>
        <v>13.68316564</v>
      </c>
      <c r="AE27" s="40">
        <f t="shared" si="14"/>
        <v>0.1884375</v>
      </c>
      <c r="AF27" s="8">
        <f>AF$2*(Underlying*EXP(-DividendYield*TimeToExpiration)*_xlfn.NORM.DIST(AF$2*(LN(Underlying/$H27)+(RiskFreeRate-DividendYield+0.5*AE27^2)*TimeToExpiration)/(AE27*TimeToExpiration^0.5), 0, 1, TRUE) - 
       $H27*EXP(-RiskFreeRate*TimeToExpiration)*_xlfn.NORM.DIST(AF$2*(LN(Underlying/$H27)+(RiskFreeRate-DividendYield-0.5*AE27^2)*TimeToExpiration)/(AE27*TimeToExpiration^0.5), 0, 1, TRUE)
)</f>
        <v>11.02878308</v>
      </c>
      <c r="AG27" s="40">
        <f t="shared" si="15"/>
        <v>0.1884375</v>
      </c>
      <c r="AH27" s="40">
        <f t="shared" si="16"/>
        <v>0.375875</v>
      </c>
      <c r="AI27" s="7">
        <f>AI$2*(Underlying*EXP(-DividendYield*TimeToExpiration)*_xlfn.NORM.DIST(AI$2*(LN(Underlying/$H27)+(RiskFreeRate-DividendYield+0.5*AG27^2)*TimeToExpiration)/(AG27*TimeToExpiration^0.5), 0, 1, TRUE) - 
       $H27*EXP(-RiskFreeRate*TimeToExpiration)*_xlfn.NORM.DIST(AI$2*(LN(Underlying/$H27)+(RiskFreeRate-DividendYield-0.5*AG27^2)*TimeToExpiration)/(AG27*TimeToExpiration^0.5), 0, 1, TRUE)
)</f>
        <v>11.02878308</v>
      </c>
      <c r="AJ27" s="7">
        <f>AJ$2*(Underlying*EXP(-DividendYield*TimeToExpiration)*_xlfn.NORM.DIST(AJ$2*(LN(Underlying/$H27)+(RiskFreeRate-DividendYield+0.5*AH27^2)*TimeToExpiration)/(AH27*TimeToExpiration^0.5), 0, 1, TRUE) - 
       $H27*EXP(-RiskFreeRate*TimeToExpiration)*_xlfn.NORM.DIST(AJ$2*(LN(Underlying/$H27)+(RiskFreeRate-DividendYield-0.5*AH27^2)*TimeToExpiration)/(AH27*TimeToExpiration^0.5), 0, 1, TRUE)
)</f>
        <v>13.68316564</v>
      </c>
      <c r="AK27" s="40">
        <f t="shared" si="17"/>
        <v>0.28215625</v>
      </c>
      <c r="AL27" s="8">
        <f>AL$2*(Underlying*EXP(-DividendYield*TimeToExpiration)*_xlfn.NORM.DIST(AL$2*(LN(Underlying/$H27)+(RiskFreeRate-DividendYield+0.5*AK27^2)*TimeToExpiration)/(AK27*TimeToExpiration^0.5), 0, 1, TRUE) - 
       $H27*EXP(-RiskFreeRate*TimeToExpiration)*_xlfn.NORM.DIST(AL$2*(LN(Underlying/$H27)+(RiskFreeRate-DividendYield-0.5*AK27^2)*TimeToExpiration)/(AK27*TimeToExpiration^0.5), 0, 1, TRUE)
)</f>
        <v>12.21642702</v>
      </c>
      <c r="AM27" s="40">
        <f t="shared" si="18"/>
        <v>0.28215625</v>
      </c>
      <c r="AN27" s="40">
        <f t="shared" si="19"/>
        <v>0.375875</v>
      </c>
      <c r="AO27" s="7">
        <f>AO$2*(Underlying*EXP(-DividendYield*TimeToExpiration)*_xlfn.NORM.DIST(AO$2*(LN(Underlying/$H27)+(RiskFreeRate-DividendYield+0.5*AM27^2)*TimeToExpiration)/(AM27*TimeToExpiration^0.5), 0, 1, TRUE) - 
       $H27*EXP(-RiskFreeRate*TimeToExpiration)*_xlfn.NORM.DIST(AO$2*(LN(Underlying/$H27)+(RiskFreeRate-DividendYield-0.5*AM27^2)*TimeToExpiration)/(AM27*TimeToExpiration^0.5), 0, 1, TRUE)
)</f>
        <v>12.21642702</v>
      </c>
      <c r="AP27" s="7">
        <f>AP$2*(Underlying*EXP(-DividendYield*TimeToExpiration)*_xlfn.NORM.DIST(AP$2*(LN(Underlying/$H27)+(RiskFreeRate-DividendYield+0.5*AN27^2)*TimeToExpiration)/(AN27*TimeToExpiration^0.5), 0, 1, TRUE) - 
       $H27*EXP(-RiskFreeRate*TimeToExpiration)*_xlfn.NORM.DIST(AP$2*(LN(Underlying/$H27)+(RiskFreeRate-DividendYield-0.5*AN27^2)*TimeToExpiration)/(AN27*TimeToExpiration^0.5), 0, 1, TRUE)
)</f>
        <v>13.68316564</v>
      </c>
      <c r="AQ27" s="40">
        <f t="shared" si="20"/>
        <v>0.329015625</v>
      </c>
      <c r="AR27" s="8">
        <f>AR$2*(Underlying*EXP(-DividendYield*TimeToExpiration)*_xlfn.NORM.DIST(AR$2*(LN(Underlying/$H27)+(RiskFreeRate-DividendYield+0.5*AQ27^2)*TimeToExpiration)/(AQ27*TimeToExpiration^0.5), 0, 1, TRUE) - 
       $H27*EXP(-RiskFreeRate*TimeToExpiration)*_xlfn.NORM.DIST(AR$2*(LN(Underlying/$H27)+(RiskFreeRate-DividendYield-0.5*AQ27^2)*TimeToExpiration)/(AQ27*TimeToExpiration^0.5), 0, 1, TRUE)
)</f>
        <v>12.92724092</v>
      </c>
      <c r="AS27" s="40">
        <f t="shared" si="21"/>
        <v>0.329015625</v>
      </c>
      <c r="AT27" s="40">
        <f t="shared" si="22"/>
        <v>0.375875</v>
      </c>
      <c r="AU27" s="7">
        <f>AU$2*(Underlying*EXP(-DividendYield*TimeToExpiration)*_xlfn.NORM.DIST(AU$2*(LN(Underlying/$H27)+(RiskFreeRate-DividendYield+0.5*AS27^2)*TimeToExpiration)/(AS27*TimeToExpiration^0.5), 0, 1, TRUE) - 
       $H27*EXP(-RiskFreeRate*TimeToExpiration)*_xlfn.NORM.DIST(AU$2*(LN(Underlying/$H27)+(RiskFreeRate-DividendYield-0.5*AS27^2)*TimeToExpiration)/(AS27*TimeToExpiration^0.5), 0, 1, TRUE)
)</f>
        <v>12.92724092</v>
      </c>
      <c r="AV27" s="7">
        <f>AV$2*(Underlying*EXP(-DividendYield*TimeToExpiration)*_xlfn.NORM.DIST(AV$2*(LN(Underlying/$H27)+(RiskFreeRate-DividendYield+0.5*AT27^2)*TimeToExpiration)/(AT27*TimeToExpiration^0.5), 0, 1, TRUE) - 
       $H27*EXP(-RiskFreeRate*TimeToExpiration)*_xlfn.NORM.DIST(AV$2*(LN(Underlying/$H27)+(RiskFreeRate-DividendYield-0.5*AT27^2)*TimeToExpiration)/(AT27*TimeToExpiration^0.5), 0, 1, TRUE)
)</f>
        <v>13.68316564</v>
      </c>
      <c r="AW27" s="40">
        <f t="shared" si="23"/>
        <v>0.3524453125</v>
      </c>
      <c r="AX27" s="8">
        <f>AX$2*(Underlying*EXP(-DividendYield*TimeToExpiration)*_xlfn.NORM.DIST(AX$2*(LN(Underlying/$H27)+(RiskFreeRate-DividendYield+0.5*AW27^2)*TimeToExpiration)/(AW27*TimeToExpiration^0.5), 0, 1, TRUE) - 
       $H27*EXP(-RiskFreeRate*TimeToExpiration)*_xlfn.NORM.DIST(AX$2*(LN(Underlying/$H27)+(RiskFreeRate-DividendYield-0.5*AW27^2)*TimeToExpiration)/(AW27*TimeToExpiration^0.5), 0, 1, TRUE)
)</f>
        <v>13.3005423</v>
      </c>
      <c r="AY27" s="40">
        <f t="shared" si="24"/>
        <v>0.3524453125</v>
      </c>
      <c r="AZ27" s="40">
        <f t="shared" si="25"/>
        <v>0.375875</v>
      </c>
      <c r="BA27" s="7">
        <f>BA$2*(Underlying*EXP(-DividendYield*TimeToExpiration)*_xlfn.NORM.DIST(BA$2*(LN(Underlying/$H27)+(RiskFreeRate-DividendYield+0.5*AY27^2)*TimeToExpiration)/(AY27*TimeToExpiration^0.5), 0, 1, TRUE) - 
       $H27*EXP(-RiskFreeRate*TimeToExpiration)*_xlfn.NORM.DIST(BA$2*(LN(Underlying/$H27)+(RiskFreeRate-DividendYield-0.5*AY27^2)*TimeToExpiration)/(AY27*TimeToExpiration^0.5), 0, 1, TRUE)
)</f>
        <v>13.3005423</v>
      </c>
      <c r="BB27" s="7">
        <f>BB$2*(Underlying*EXP(-DividendYield*TimeToExpiration)*_xlfn.NORM.DIST(BB$2*(LN(Underlying/$H27)+(RiskFreeRate-DividendYield+0.5*AZ27^2)*TimeToExpiration)/(AZ27*TimeToExpiration^0.5), 0, 1, TRUE) - 
       $H27*EXP(-RiskFreeRate*TimeToExpiration)*_xlfn.NORM.DIST(BB$2*(LN(Underlying/$H27)+(RiskFreeRate-DividendYield-0.5*AZ27^2)*TimeToExpiration)/(AZ27*TimeToExpiration^0.5), 0, 1, TRUE)
)</f>
        <v>13.68316564</v>
      </c>
      <c r="BC27" s="40">
        <f t="shared" si="26"/>
        <v>0.3641601563</v>
      </c>
      <c r="BD27" s="8">
        <f>BD$2*(Underlying*EXP(-DividendYield*TimeToExpiration)*_xlfn.NORM.DIST(BD$2*(LN(Underlying/$H27)+(RiskFreeRate-DividendYield+0.5*BC27^2)*TimeToExpiration)/(BC27*TimeToExpiration^0.5), 0, 1, TRUE) - 
       $H27*EXP(-RiskFreeRate*TimeToExpiration)*_xlfn.NORM.DIST(BD$2*(LN(Underlying/$H27)+(RiskFreeRate-DividendYield-0.5*BC27^2)*TimeToExpiration)/(BC27*TimeToExpiration^0.5), 0, 1, TRUE)
)</f>
        <v>13.49078806</v>
      </c>
      <c r="BE27" s="40">
        <f t="shared" si="27"/>
        <v>0.3641601563</v>
      </c>
      <c r="BF27" s="40">
        <f t="shared" si="28"/>
        <v>0.375875</v>
      </c>
      <c r="BG27" s="7">
        <f>BG$2*(Underlying*EXP(-DividendYield*TimeToExpiration)*_xlfn.NORM.DIST(BG$2*(LN(Underlying/$H27)+(RiskFreeRate-DividendYield+0.5*BE27^2)*TimeToExpiration)/(BE27*TimeToExpiration^0.5), 0, 1, TRUE) - 
       $H27*EXP(-RiskFreeRate*TimeToExpiration)*_xlfn.NORM.DIST(BG$2*(LN(Underlying/$H27)+(RiskFreeRate-DividendYield-0.5*BE27^2)*TimeToExpiration)/(BE27*TimeToExpiration^0.5), 0, 1, TRUE)
)</f>
        <v>13.49078806</v>
      </c>
      <c r="BH27" s="7">
        <f>BH$2*(Underlying*EXP(-DividendYield*TimeToExpiration)*_xlfn.NORM.DIST(BH$2*(LN(Underlying/$H27)+(RiskFreeRate-DividendYield+0.5*BF27^2)*TimeToExpiration)/(BF27*TimeToExpiration^0.5), 0, 1, TRUE) - 
       $H27*EXP(-RiskFreeRate*TimeToExpiration)*_xlfn.NORM.DIST(BH$2*(LN(Underlying/$H27)+(RiskFreeRate-DividendYield-0.5*BF27^2)*TimeToExpiration)/(BF27*TimeToExpiration^0.5), 0, 1, TRUE)
)</f>
        <v>13.68316564</v>
      </c>
      <c r="BI27" s="40">
        <f t="shared" si="29"/>
        <v>0.3700175781</v>
      </c>
      <c r="BJ27" s="8">
        <f>BJ$2*(Underlying*EXP(-DividendYield*TimeToExpiration)*_xlfn.NORM.DIST(BJ$2*(LN(Underlying/$H27)+(RiskFreeRate-DividendYield+0.5*BI27^2)*TimeToExpiration)/(BI27*TimeToExpiration^0.5), 0, 1, TRUE) - 
       $H27*EXP(-RiskFreeRate*TimeToExpiration)*_xlfn.NORM.DIST(BJ$2*(LN(Underlying/$H27)+(RiskFreeRate-DividendYield-0.5*BI27^2)*TimeToExpiration)/(BI27*TimeToExpiration^0.5), 0, 1, TRUE)
)</f>
        <v>13.58672163</v>
      </c>
      <c r="BK27" s="40">
        <f t="shared" si="30"/>
        <v>0.3641601563</v>
      </c>
      <c r="BL27" s="40">
        <f t="shared" si="31"/>
        <v>0.3700175781</v>
      </c>
      <c r="BM27" s="7">
        <f>BM$2*(Underlying*EXP(-DividendYield*TimeToExpiration)*_xlfn.NORM.DIST(BM$2*(LN(Underlying/$H27)+(RiskFreeRate-DividendYield+0.5*BK27^2)*TimeToExpiration)/(BK27*TimeToExpiration^0.5), 0, 1, TRUE) - 
       $H27*EXP(-RiskFreeRate*TimeToExpiration)*_xlfn.NORM.DIST(BM$2*(LN(Underlying/$H27)+(RiskFreeRate-DividendYield-0.5*BK27^2)*TimeToExpiration)/(BK27*TimeToExpiration^0.5), 0, 1, TRUE)
)</f>
        <v>13.49078806</v>
      </c>
      <c r="BN27" s="7">
        <f>BN$2*(Underlying*EXP(-DividendYield*TimeToExpiration)*_xlfn.NORM.DIST(BN$2*(LN(Underlying/$H27)+(RiskFreeRate-DividendYield+0.5*BL27^2)*TimeToExpiration)/(BL27*TimeToExpiration^0.5), 0, 1, TRUE) - 
       $H27*EXP(-RiskFreeRate*TimeToExpiration)*_xlfn.NORM.DIST(BN$2*(LN(Underlying/$H27)+(RiskFreeRate-DividendYield-0.5*BL27^2)*TimeToExpiration)/(BL27*TimeToExpiration^0.5), 0, 1, TRUE)
)</f>
        <v>13.58672163</v>
      </c>
      <c r="BO27" s="40">
        <f t="shared" si="32"/>
        <v>0.3670888672</v>
      </c>
      <c r="BP27" s="8">
        <f>BP$2*(Underlying*EXP(-DividendYield*TimeToExpiration)*_xlfn.NORM.DIST(BP$2*(LN(Underlying/$H27)+(RiskFreeRate-DividendYield+0.5*BO27^2)*TimeToExpiration)/(BO27*TimeToExpiration^0.5), 0, 1, TRUE) - 
       $H27*EXP(-RiskFreeRate*TimeToExpiration)*_xlfn.NORM.DIST(BP$2*(LN(Underlying/$H27)+(RiskFreeRate-DividendYield-0.5*BO27^2)*TimeToExpiration)/(BO27*TimeToExpiration^0.5), 0, 1, TRUE)
)</f>
        <v>13.53868968</v>
      </c>
      <c r="BQ27" s="40">
        <f t="shared" si="33"/>
        <v>0.3641601563</v>
      </c>
      <c r="BR27" s="40">
        <f t="shared" si="34"/>
        <v>0.3670888672</v>
      </c>
      <c r="BS27" s="7">
        <f>BS$2*(Underlying*EXP(-DividendYield*TimeToExpiration)*_xlfn.NORM.DIST(BS$2*(LN(Underlying/$H27)+(RiskFreeRate-DividendYield+0.5*BQ27^2)*TimeToExpiration)/(BQ27*TimeToExpiration^0.5), 0, 1, TRUE) - 
       $H27*EXP(-RiskFreeRate*TimeToExpiration)*_xlfn.NORM.DIST(BS$2*(LN(Underlying/$H27)+(RiskFreeRate-DividendYield-0.5*BQ27^2)*TimeToExpiration)/(BQ27*TimeToExpiration^0.5), 0, 1, TRUE)
)</f>
        <v>13.49078806</v>
      </c>
      <c r="BT27" s="7">
        <f>BT$2*(Underlying*EXP(-DividendYield*TimeToExpiration)*_xlfn.NORM.DIST(BT$2*(LN(Underlying/$H27)+(RiskFreeRate-DividendYield+0.5*BR27^2)*TimeToExpiration)/(BR27*TimeToExpiration^0.5), 0, 1, TRUE) - 
       $H27*EXP(-RiskFreeRate*TimeToExpiration)*_xlfn.NORM.DIST(BT$2*(LN(Underlying/$H27)+(RiskFreeRate-DividendYield-0.5*BR27^2)*TimeToExpiration)/(BR27*TimeToExpiration^0.5), 0, 1, TRUE)
)</f>
        <v>13.53868968</v>
      </c>
      <c r="BU27" s="40">
        <f t="shared" si="35"/>
        <v>0.3656245117</v>
      </c>
      <c r="BV27" s="8">
        <f>BV$2*(Underlying*EXP(-DividendYield*TimeToExpiration)*_xlfn.NORM.DIST(BV$2*(LN(Underlying/$H27)+(RiskFreeRate-DividendYield+0.5*BU27^2)*TimeToExpiration)/(BU27*TimeToExpiration^0.5), 0, 1, TRUE) - 
       $H27*EXP(-RiskFreeRate*TimeToExpiration)*_xlfn.NORM.DIST(BV$2*(LN(Underlying/$H27)+(RiskFreeRate-DividendYield-0.5*BU27^2)*TimeToExpiration)/(BU27*TimeToExpiration^0.5), 0, 1, TRUE)
)</f>
        <v>13.51472241</v>
      </c>
      <c r="BW27" s="40">
        <f t="shared" si="36"/>
        <v>0.3656245117</v>
      </c>
      <c r="BX27" s="40">
        <f t="shared" si="37"/>
        <v>0.3670888672</v>
      </c>
      <c r="BY27" s="7">
        <f>BY$2*(Underlying*EXP(-DividendYield*TimeToExpiration)*_xlfn.NORM.DIST(BY$2*(LN(Underlying/$H27)+(RiskFreeRate-DividendYield+0.5*BW27^2)*TimeToExpiration)/(BW27*TimeToExpiration^0.5), 0, 1, TRUE) - 
       $H27*EXP(-RiskFreeRate*TimeToExpiration)*_xlfn.NORM.DIST(BY$2*(LN(Underlying/$H27)+(RiskFreeRate-DividendYield-0.5*BW27^2)*TimeToExpiration)/(BW27*TimeToExpiration^0.5), 0, 1, TRUE)
)</f>
        <v>13.51472241</v>
      </c>
      <c r="BZ27" s="7">
        <f>BZ$2*(Underlying*EXP(-DividendYield*TimeToExpiration)*_xlfn.NORM.DIST(BZ$2*(LN(Underlying/$H27)+(RiskFreeRate-DividendYield+0.5*BX27^2)*TimeToExpiration)/(BX27*TimeToExpiration^0.5), 0, 1, TRUE) - 
       $H27*EXP(-RiskFreeRate*TimeToExpiration)*_xlfn.NORM.DIST(BZ$2*(LN(Underlying/$H27)+(RiskFreeRate-DividendYield-0.5*BX27^2)*TimeToExpiration)/(BX27*TimeToExpiration^0.5), 0, 1, TRUE)
)</f>
        <v>13.53868968</v>
      </c>
      <c r="CA27" s="40">
        <f t="shared" si="38"/>
        <v>0.3663566895</v>
      </c>
      <c r="CB27" s="8">
        <f>CB$2*(Underlying*EXP(-DividendYield*TimeToExpiration)*_xlfn.NORM.DIST(CB$2*(LN(Underlying/$H27)+(RiskFreeRate-DividendYield+0.5*CA27^2)*TimeToExpiration)/(CA27*TimeToExpiration^0.5), 0, 1, TRUE) - 
       $H27*EXP(-RiskFreeRate*TimeToExpiration)*_xlfn.NORM.DIST(CB$2*(LN(Underlying/$H27)+(RiskFreeRate-DividendYield-0.5*CA27^2)*TimeToExpiration)/(CA27*TimeToExpiration^0.5), 0, 1, TRUE)
)</f>
        <v>13.52670195</v>
      </c>
      <c r="CC27" s="40">
        <f t="shared" si="39"/>
        <v>0.3656245117</v>
      </c>
      <c r="CD27" s="40">
        <f t="shared" si="40"/>
        <v>0.3663566895</v>
      </c>
      <c r="CE27" s="7">
        <f>CE$2*(Underlying*EXP(-DividendYield*TimeToExpiration)*_xlfn.NORM.DIST(CE$2*(LN(Underlying/$H27)+(RiskFreeRate-DividendYield+0.5*CC27^2)*TimeToExpiration)/(CC27*TimeToExpiration^0.5), 0, 1, TRUE) - 
       $H27*EXP(-RiskFreeRate*TimeToExpiration)*_xlfn.NORM.DIST(CE$2*(LN(Underlying/$H27)+(RiskFreeRate-DividendYield-0.5*CC27^2)*TimeToExpiration)/(CC27*TimeToExpiration^0.5), 0, 1, TRUE)
)</f>
        <v>13.51472241</v>
      </c>
      <c r="CF27" s="7">
        <f>CF$2*(Underlying*EXP(-DividendYield*TimeToExpiration)*_xlfn.NORM.DIST(CF$2*(LN(Underlying/$H27)+(RiskFreeRate-DividendYield+0.5*CD27^2)*TimeToExpiration)/(CD27*TimeToExpiration^0.5), 0, 1, TRUE) - 
       $H27*EXP(-RiskFreeRate*TimeToExpiration)*_xlfn.NORM.DIST(CF$2*(LN(Underlying/$H27)+(RiskFreeRate-DividendYield-0.5*CD27^2)*TimeToExpiration)/(CD27*TimeToExpiration^0.5), 0, 1, TRUE)
)</f>
        <v>13.52670195</v>
      </c>
      <c r="CG27" s="40">
        <f t="shared" si="41"/>
        <v>0.3659906006</v>
      </c>
      <c r="CH27" s="8">
        <f>CH$2*(Underlying*EXP(-DividendYield*TimeToExpiration)*_xlfn.NORM.DIST(CH$2*(LN(Underlying/$H27)+(RiskFreeRate-DividendYield+0.5*CG27^2)*TimeToExpiration)/(CG27*TimeToExpiration^0.5), 0, 1, TRUE) - 
       $H27*EXP(-RiskFreeRate*TimeToExpiration)*_xlfn.NORM.DIST(CH$2*(LN(Underlying/$H27)+(RiskFreeRate-DividendYield-0.5*CG27^2)*TimeToExpiration)/(CG27*TimeToExpiration^0.5), 0, 1, TRUE)
)</f>
        <v>13.52071115</v>
      </c>
      <c r="CI27" s="40">
        <f t="shared" si="42"/>
        <v>0.3659906006</v>
      </c>
      <c r="CJ27" s="40">
        <f t="shared" si="43"/>
        <v>0.3663566895</v>
      </c>
      <c r="CK27" s="7">
        <f>CK$2*(Underlying*EXP(-DividendYield*TimeToExpiration)*_xlfn.NORM.DIST(CK$2*(LN(Underlying/$H27)+(RiskFreeRate-DividendYield+0.5*CI27^2)*TimeToExpiration)/(CI27*TimeToExpiration^0.5), 0, 1, TRUE) - 
       $H27*EXP(-RiskFreeRate*TimeToExpiration)*_xlfn.NORM.DIST(CK$2*(LN(Underlying/$H27)+(RiskFreeRate-DividendYield-0.5*CI27^2)*TimeToExpiration)/(CI27*TimeToExpiration^0.5), 0, 1, TRUE)
)</f>
        <v>13.52071115</v>
      </c>
      <c r="CL27" s="7">
        <f>CL$2*(Underlying*EXP(-DividendYield*TimeToExpiration)*_xlfn.NORM.DIST(CL$2*(LN(Underlying/$H27)+(RiskFreeRate-DividendYield+0.5*CJ27^2)*TimeToExpiration)/(CJ27*TimeToExpiration^0.5), 0, 1, TRUE) - 
       $H27*EXP(-RiskFreeRate*TimeToExpiration)*_xlfn.NORM.DIST(CL$2*(LN(Underlying/$H27)+(RiskFreeRate-DividendYield-0.5*CJ27^2)*TimeToExpiration)/(CJ27*TimeToExpiration^0.5), 0, 1, TRUE)
)</f>
        <v>13.52670195</v>
      </c>
      <c r="CM27" s="40">
        <f t="shared" si="44"/>
        <v>0.366173645</v>
      </c>
      <c r="CN27" s="8">
        <f>CN$2*(Underlying*EXP(-DividendYield*TimeToExpiration)*_xlfn.NORM.DIST(CN$2*(LN(Underlying/$H27)+(RiskFreeRate-DividendYield+0.5*CM27^2)*TimeToExpiration)/(CM27*TimeToExpiration^0.5), 0, 1, TRUE) - 
       $H27*EXP(-RiskFreeRate*TimeToExpiration)*_xlfn.NORM.DIST(CN$2*(LN(Underlying/$H27)+(RiskFreeRate-DividendYield-0.5*CM27^2)*TimeToExpiration)/(CM27*TimeToExpiration^0.5), 0, 1, TRUE)
)</f>
        <v>13.52370629</v>
      </c>
      <c r="CO27" s="40">
        <f t="shared" si="45"/>
        <v>0.366173645</v>
      </c>
      <c r="CP27" s="40">
        <f t="shared" si="46"/>
        <v>0.3663566895</v>
      </c>
      <c r="CQ27" s="7">
        <f>CQ$2*(Underlying*EXP(-DividendYield*TimeToExpiration)*_xlfn.NORM.DIST(CQ$2*(LN(Underlying/$H27)+(RiskFreeRate-DividendYield+0.5*CO27^2)*TimeToExpiration)/(CO27*TimeToExpiration^0.5), 0, 1, TRUE) - 
       $H27*EXP(-RiskFreeRate*TimeToExpiration)*_xlfn.NORM.DIST(CQ$2*(LN(Underlying/$H27)+(RiskFreeRate-DividendYield-0.5*CO27^2)*TimeToExpiration)/(CO27*TimeToExpiration^0.5), 0, 1, TRUE)
)</f>
        <v>13.52370629</v>
      </c>
      <c r="CR27" s="7">
        <f>CR$2*(Underlying*EXP(-DividendYield*TimeToExpiration)*_xlfn.NORM.DIST(CR$2*(LN(Underlying/$H27)+(RiskFreeRate-DividendYield+0.5*CP27^2)*TimeToExpiration)/(CP27*TimeToExpiration^0.5), 0, 1, TRUE) - 
       $H27*EXP(-RiskFreeRate*TimeToExpiration)*_xlfn.NORM.DIST(CR$2*(LN(Underlying/$H27)+(RiskFreeRate-DividendYield-0.5*CP27^2)*TimeToExpiration)/(CP27*TimeToExpiration^0.5), 0, 1, TRUE)
)</f>
        <v>13.52670195</v>
      </c>
      <c r="CS27" s="40">
        <f t="shared" si="47"/>
        <v>0.3662651672</v>
      </c>
      <c r="CT27" s="8">
        <f>CT$2*(Underlying*EXP(-DividendYield*TimeToExpiration)*_xlfn.NORM.DIST(CT$2*(LN(Underlying/$H27)+(RiskFreeRate-DividendYield+0.5*CS27^2)*TimeToExpiration)/(CS27*TimeToExpiration^0.5), 0, 1, TRUE) - 
       $H27*EXP(-RiskFreeRate*TimeToExpiration)*_xlfn.NORM.DIST(CT$2*(LN(Underlying/$H27)+(RiskFreeRate-DividendYield-0.5*CS27^2)*TimeToExpiration)/(CS27*TimeToExpiration^0.5), 0, 1, TRUE)
)</f>
        <v>13.52520406</v>
      </c>
      <c r="CU27" s="40">
        <f t="shared" si="48"/>
        <v>0.366173645</v>
      </c>
      <c r="CV27" s="40">
        <f t="shared" si="49"/>
        <v>0.3662651672</v>
      </c>
      <c r="CW27" s="7">
        <f>CW$2*(Underlying*EXP(-DividendYield*TimeToExpiration)*_xlfn.NORM.DIST(CW$2*(LN(Underlying/$H27)+(RiskFreeRate-DividendYield+0.5*CU27^2)*TimeToExpiration)/(CU27*TimeToExpiration^0.5), 0, 1, TRUE) - 
       $H27*EXP(-RiskFreeRate*TimeToExpiration)*_xlfn.NORM.DIST(CW$2*(LN(Underlying/$H27)+(RiskFreeRate-DividendYield-0.5*CU27^2)*TimeToExpiration)/(CU27*TimeToExpiration^0.5), 0, 1, TRUE)
)</f>
        <v>13.52370629</v>
      </c>
      <c r="CX27" s="7">
        <f>CX$2*(Underlying*EXP(-DividendYield*TimeToExpiration)*_xlfn.NORM.DIST(CX$2*(LN(Underlying/$H27)+(RiskFreeRate-DividendYield+0.5*CV27^2)*TimeToExpiration)/(CV27*TimeToExpiration^0.5), 0, 1, TRUE) - 
       $H27*EXP(-RiskFreeRate*TimeToExpiration)*_xlfn.NORM.DIST(CX$2*(LN(Underlying/$H27)+(RiskFreeRate-DividendYield-0.5*CV27^2)*TimeToExpiration)/(CV27*TimeToExpiration^0.5), 0, 1, TRUE)
)</f>
        <v>13.52520406</v>
      </c>
      <c r="CY27" s="40">
        <f t="shared" si="50"/>
        <v>0.3662194061</v>
      </c>
      <c r="CZ27" s="8">
        <f>CZ$2*(Underlying*EXP(-DividendYield*TimeToExpiration)*_xlfn.NORM.DIST(CZ$2*(LN(Underlying/$H27)+(RiskFreeRate-DividendYield+0.5*CY27^2)*TimeToExpiration)/(CY27*TimeToExpiration^0.5), 0, 1, TRUE) - 
       $H27*EXP(-RiskFreeRate*TimeToExpiration)*_xlfn.NORM.DIST(CZ$2*(LN(Underlying/$H27)+(RiskFreeRate-DividendYield-0.5*CY27^2)*TimeToExpiration)/(CY27*TimeToExpiration^0.5), 0, 1, TRUE)
)</f>
        <v>13.52445516</v>
      </c>
      <c r="DA27" s="40">
        <f t="shared" si="51"/>
        <v>0.3662194061</v>
      </c>
      <c r="DB27" s="40">
        <f t="shared" si="52"/>
        <v>0.3662651672</v>
      </c>
      <c r="DC27" s="7">
        <f>DC$2*(Underlying*EXP(-DividendYield*TimeToExpiration)*_xlfn.NORM.DIST(DC$2*(LN(Underlying/$H27)+(RiskFreeRate-DividendYield+0.5*DA27^2)*TimeToExpiration)/(DA27*TimeToExpiration^0.5), 0, 1, TRUE) - 
       $H27*EXP(-RiskFreeRate*TimeToExpiration)*_xlfn.NORM.DIST(DC$2*(LN(Underlying/$H27)+(RiskFreeRate-DividendYield-0.5*DA27^2)*TimeToExpiration)/(DA27*TimeToExpiration^0.5), 0, 1, TRUE)
)</f>
        <v>13.52445516</v>
      </c>
      <c r="DD27" s="7">
        <f>DD$2*(Underlying*EXP(-DividendYield*TimeToExpiration)*_xlfn.NORM.DIST(DD$2*(LN(Underlying/$H27)+(RiskFreeRate-DividendYield+0.5*DB27^2)*TimeToExpiration)/(DB27*TimeToExpiration^0.5), 0, 1, TRUE) - 
       $H27*EXP(-RiskFreeRate*TimeToExpiration)*_xlfn.NORM.DIST(DD$2*(LN(Underlying/$H27)+(RiskFreeRate-DividendYield-0.5*DB27^2)*TimeToExpiration)/(DB27*TimeToExpiration^0.5), 0, 1, TRUE)
)</f>
        <v>13.52520406</v>
      </c>
      <c r="DE27" s="40">
        <f t="shared" si="53"/>
        <v>0.3662422867</v>
      </c>
      <c r="DF27" s="8">
        <f>DF$2*(Underlying*EXP(-DividendYield*TimeToExpiration)*_xlfn.NORM.DIST(DF$2*(LN(Underlying/$H27)+(RiskFreeRate-DividendYield+0.5*DE27^2)*TimeToExpiration)/(DE27*TimeToExpiration^0.5), 0, 1, TRUE) - 
       $H27*EXP(-RiskFreeRate*TimeToExpiration)*_xlfn.NORM.DIST(DF$2*(LN(Underlying/$H27)+(RiskFreeRate-DividendYield-0.5*DE27^2)*TimeToExpiration)/(DE27*TimeToExpiration^0.5), 0, 1, TRUE)
)</f>
        <v>13.52482961</v>
      </c>
    </row>
    <row r="28">
      <c r="A28" s="20">
        <f>'Option Mkt Data'!A28</f>
        <v>352.5</v>
      </c>
      <c r="B28" s="35">
        <f t="shared" ref="B28:C28" si="75">DE28</f>
        <v>0.3693998032</v>
      </c>
      <c r="C28" s="7">
        <f t="shared" si="75"/>
        <v>15.44978242</v>
      </c>
      <c r="D28" s="7">
        <f t="shared" si="3"/>
        <v>0.0002178639035</v>
      </c>
      <c r="E28" s="9">
        <f t="shared" si="4"/>
        <v>0.00001410122327</v>
      </c>
      <c r="F28" s="36">
        <f>D28/'Option Mkt Data'!M28</f>
        <v>0.001089320553</v>
      </c>
      <c r="G28" s="5">
        <f>'Option Mkt Data'!K28</f>
        <v>15.45000029</v>
      </c>
      <c r="H28" s="33">
        <f>'Option Mkt Data'!A28</f>
        <v>352.5</v>
      </c>
      <c r="I28" s="37">
        <f>MinSolverVola</f>
        <v>0.001</v>
      </c>
      <c r="J28" s="38">
        <f>MaxSolverVola</f>
        <v>3</v>
      </c>
      <c r="K28" s="39">
        <f>K$2*(Underlying*EXP(-DividendYield*TimeToExpiration)*_xlfn.NORM.DIST(K$2*(LN(Underlying/$H28)+(RiskFreeRate-DividendYield+0.5*I28^2)*TimeToExpiration)/(I28*TimeToExpiration^0.5), 0, 1, TRUE) - 
       $H28*EXP(-RiskFreeRate*TimeToExpiration)*_xlfn.NORM.DIST(K$2*(LN(Underlying/$H28)+(RiskFreeRate-DividendYield-0.5*I28^2)*TimeToExpiration)/(I28*TimeToExpiration^0.5), 0, 1, TRUE)
)</f>
        <v>12.94264274</v>
      </c>
      <c r="L28" s="7">
        <f>L$2*(Underlying*EXP(-DividendYield*TimeToExpiration)*_xlfn.NORM.DIST(L$2*(LN(Underlying/$H28)+(RiskFreeRate-DividendYield+0.5*J28^2)*TimeToExpiration)/(J28*TimeToExpiration^0.5), 0, 1, TRUE) - 
       $H28*EXP(-RiskFreeRate*TimeToExpiration)*_xlfn.NORM.DIST(L$2*(LN(Underlying/$H28)+(RiskFreeRate-DividendYield-0.5*J28^2)*TimeToExpiration)/(J28*TimeToExpiration^0.5), 0, 1, TRUE)
)</f>
        <v>64.77097443</v>
      </c>
      <c r="M28" s="40">
        <f t="shared" si="5"/>
        <v>1.5005</v>
      </c>
      <c r="N28" s="8">
        <f>N$2*(Underlying*EXP(-DividendYield*TimeToExpiration)*_xlfn.NORM.DIST(N$2*(LN(Underlying/$H28)+(RiskFreeRate-DividendYield+0.5*M28^2)*TimeToExpiration)/(M28*TimeToExpiration^0.5), 0, 1, TRUE) - 
       $H28*EXP(-RiskFreeRate*TimeToExpiration)*_xlfn.NORM.DIST(N$2*(LN(Underlying/$H28)+(RiskFreeRate-DividendYield-0.5*M28^2)*TimeToExpiration)/(M28*TimeToExpiration^0.5), 0, 1, TRUE)
)</f>
        <v>36.13449722</v>
      </c>
      <c r="O28" s="41">
        <f t="shared" si="6"/>
        <v>0.001</v>
      </c>
      <c r="P28" s="40">
        <f t="shared" si="7"/>
        <v>1.5005</v>
      </c>
      <c r="Q28" s="7">
        <f>Q$2*(Underlying*EXP(-DividendYield*TimeToExpiration)*_xlfn.NORM.DIST(Q$2*(LN(Underlying/$H28)+(RiskFreeRate-DividendYield+0.5*O28^2)*TimeToExpiration)/(O28*TimeToExpiration^0.5), 0, 1, TRUE) - 
       $H28*EXP(-RiskFreeRate*TimeToExpiration)*_xlfn.NORM.DIST(Q$2*(LN(Underlying/$H28)+(RiskFreeRate-DividendYield-0.5*O28^2)*TimeToExpiration)/(O28*TimeToExpiration^0.5), 0, 1, TRUE)
)</f>
        <v>12.94264274</v>
      </c>
      <c r="R28" s="7">
        <f>R$2*(Underlying*EXP(-DividendYield*TimeToExpiration)*_xlfn.NORM.DIST(R$2*(LN(Underlying/$H28)+(RiskFreeRate-DividendYield+0.5*P28^2)*TimeToExpiration)/(P28*TimeToExpiration^0.5), 0, 1, TRUE) - 
       $H28*EXP(-RiskFreeRate*TimeToExpiration)*_xlfn.NORM.DIST(R$2*(LN(Underlying/$H28)+(RiskFreeRate-DividendYield-0.5*P28^2)*TimeToExpiration)/(P28*TimeToExpiration^0.5), 0, 1, TRUE)
)</f>
        <v>36.13449722</v>
      </c>
      <c r="S28" s="40">
        <f t="shared" si="8"/>
        <v>0.75075</v>
      </c>
      <c r="T28" s="8">
        <f>T$2*(Underlying*EXP(-DividendYield*TimeToExpiration)*_xlfn.NORM.DIST(T$2*(LN(Underlying/$H28)+(RiskFreeRate-DividendYield+0.5*S28^2)*TimeToExpiration)/(S28*TimeToExpiration^0.5), 0, 1, TRUE) - 
       $H28*EXP(-RiskFreeRate*TimeToExpiration)*_xlfn.NORM.DIST(T$2*(LN(Underlying/$H28)+(RiskFreeRate-DividendYield-0.5*S28^2)*TimeToExpiration)/(S28*TimeToExpiration^0.5), 0, 1, TRUE)
)</f>
        <v>22.00714336</v>
      </c>
      <c r="U28" s="41">
        <f t="shared" si="9"/>
        <v>0.001</v>
      </c>
      <c r="V28" s="40">
        <f t="shared" si="10"/>
        <v>0.75075</v>
      </c>
      <c r="W28" s="7">
        <f>W$2*(Underlying*EXP(-DividendYield*TimeToExpiration)*_xlfn.NORM.DIST(W$2*(LN(Underlying/$H28)+(RiskFreeRate-DividendYield+0.5*U28^2)*TimeToExpiration)/(U28*TimeToExpiration^0.5), 0, 1, TRUE) - 
       $H28*EXP(-RiskFreeRate*TimeToExpiration)*_xlfn.NORM.DIST(W$2*(LN(Underlying/$H28)+(RiskFreeRate-DividendYield-0.5*U28^2)*TimeToExpiration)/(U28*TimeToExpiration^0.5), 0, 1, TRUE)
)</f>
        <v>12.94264274</v>
      </c>
      <c r="X28" s="7">
        <f>X$2*(Underlying*EXP(-DividendYield*TimeToExpiration)*_xlfn.NORM.DIST(X$2*(LN(Underlying/$H28)+(RiskFreeRate-DividendYield+0.5*V28^2)*TimeToExpiration)/(V28*TimeToExpiration^0.5), 0, 1, TRUE) - 
       $H28*EXP(-RiskFreeRate*TimeToExpiration)*_xlfn.NORM.DIST(X$2*(LN(Underlying/$H28)+(RiskFreeRate-DividendYield-0.5*V28^2)*TimeToExpiration)/(V28*TimeToExpiration^0.5), 0, 1, TRUE)
)</f>
        <v>22.00714336</v>
      </c>
      <c r="Y28" s="40">
        <f t="shared" si="11"/>
        <v>0.375875</v>
      </c>
      <c r="Z28" s="8">
        <f>Z$2*(Underlying*EXP(-DividendYield*TimeToExpiration)*_xlfn.NORM.DIST(Z$2*(LN(Underlying/$H28)+(RiskFreeRate-DividendYield+0.5*Y28^2)*TimeToExpiration)/(Y28*TimeToExpiration^0.5), 0, 1, TRUE) - 
       $H28*EXP(-RiskFreeRate*TimeToExpiration)*_xlfn.NORM.DIST(Z$2*(LN(Underlying/$H28)+(RiskFreeRate-DividendYield-0.5*Y28^2)*TimeToExpiration)/(Y28*TimeToExpiration^0.5), 0, 1, TRUE)
)</f>
        <v>15.547851</v>
      </c>
      <c r="AA28" s="41">
        <f t="shared" si="12"/>
        <v>0.001</v>
      </c>
      <c r="AB28" s="40">
        <f t="shared" si="13"/>
        <v>0.375875</v>
      </c>
      <c r="AC28" s="7">
        <f>AC$2*(Underlying*EXP(-DividendYield*TimeToExpiration)*_xlfn.NORM.DIST(AC$2*(LN(Underlying/$H28)+(RiskFreeRate-DividendYield+0.5*AA28^2)*TimeToExpiration)/(AA28*TimeToExpiration^0.5), 0, 1, TRUE) - 
       $H28*EXP(-RiskFreeRate*TimeToExpiration)*_xlfn.NORM.DIST(AC$2*(LN(Underlying/$H28)+(RiskFreeRate-DividendYield-0.5*AA28^2)*TimeToExpiration)/(AA28*TimeToExpiration^0.5), 0, 1, TRUE)
)</f>
        <v>12.94264274</v>
      </c>
      <c r="AD28" s="7">
        <f>AD$2*(Underlying*EXP(-DividendYield*TimeToExpiration)*_xlfn.NORM.DIST(AD$2*(LN(Underlying/$H28)+(RiskFreeRate-DividendYield+0.5*AB28^2)*TimeToExpiration)/(AB28*TimeToExpiration^0.5), 0, 1, TRUE) - 
       $H28*EXP(-RiskFreeRate*TimeToExpiration)*_xlfn.NORM.DIST(AD$2*(LN(Underlying/$H28)+(RiskFreeRate-DividendYield-0.5*AB28^2)*TimeToExpiration)/(AB28*TimeToExpiration^0.5), 0, 1, TRUE)
)</f>
        <v>15.547851</v>
      </c>
      <c r="AE28" s="40">
        <f t="shared" si="14"/>
        <v>0.1884375</v>
      </c>
      <c r="AF28" s="8">
        <f>AF$2*(Underlying*EXP(-DividendYield*TimeToExpiration)*_xlfn.NORM.DIST(AF$2*(LN(Underlying/$H28)+(RiskFreeRate-DividendYield+0.5*AE28^2)*TimeToExpiration)/(AE28*TimeToExpiration^0.5), 0, 1, TRUE) - 
       $H28*EXP(-RiskFreeRate*TimeToExpiration)*_xlfn.NORM.DIST(AF$2*(LN(Underlying/$H28)+(RiskFreeRate-DividendYield-0.5*AE28^2)*TimeToExpiration)/(AE28*TimeToExpiration^0.5), 0, 1, TRUE)
)</f>
        <v>13.27665013</v>
      </c>
      <c r="AG28" s="40">
        <f t="shared" si="15"/>
        <v>0.1884375</v>
      </c>
      <c r="AH28" s="40">
        <f t="shared" si="16"/>
        <v>0.375875</v>
      </c>
      <c r="AI28" s="7">
        <f>AI$2*(Underlying*EXP(-DividendYield*TimeToExpiration)*_xlfn.NORM.DIST(AI$2*(LN(Underlying/$H28)+(RiskFreeRate-DividendYield+0.5*AG28^2)*TimeToExpiration)/(AG28*TimeToExpiration^0.5), 0, 1, TRUE) - 
       $H28*EXP(-RiskFreeRate*TimeToExpiration)*_xlfn.NORM.DIST(AI$2*(LN(Underlying/$H28)+(RiskFreeRate-DividendYield-0.5*AG28^2)*TimeToExpiration)/(AG28*TimeToExpiration^0.5), 0, 1, TRUE)
)</f>
        <v>13.27665013</v>
      </c>
      <c r="AJ28" s="7">
        <f>AJ$2*(Underlying*EXP(-DividendYield*TimeToExpiration)*_xlfn.NORM.DIST(AJ$2*(LN(Underlying/$H28)+(RiskFreeRate-DividendYield+0.5*AH28^2)*TimeToExpiration)/(AH28*TimeToExpiration^0.5), 0, 1, TRUE) - 
       $H28*EXP(-RiskFreeRate*TimeToExpiration)*_xlfn.NORM.DIST(AJ$2*(LN(Underlying/$H28)+(RiskFreeRate-DividendYield-0.5*AH28^2)*TimeToExpiration)/(AH28*TimeToExpiration^0.5), 0, 1, TRUE)
)</f>
        <v>15.547851</v>
      </c>
      <c r="AK28" s="40">
        <f t="shared" si="17"/>
        <v>0.28215625</v>
      </c>
      <c r="AL28" s="8">
        <f>AL$2*(Underlying*EXP(-DividendYield*TimeToExpiration)*_xlfn.NORM.DIST(AL$2*(LN(Underlying/$H28)+(RiskFreeRate-DividendYield+0.5*AK28^2)*TimeToExpiration)/(AK28*TimeToExpiration^0.5), 0, 1, TRUE) - 
       $H28*EXP(-RiskFreeRate*TimeToExpiration)*_xlfn.NORM.DIST(AL$2*(LN(Underlying/$H28)+(RiskFreeRate-DividendYield-0.5*AK28^2)*TimeToExpiration)/(AK28*TimeToExpiration^0.5), 0, 1, TRUE)
)</f>
        <v>14.23296817</v>
      </c>
      <c r="AM28" s="40">
        <f t="shared" si="18"/>
        <v>0.28215625</v>
      </c>
      <c r="AN28" s="40">
        <f t="shared" si="19"/>
        <v>0.375875</v>
      </c>
      <c r="AO28" s="7">
        <f>AO$2*(Underlying*EXP(-DividendYield*TimeToExpiration)*_xlfn.NORM.DIST(AO$2*(LN(Underlying/$H28)+(RiskFreeRate-DividendYield+0.5*AM28^2)*TimeToExpiration)/(AM28*TimeToExpiration^0.5), 0, 1, TRUE) - 
       $H28*EXP(-RiskFreeRate*TimeToExpiration)*_xlfn.NORM.DIST(AO$2*(LN(Underlying/$H28)+(RiskFreeRate-DividendYield-0.5*AM28^2)*TimeToExpiration)/(AM28*TimeToExpiration^0.5), 0, 1, TRUE)
)</f>
        <v>14.23296817</v>
      </c>
      <c r="AP28" s="7">
        <f>AP$2*(Underlying*EXP(-DividendYield*TimeToExpiration)*_xlfn.NORM.DIST(AP$2*(LN(Underlying/$H28)+(RiskFreeRate-DividendYield+0.5*AN28^2)*TimeToExpiration)/(AN28*TimeToExpiration^0.5), 0, 1, TRUE) - 
       $H28*EXP(-RiskFreeRate*TimeToExpiration)*_xlfn.NORM.DIST(AP$2*(LN(Underlying/$H28)+(RiskFreeRate-DividendYield-0.5*AN28^2)*TimeToExpiration)/(AN28*TimeToExpiration^0.5), 0, 1, TRUE)
)</f>
        <v>15.547851</v>
      </c>
      <c r="AQ28" s="40">
        <f t="shared" si="20"/>
        <v>0.329015625</v>
      </c>
      <c r="AR28" s="8">
        <f>AR$2*(Underlying*EXP(-DividendYield*TimeToExpiration)*_xlfn.NORM.DIST(AR$2*(LN(Underlying/$H28)+(RiskFreeRate-DividendYield+0.5*AQ28^2)*TimeToExpiration)/(AQ28*TimeToExpiration^0.5), 0, 1, TRUE) - 
       $H28*EXP(-RiskFreeRate*TimeToExpiration)*_xlfn.NORM.DIST(AR$2*(LN(Underlying/$H28)+(RiskFreeRate-DividendYield-0.5*AQ28^2)*TimeToExpiration)/(AQ28*TimeToExpiration^0.5), 0, 1, TRUE)
)</f>
        <v>14.85961941</v>
      </c>
      <c r="AS28" s="40">
        <f t="shared" si="21"/>
        <v>0.329015625</v>
      </c>
      <c r="AT28" s="40">
        <f t="shared" si="22"/>
        <v>0.375875</v>
      </c>
      <c r="AU28" s="7">
        <f>AU$2*(Underlying*EXP(-DividendYield*TimeToExpiration)*_xlfn.NORM.DIST(AU$2*(LN(Underlying/$H28)+(RiskFreeRate-DividendYield+0.5*AS28^2)*TimeToExpiration)/(AS28*TimeToExpiration^0.5), 0, 1, TRUE) - 
       $H28*EXP(-RiskFreeRate*TimeToExpiration)*_xlfn.NORM.DIST(AU$2*(LN(Underlying/$H28)+(RiskFreeRate-DividendYield-0.5*AS28^2)*TimeToExpiration)/(AS28*TimeToExpiration^0.5), 0, 1, TRUE)
)</f>
        <v>14.85961941</v>
      </c>
      <c r="AV28" s="7">
        <f>AV$2*(Underlying*EXP(-DividendYield*TimeToExpiration)*_xlfn.NORM.DIST(AV$2*(LN(Underlying/$H28)+(RiskFreeRate-DividendYield+0.5*AT28^2)*TimeToExpiration)/(AT28*TimeToExpiration^0.5), 0, 1, TRUE) - 
       $H28*EXP(-RiskFreeRate*TimeToExpiration)*_xlfn.NORM.DIST(AV$2*(LN(Underlying/$H28)+(RiskFreeRate-DividendYield-0.5*AT28^2)*TimeToExpiration)/(AT28*TimeToExpiration^0.5), 0, 1, TRUE)
)</f>
        <v>15.547851</v>
      </c>
      <c r="AW28" s="40">
        <f t="shared" si="23"/>
        <v>0.3524453125</v>
      </c>
      <c r="AX28" s="8">
        <f>AX$2*(Underlying*EXP(-DividendYield*TimeToExpiration)*_xlfn.NORM.DIST(AX$2*(LN(Underlying/$H28)+(RiskFreeRate-DividendYield+0.5*AW28^2)*TimeToExpiration)/(AW28*TimeToExpiration^0.5), 0, 1, TRUE) - 
       $H28*EXP(-RiskFreeRate*TimeToExpiration)*_xlfn.NORM.DIST(AX$2*(LN(Underlying/$H28)+(RiskFreeRate-DividendYield-0.5*AW28^2)*TimeToExpiration)/(AW28*TimeToExpiration^0.5), 0, 1, TRUE)
)</f>
        <v>15.19726385</v>
      </c>
      <c r="AY28" s="40">
        <f t="shared" si="24"/>
        <v>0.3524453125</v>
      </c>
      <c r="AZ28" s="40">
        <f t="shared" si="25"/>
        <v>0.375875</v>
      </c>
      <c r="BA28" s="7">
        <f>BA$2*(Underlying*EXP(-DividendYield*TimeToExpiration)*_xlfn.NORM.DIST(BA$2*(LN(Underlying/$H28)+(RiskFreeRate-DividendYield+0.5*AY28^2)*TimeToExpiration)/(AY28*TimeToExpiration^0.5), 0, 1, TRUE) - 
       $H28*EXP(-RiskFreeRate*TimeToExpiration)*_xlfn.NORM.DIST(BA$2*(LN(Underlying/$H28)+(RiskFreeRate-DividendYield-0.5*AY28^2)*TimeToExpiration)/(AY28*TimeToExpiration^0.5), 0, 1, TRUE)
)</f>
        <v>15.19726385</v>
      </c>
      <c r="BB28" s="7">
        <f>BB$2*(Underlying*EXP(-DividendYield*TimeToExpiration)*_xlfn.NORM.DIST(BB$2*(LN(Underlying/$H28)+(RiskFreeRate-DividendYield+0.5*AZ28^2)*TimeToExpiration)/(AZ28*TimeToExpiration^0.5), 0, 1, TRUE) - 
       $H28*EXP(-RiskFreeRate*TimeToExpiration)*_xlfn.NORM.DIST(BB$2*(LN(Underlying/$H28)+(RiskFreeRate-DividendYield-0.5*AZ28^2)*TimeToExpiration)/(AZ28*TimeToExpiration^0.5), 0, 1, TRUE)
)</f>
        <v>15.547851</v>
      </c>
      <c r="BC28" s="40">
        <f t="shared" si="26"/>
        <v>0.3641601563</v>
      </c>
      <c r="BD28" s="8">
        <f>BD$2*(Underlying*EXP(-DividendYield*TimeToExpiration)*_xlfn.NORM.DIST(BD$2*(LN(Underlying/$H28)+(RiskFreeRate-DividendYield+0.5*BC28^2)*TimeToExpiration)/(BC28*TimeToExpiration^0.5), 0, 1, TRUE) - 
       $H28*EXP(-RiskFreeRate*TimeToExpiration)*_xlfn.NORM.DIST(BD$2*(LN(Underlying/$H28)+(RiskFreeRate-DividendYield-0.5*BC28^2)*TimeToExpiration)/(BC28*TimeToExpiration^0.5), 0, 1, TRUE)
)</f>
        <v>15.37106759</v>
      </c>
      <c r="BE28" s="40">
        <f t="shared" si="27"/>
        <v>0.3641601563</v>
      </c>
      <c r="BF28" s="40">
        <f t="shared" si="28"/>
        <v>0.375875</v>
      </c>
      <c r="BG28" s="7">
        <f>BG$2*(Underlying*EXP(-DividendYield*TimeToExpiration)*_xlfn.NORM.DIST(BG$2*(LN(Underlying/$H28)+(RiskFreeRate-DividendYield+0.5*BE28^2)*TimeToExpiration)/(BE28*TimeToExpiration^0.5), 0, 1, TRUE) - 
       $H28*EXP(-RiskFreeRate*TimeToExpiration)*_xlfn.NORM.DIST(BG$2*(LN(Underlying/$H28)+(RiskFreeRate-DividendYield-0.5*BE28^2)*TimeToExpiration)/(BE28*TimeToExpiration^0.5), 0, 1, TRUE)
)</f>
        <v>15.37106759</v>
      </c>
      <c r="BH28" s="7">
        <f>BH$2*(Underlying*EXP(-DividendYield*TimeToExpiration)*_xlfn.NORM.DIST(BH$2*(LN(Underlying/$H28)+(RiskFreeRate-DividendYield+0.5*BF28^2)*TimeToExpiration)/(BF28*TimeToExpiration^0.5), 0, 1, TRUE) - 
       $H28*EXP(-RiskFreeRate*TimeToExpiration)*_xlfn.NORM.DIST(BH$2*(LN(Underlying/$H28)+(RiskFreeRate-DividendYield-0.5*BF28^2)*TimeToExpiration)/(BF28*TimeToExpiration^0.5), 0, 1, TRUE)
)</f>
        <v>15.547851</v>
      </c>
      <c r="BI28" s="40">
        <f t="shared" si="29"/>
        <v>0.3700175781</v>
      </c>
      <c r="BJ28" s="8">
        <f>BJ$2*(Underlying*EXP(-DividendYield*TimeToExpiration)*_xlfn.NORM.DIST(BJ$2*(LN(Underlying/$H28)+(RiskFreeRate-DividendYield+0.5*BI28^2)*TimeToExpiration)/(BI28*TimeToExpiration^0.5), 0, 1, TRUE) - 
       $H28*EXP(-RiskFreeRate*TimeToExpiration)*_xlfn.NORM.DIST(BJ$2*(LN(Underlying/$H28)+(RiskFreeRate-DividendYield-0.5*BI28^2)*TimeToExpiration)/(BI28*TimeToExpiration^0.5), 0, 1, TRUE)
)</f>
        <v>15.4591015</v>
      </c>
      <c r="BK28" s="40">
        <f t="shared" si="30"/>
        <v>0.3641601563</v>
      </c>
      <c r="BL28" s="40">
        <f t="shared" si="31"/>
        <v>0.3700175781</v>
      </c>
      <c r="BM28" s="7">
        <f>BM$2*(Underlying*EXP(-DividendYield*TimeToExpiration)*_xlfn.NORM.DIST(BM$2*(LN(Underlying/$H28)+(RiskFreeRate-DividendYield+0.5*BK28^2)*TimeToExpiration)/(BK28*TimeToExpiration^0.5), 0, 1, TRUE) - 
       $H28*EXP(-RiskFreeRate*TimeToExpiration)*_xlfn.NORM.DIST(BM$2*(LN(Underlying/$H28)+(RiskFreeRate-DividendYield-0.5*BK28^2)*TimeToExpiration)/(BK28*TimeToExpiration^0.5), 0, 1, TRUE)
)</f>
        <v>15.37106759</v>
      </c>
      <c r="BN28" s="7">
        <f>BN$2*(Underlying*EXP(-DividendYield*TimeToExpiration)*_xlfn.NORM.DIST(BN$2*(LN(Underlying/$H28)+(RiskFreeRate-DividendYield+0.5*BL28^2)*TimeToExpiration)/(BL28*TimeToExpiration^0.5), 0, 1, TRUE) - 
       $H28*EXP(-RiskFreeRate*TimeToExpiration)*_xlfn.NORM.DIST(BN$2*(LN(Underlying/$H28)+(RiskFreeRate-DividendYield-0.5*BL28^2)*TimeToExpiration)/(BL28*TimeToExpiration^0.5), 0, 1, TRUE)
)</f>
        <v>15.4591015</v>
      </c>
      <c r="BO28" s="40">
        <f t="shared" si="32"/>
        <v>0.3670888672</v>
      </c>
      <c r="BP28" s="8">
        <f>BP$2*(Underlying*EXP(-DividendYield*TimeToExpiration)*_xlfn.NORM.DIST(BP$2*(LN(Underlying/$H28)+(RiskFreeRate-DividendYield+0.5*BO28^2)*TimeToExpiration)/(BO28*TimeToExpiration^0.5), 0, 1, TRUE) - 
       $H28*EXP(-RiskFreeRate*TimeToExpiration)*_xlfn.NORM.DIST(BP$2*(LN(Underlying/$H28)+(RiskFreeRate-DividendYield-0.5*BO28^2)*TimeToExpiration)/(BO28*TimeToExpiration^0.5), 0, 1, TRUE)
)</f>
        <v>15.41499332</v>
      </c>
      <c r="BQ28" s="40">
        <f t="shared" si="33"/>
        <v>0.3670888672</v>
      </c>
      <c r="BR28" s="40">
        <f t="shared" si="34"/>
        <v>0.3700175781</v>
      </c>
      <c r="BS28" s="7">
        <f>BS$2*(Underlying*EXP(-DividendYield*TimeToExpiration)*_xlfn.NORM.DIST(BS$2*(LN(Underlying/$H28)+(RiskFreeRate-DividendYield+0.5*BQ28^2)*TimeToExpiration)/(BQ28*TimeToExpiration^0.5), 0, 1, TRUE) - 
       $H28*EXP(-RiskFreeRate*TimeToExpiration)*_xlfn.NORM.DIST(BS$2*(LN(Underlying/$H28)+(RiskFreeRate-DividendYield-0.5*BQ28^2)*TimeToExpiration)/(BQ28*TimeToExpiration^0.5), 0, 1, TRUE)
)</f>
        <v>15.41499332</v>
      </c>
      <c r="BT28" s="7">
        <f>BT$2*(Underlying*EXP(-DividendYield*TimeToExpiration)*_xlfn.NORM.DIST(BT$2*(LN(Underlying/$H28)+(RiskFreeRate-DividendYield+0.5*BR28^2)*TimeToExpiration)/(BR28*TimeToExpiration^0.5), 0, 1, TRUE) - 
       $H28*EXP(-RiskFreeRate*TimeToExpiration)*_xlfn.NORM.DIST(BT$2*(LN(Underlying/$H28)+(RiskFreeRate-DividendYield-0.5*BR28^2)*TimeToExpiration)/(BR28*TimeToExpiration^0.5), 0, 1, TRUE)
)</f>
        <v>15.4591015</v>
      </c>
      <c r="BU28" s="40">
        <f t="shared" si="35"/>
        <v>0.3685532227</v>
      </c>
      <c r="BV28" s="8">
        <f>BV$2*(Underlying*EXP(-DividendYield*TimeToExpiration)*_xlfn.NORM.DIST(BV$2*(LN(Underlying/$H28)+(RiskFreeRate-DividendYield+0.5*BU28^2)*TimeToExpiration)/(BU28*TimeToExpiration^0.5), 0, 1, TRUE) - 
       $H28*EXP(-RiskFreeRate*TimeToExpiration)*_xlfn.NORM.DIST(BV$2*(LN(Underlying/$H28)+(RiskFreeRate-DividendYield-0.5*BU28^2)*TimeToExpiration)/(BU28*TimeToExpiration^0.5), 0, 1, TRUE)
)</f>
        <v>15.43702482</v>
      </c>
      <c r="BW28" s="40">
        <f t="shared" si="36"/>
        <v>0.3685532227</v>
      </c>
      <c r="BX28" s="40">
        <f t="shared" si="37"/>
        <v>0.3700175781</v>
      </c>
      <c r="BY28" s="7">
        <f>BY$2*(Underlying*EXP(-DividendYield*TimeToExpiration)*_xlfn.NORM.DIST(BY$2*(LN(Underlying/$H28)+(RiskFreeRate-DividendYield+0.5*BW28^2)*TimeToExpiration)/(BW28*TimeToExpiration^0.5), 0, 1, TRUE) - 
       $H28*EXP(-RiskFreeRate*TimeToExpiration)*_xlfn.NORM.DIST(BY$2*(LN(Underlying/$H28)+(RiskFreeRate-DividendYield-0.5*BW28^2)*TimeToExpiration)/(BW28*TimeToExpiration^0.5), 0, 1, TRUE)
)</f>
        <v>15.43702482</v>
      </c>
      <c r="BZ28" s="7">
        <f>BZ$2*(Underlying*EXP(-DividendYield*TimeToExpiration)*_xlfn.NORM.DIST(BZ$2*(LN(Underlying/$H28)+(RiskFreeRate-DividendYield+0.5*BX28^2)*TimeToExpiration)/(BX28*TimeToExpiration^0.5), 0, 1, TRUE) - 
       $H28*EXP(-RiskFreeRate*TimeToExpiration)*_xlfn.NORM.DIST(BZ$2*(LN(Underlying/$H28)+(RiskFreeRate-DividendYield-0.5*BX28^2)*TimeToExpiration)/(BX28*TimeToExpiration^0.5), 0, 1, TRUE)
)</f>
        <v>15.4591015</v>
      </c>
      <c r="CA28" s="40">
        <f t="shared" si="38"/>
        <v>0.3692854004</v>
      </c>
      <c r="CB28" s="8">
        <f>CB$2*(Underlying*EXP(-DividendYield*TimeToExpiration)*_xlfn.NORM.DIST(CB$2*(LN(Underlying/$H28)+(RiskFreeRate-DividendYield+0.5*CA28^2)*TimeToExpiration)/(CA28*TimeToExpiration^0.5), 0, 1, TRUE) - 
       $H28*EXP(-RiskFreeRate*TimeToExpiration)*_xlfn.NORM.DIST(CB$2*(LN(Underlying/$H28)+(RiskFreeRate-DividendYield-0.5*CA28^2)*TimeToExpiration)/(CA28*TimeToExpiration^0.5), 0, 1, TRUE)
)</f>
        <v>15.44805754</v>
      </c>
      <c r="CC28" s="40">
        <f t="shared" si="39"/>
        <v>0.3692854004</v>
      </c>
      <c r="CD28" s="40">
        <f t="shared" si="40"/>
        <v>0.3700175781</v>
      </c>
      <c r="CE28" s="7">
        <f>CE$2*(Underlying*EXP(-DividendYield*TimeToExpiration)*_xlfn.NORM.DIST(CE$2*(LN(Underlying/$H28)+(RiskFreeRate-DividendYield+0.5*CC28^2)*TimeToExpiration)/(CC28*TimeToExpiration^0.5), 0, 1, TRUE) - 
       $H28*EXP(-RiskFreeRate*TimeToExpiration)*_xlfn.NORM.DIST(CE$2*(LN(Underlying/$H28)+(RiskFreeRate-DividendYield-0.5*CC28^2)*TimeToExpiration)/(CC28*TimeToExpiration^0.5), 0, 1, TRUE)
)</f>
        <v>15.44805754</v>
      </c>
      <c r="CF28" s="7">
        <f>CF$2*(Underlying*EXP(-DividendYield*TimeToExpiration)*_xlfn.NORM.DIST(CF$2*(LN(Underlying/$H28)+(RiskFreeRate-DividendYield+0.5*CD28^2)*TimeToExpiration)/(CD28*TimeToExpiration^0.5), 0, 1, TRUE) - 
       $H28*EXP(-RiskFreeRate*TimeToExpiration)*_xlfn.NORM.DIST(CF$2*(LN(Underlying/$H28)+(RiskFreeRate-DividendYield-0.5*CD28^2)*TimeToExpiration)/(CD28*TimeToExpiration^0.5), 0, 1, TRUE)
)</f>
        <v>15.4591015</v>
      </c>
      <c r="CG28" s="40">
        <f t="shared" si="41"/>
        <v>0.3696514893</v>
      </c>
      <c r="CH28" s="8">
        <f>CH$2*(Underlying*EXP(-DividendYield*TimeToExpiration)*_xlfn.NORM.DIST(CH$2*(LN(Underlying/$H28)+(RiskFreeRate-DividendYield+0.5*CG28^2)*TimeToExpiration)/(CG28*TimeToExpiration^0.5), 0, 1, TRUE) - 
       $H28*EXP(-RiskFreeRate*TimeToExpiration)*_xlfn.NORM.DIST(CH$2*(LN(Underlying/$H28)+(RiskFreeRate-DividendYield-0.5*CG28^2)*TimeToExpiration)/(CG28*TimeToExpiration^0.5), 0, 1, TRUE)
)</f>
        <v>15.45357812</v>
      </c>
      <c r="CI28" s="40">
        <f t="shared" si="42"/>
        <v>0.3692854004</v>
      </c>
      <c r="CJ28" s="40">
        <f t="shared" si="43"/>
        <v>0.3696514893</v>
      </c>
      <c r="CK28" s="7">
        <f>CK$2*(Underlying*EXP(-DividendYield*TimeToExpiration)*_xlfn.NORM.DIST(CK$2*(LN(Underlying/$H28)+(RiskFreeRate-DividendYield+0.5*CI28^2)*TimeToExpiration)/(CI28*TimeToExpiration^0.5), 0, 1, TRUE) - 
       $H28*EXP(-RiskFreeRate*TimeToExpiration)*_xlfn.NORM.DIST(CK$2*(LN(Underlying/$H28)+(RiskFreeRate-DividendYield-0.5*CI28^2)*TimeToExpiration)/(CI28*TimeToExpiration^0.5), 0, 1, TRUE)
)</f>
        <v>15.44805754</v>
      </c>
      <c r="CL28" s="7">
        <f>CL$2*(Underlying*EXP(-DividendYield*TimeToExpiration)*_xlfn.NORM.DIST(CL$2*(LN(Underlying/$H28)+(RiskFreeRate-DividendYield+0.5*CJ28^2)*TimeToExpiration)/(CJ28*TimeToExpiration^0.5), 0, 1, TRUE) - 
       $H28*EXP(-RiskFreeRate*TimeToExpiration)*_xlfn.NORM.DIST(CL$2*(LN(Underlying/$H28)+(RiskFreeRate-DividendYield-0.5*CJ28^2)*TimeToExpiration)/(CJ28*TimeToExpiration^0.5), 0, 1, TRUE)
)</f>
        <v>15.45357812</v>
      </c>
      <c r="CM28" s="40">
        <f t="shared" si="44"/>
        <v>0.3694684448</v>
      </c>
      <c r="CN28" s="8">
        <f>CN$2*(Underlying*EXP(-DividendYield*TimeToExpiration)*_xlfn.NORM.DIST(CN$2*(LN(Underlying/$H28)+(RiskFreeRate-DividendYield+0.5*CM28^2)*TimeToExpiration)/(CM28*TimeToExpiration^0.5), 0, 1, TRUE) - 
       $H28*EXP(-RiskFreeRate*TimeToExpiration)*_xlfn.NORM.DIST(CN$2*(LN(Underlying/$H28)+(RiskFreeRate-DividendYield-0.5*CM28^2)*TimeToExpiration)/(CM28*TimeToExpiration^0.5), 0, 1, TRUE)
)</f>
        <v>15.45081748</v>
      </c>
      <c r="CO28" s="40">
        <f t="shared" si="45"/>
        <v>0.3692854004</v>
      </c>
      <c r="CP28" s="40">
        <f t="shared" si="46"/>
        <v>0.3694684448</v>
      </c>
      <c r="CQ28" s="7">
        <f>CQ$2*(Underlying*EXP(-DividendYield*TimeToExpiration)*_xlfn.NORM.DIST(CQ$2*(LN(Underlying/$H28)+(RiskFreeRate-DividendYield+0.5*CO28^2)*TimeToExpiration)/(CO28*TimeToExpiration^0.5), 0, 1, TRUE) - 
       $H28*EXP(-RiskFreeRate*TimeToExpiration)*_xlfn.NORM.DIST(CQ$2*(LN(Underlying/$H28)+(RiskFreeRate-DividendYield-0.5*CO28^2)*TimeToExpiration)/(CO28*TimeToExpiration^0.5), 0, 1, TRUE)
)</f>
        <v>15.44805754</v>
      </c>
      <c r="CR28" s="7">
        <f>CR$2*(Underlying*EXP(-DividendYield*TimeToExpiration)*_xlfn.NORM.DIST(CR$2*(LN(Underlying/$H28)+(RiskFreeRate-DividendYield+0.5*CP28^2)*TimeToExpiration)/(CP28*TimeToExpiration^0.5), 0, 1, TRUE) - 
       $H28*EXP(-RiskFreeRate*TimeToExpiration)*_xlfn.NORM.DIST(CR$2*(LN(Underlying/$H28)+(RiskFreeRate-DividendYield-0.5*CP28^2)*TimeToExpiration)/(CP28*TimeToExpiration^0.5), 0, 1, TRUE)
)</f>
        <v>15.45081748</v>
      </c>
      <c r="CS28" s="40">
        <f t="shared" si="47"/>
        <v>0.3693769226</v>
      </c>
      <c r="CT28" s="8">
        <f>CT$2*(Underlying*EXP(-DividendYield*TimeToExpiration)*_xlfn.NORM.DIST(CT$2*(LN(Underlying/$H28)+(RiskFreeRate-DividendYield+0.5*CS28^2)*TimeToExpiration)/(CS28*TimeToExpiration^0.5), 0, 1, TRUE) - 
       $H28*EXP(-RiskFreeRate*TimeToExpiration)*_xlfn.NORM.DIST(CT$2*(LN(Underlying/$H28)+(RiskFreeRate-DividendYield-0.5*CS28^2)*TimeToExpiration)/(CS28*TimeToExpiration^0.5), 0, 1, TRUE)
)</f>
        <v>15.44943742</v>
      </c>
      <c r="CU28" s="40">
        <f t="shared" si="48"/>
        <v>0.3693769226</v>
      </c>
      <c r="CV28" s="40">
        <f t="shared" si="49"/>
        <v>0.3694684448</v>
      </c>
      <c r="CW28" s="7">
        <f>CW$2*(Underlying*EXP(-DividendYield*TimeToExpiration)*_xlfn.NORM.DIST(CW$2*(LN(Underlying/$H28)+(RiskFreeRate-DividendYield+0.5*CU28^2)*TimeToExpiration)/(CU28*TimeToExpiration^0.5), 0, 1, TRUE) - 
       $H28*EXP(-RiskFreeRate*TimeToExpiration)*_xlfn.NORM.DIST(CW$2*(LN(Underlying/$H28)+(RiskFreeRate-DividendYield-0.5*CU28^2)*TimeToExpiration)/(CU28*TimeToExpiration^0.5), 0, 1, TRUE)
)</f>
        <v>15.44943742</v>
      </c>
      <c r="CX28" s="7">
        <f>CX$2*(Underlying*EXP(-DividendYield*TimeToExpiration)*_xlfn.NORM.DIST(CX$2*(LN(Underlying/$H28)+(RiskFreeRate-DividendYield+0.5*CV28^2)*TimeToExpiration)/(CV28*TimeToExpiration^0.5), 0, 1, TRUE) - 
       $H28*EXP(-RiskFreeRate*TimeToExpiration)*_xlfn.NORM.DIST(CX$2*(LN(Underlying/$H28)+(RiskFreeRate-DividendYield-0.5*CV28^2)*TimeToExpiration)/(CV28*TimeToExpiration^0.5), 0, 1, TRUE)
)</f>
        <v>15.45081748</v>
      </c>
      <c r="CY28" s="40">
        <f t="shared" si="50"/>
        <v>0.3694226837</v>
      </c>
      <c r="CZ28" s="8">
        <f>CZ$2*(Underlying*EXP(-DividendYield*TimeToExpiration)*_xlfn.NORM.DIST(CZ$2*(LN(Underlying/$H28)+(RiskFreeRate-DividendYield+0.5*CY28^2)*TimeToExpiration)/(CY28*TimeToExpiration^0.5), 0, 1, TRUE) - 
       $H28*EXP(-RiskFreeRate*TimeToExpiration)*_xlfn.NORM.DIST(CZ$2*(LN(Underlying/$H28)+(RiskFreeRate-DividendYield-0.5*CY28^2)*TimeToExpiration)/(CY28*TimeToExpiration^0.5), 0, 1, TRUE)
)</f>
        <v>15.45012743</v>
      </c>
      <c r="DA28" s="40">
        <f t="shared" si="51"/>
        <v>0.3693769226</v>
      </c>
      <c r="DB28" s="40">
        <f t="shared" si="52"/>
        <v>0.3694226837</v>
      </c>
      <c r="DC28" s="7">
        <f>DC$2*(Underlying*EXP(-DividendYield*TimeToExpiration)*_xlfn.NORM.DIST(DC$2*(LN(Underlying/$H28)+(RiskFreeRate-DividendYield+0.5*DA28^2)*TimeToExpiration)/(DA28*TimeToExpiration^0.5), 0, 1, TRUE) - 
       $H28*EXP(-RiskFreeRate*TimeToExpiration)*_xlfn.NORM.DIST(DC$2*(LN(Underlying/$H28)+(RiskFreeRate-DividendYield-0.5*DA28^2)*TimeToExpiration)/(DA28*TimeToExpiration^0.5), 0, 1, TRUE)
)</f>
        <v>15.44943742</v>
      </c>
      <c r="DD28" s="7">
        <f>DD$2*(Underlying*EXP(-DividendYield*TimeToExpiration)*_xlfn.NORM.DIST(DD$2*(LN(Underlying/$H28)+(RiskFreeRate-DividendYield+0.5*DB28^2)*TimeToExpiration)/(DB28*TimeToExpiration^0.5), 0, 1, TRUE) - 
       $H28*EXP(-RiskFreeRate*TimeToExpiration)*_xlfn.NORM.DIST(DD$2*(LN(Underlying/$H28)+(RiskFreeRate-DividendYield-0.5*DB28^2)*TimeToExpiration)/(DB28*TimeToExpiration^0.5), 0, 1, TRUE)
)</f>
        <v>15.45012743</v>
      </c>
      <c r="DE28" s="40">
        <f t="shared" si="53"/>
        <v>0.3693998032</v>
      </c>
      <c r="DF28" s="8">
        <f>DF$2*(Underlying*EXP(-DividendYield*TimeToExpiration)*_xlfn.NORM.DIST(DF$2*(LN(Underlying/$H28)+(RiskFreeRate-DividendYield+0.5*DE28^2)*TimeToExpiration)/(DE28*TimeToExpiration^0.5), 0, 1, TRUE) - 
       $H28*EXP(-RiskFreeRate*TimeToExpiration)*_xlfn.NORM.DIST(DF$2*(LN(Underlying/$H28)+(RiskFreeRate-DividendYield-0.5*DE28^2)*TimeToExpiration)/(DE28*TimeToExpiration^0.5), 0, 1, TRUE)
)</f>
        <v>15.44978242</v>
      </c>
    </row>
    <row r="29">
      <c r="A29" s="20">
        <f>'Option Mkt Data'!A29</f>
        <v>355</v>
      </c>
      <c r="B29" s="35">
        <f t="shared" ref="B29:C29" si="76">DE29</f>
        <v>0.3730149307</v>
      </c>
      <c r="C29" s="7">
        <f t="shared" si="76"/>
        <v>17.47497097</v>
      </c>
      <c r="D29" s="7">
        <f t="shared" si="3"/>
        <v>0.00002750102248</v>
      </c>
      <c r="E29" s="9">
        <f t="shared" si="4"/>
        <v>0.000001573735329</v>
      </c>
      <c r="F29" s="36">
        <f>D29/'Option Mkt Data'!M29</f>
        <v>0.0001833289668</v>
      </c>
      <c r="G29" s="5">
        <f>'Option Mkt Data'!K29</f>
        <v>17.47499848</v>
      </c>
      <c r="H29" s="33">
        <f>'Option Mkt Data'!A29</f>
        <v>355</v>
      </c>
      <c r="I29" s="37">
        <f>MinSolverVola</f>
        <v>0.001</v>
      </c>
      <c r="J29" s="38">
        <f>MaxSolverVola</f>
        <v>3</v>
      </c>
      <c r="K29" s="39">
        <f>K$2*(Underlying*EXP(-DividendYield*TimeToExpiration)*_xlfn.NORM.DIST(K$2*(LN(Underlying/$H29)+(RiskFreeRate-DividendYield+0.5*I29^2)*TimeToExpiration)/(I29*TimeToExpiration^0.5), 0, 1, TRUE) - 
       $H29*EXP(-RiskFreeRate*TimeToExpiration)*_xlfn.NORM.DIST(K$2*(LN(Underlying/$H29)+(RiskFreeRate-DividendYield-0.5*I29^2)*TimeToExpiration)/(I29*TimeToExpiration^0.5), 0, 1, TRUE)
)</f>
        <v>15.4404629</v>
      </c>
      <c r="L29" s="7">
        <f>L$2*(Underlying*EXP(-DividendYield*TimeToExpiration)*_xlfn.NORM.DIST(L$2*(LN(Underlying/$H29)+(RiskFreeRate-DividendYield+0.5*J29^2)*TimeToExpiration)/(J29*TimeToExpiration^0.5), 0, 1, TRUE) - 
       $H29*EXP(-RiskFreeRate*TimeToExpiration)*_xlfn.NORM.DIST(L$2*(LN(Underlying/$H29)+(RiskFreeRate-DividendYield-0.5*J29^2)*TimeToExpiration)/(J29*TimeToExpiration^0.5), 0, 1, TRUE)
)</f>
        <v>66.32269328</v>
      </c>
      <c r="M29" s="40">
        <f t="shared" si="5"/>
        <v>1.5005</v>
      </c>
      <c r="N29" s="8">
        <f>N$2*(Underlying*EXP(-DividendYield*TimeToExpiration)*_xlfn.NORM.DIST(N$2*(LN(Underlying/$H29)+(RiskFreeRate-DividendYield+0.5*M29^2)*TimeToExpiration)/(M29*TimeToExpiration^0.5), 0, 1, TRUE) - 
       $H29*EXP(-RiskFreeRate*TimeToExpiration)*_xlfn.NORM.DIST(N$2*(LN(Underlying/$H29)+(RiskFreeRate-DividendYield-0.5*M29^2)*TimeToExpiration)/(M29*TimeToExpiration^0.5), 0, 1, TRUE)
)</f>
        <v>37.67716955</v>
      </c>
      <c r="O29" s="41">
        <f t="shared" si="6"/>
        <v>0.001</v>
      </c>
      <c r="P29" s="40">
        <f t="shared" si="7"/>
        <v>1.5005</v>
      </c>
      <c r="Q29" s="7">
        <f>Q$2*(Underlying*EXP(-DividendYield*TimeToExpiration)*_xlfn.NORM.DIST(Q$2*(LN(Underlying/$H29)+(RiskFreeRate-DividendYield+0.5*O29^2)*TimeToExpiration)/(O29*TimeToExpiration^0.5), 0, 1, TRUE) - 
       $H29*EXP(-RiskFreeRate*TimeToExpiration)*_xlfn.NORM.DIST(Q$2*(LN(Underlying/$H29)+(RiskFreeRate-DividendYield-0.5*O29^2)*TimeToExpiration)/(O29*TimeToExpiration^0.5), 0, 1, TRUE)
)</f>
        <v>15.4404629</v>
      </c>
      <c r="R29" s="7">
        <f>R$2*(Underlying*EXP(-DividendYield*TimeToExpiration)*_xlfn.NORM.DIST(R$2*(LN(Underlying/$H29)+(RiskFreeRate-DividendYield+0.5*P29^2)*TimeToExpiration)/(P29*TimeToExpiration^0.5), 0, 1, TRUE) - 
       $H29*EXP(-RiskFreeRate*TimeToExpiration)*_xlfn.NORM.DIST(R$2*(LN(Underlying/$H29)+(RiskFreeRate-DividendYield-0.5*P29^2)*TimeToExpiration)/(P29*TimeToExpiration^0.5), 0, 1, TRUE)
)</f>
        <v>37.67716955</v>
      </c>
      <c r="S29" s="40">
        <f t="shared" si="8"/>
        <v>0.75075</v>
      </c>
      <c r="T29" s="8">
        <f>T$2*(Underlying*EXP(-DividendYield*TimeToExpiration)*_xlfn.NORM.DIST(T$2*(LN(Underlying/$H29)+(RiskFreeRate-DividendYield+0.5*S29^2)*TimeToExpiration)/(S29*TimeToExpiration^0.5), 0, 1, TRUE) - 
       $H29*EXP(-RiskFreeRate*TimeToExpiration)*_xlfn.NORM.DIST(T$2*(LN(Underlying/$H29)+(RiskFreeRate-DividendYield-0.5*S29^2)*TimeToExpiration)/(S29*TimeToExpiration^0.5), 0, 1, TRUE)
)</f>
        <v>23.67984443</v>
      </c>
      <c r="U29" s="41">
        <f t="shared" si="9"/>
        <v>0.001</v>
      </c>
      <c r="V29" s="40">
        <f t="shared" si="10"/>
        <v>0.75075</v>
      </c>
      <c r="W29" s="7">
        <f>W$2*(Underlying*EXP(-DividendYield*TimeToExpiration)*_xlfn.NORM.DIST(W$2*(LN(Underlying/$H29)+(RiskFreeRate-DividendYield+0.5*U29^2)*TimeToExpiration)/(U29*TimeToExpiration^0.5), 0, 1, TRUE) - 
       $H29*EXP(-RiskFreeRate*TimeToExpiration)*_xlfn.NORM.DIST(W$2*(LN(Underlying/$H29)+(RiskFreeRate-DividendYield-0.5*U29^2)*TimeToExpiration)/(U29*TimeToExpiration^0.5), 0, 1, TRUE)
)</f>
        <v>15.4404629</v>
      </c>
      <c r="X29" s="7">
        <f>X$2*(Underlying*EXP(-DividendYield*TimeToExpiration)*_xlfn.NORM.DIST(X$2*(LN(Underlying/$H29)+(RiskFreeRate-DividendYield+0.5*V29^2)*TimeToExpiration)/(V29*TimeToExpiration^0.5), 0, 1, TRUE) - 
       $H29*EXP(-RiskFreeRate*TimeToExpiration)*_xlfn.NORM.DIST(X$2*(LN(Underlying/$H29)+(RiskFreeRate-DividendYield-0.5*V29^2)*TimeToExpiration)/(V29*TimeToExpiration^0.5), 0, 1, TRUE)
)</f>
        <v>23.67984443</v>
      </c>
      <c r="Y29" s="40">
        <f t="shared" si="11"/>
        <v>0.375875</v>
      </c>
      <c r="Z29" s="8">
        <f>Z$2*(Underlying*EXP(-DividendYield*TimeToExpiration)*_xlfn.NORM.DIST(Z$2*(LN(Underlying/$H29)+(RiskFreeRate-DividendYield+0.5*Y29^2)*TimeToExpiration)/(Y29*TimeToExpiration^0.5), 0, 1, TRUE) - 
       $H29*EXP(-RiskFreeRate*TimeToExpiration)*_xlfn.NORM.DIST(Z$2*(LN(Underlying/$H29)+(RiskFreeRate-DividendYield-0.5*Y29^2)*TimeToExpiration)/(Y29*TimeToExpiration^0.5), 0, 1, TRUE)
)</f>
        <v>17.51427126</v>
      </c>
      <c r="AA29" s="41">
        <f t="shared" si="12"/>
        <v>0.001</v>
      </c>
      <c r="AB29" s="40">
        <f t="shared" si="13"/>
        <v>0.375875</v>
      </c>
      <c r="AC29" s="7">
        <f>AC$2*(Underlying*EXP(-DividendYield*TimeToExpiration)*_xlfn.NORM.DIST(AC$2*(LN(Underlying/$H29)+(RiskFreeRate-DividendYield+0.5*AA29^2)*TimeToExpiration)/(AA29*TimeToExpiration^0.5), 0, 1, TRUE) - 
       $H29*EXP(-RiskFreeRate*TimeToExpiration)*_xlfn.NORM.DIST(AC$2*(LN(Underlying/$H29)+(RiskFreeRate-DividendYield-0.5*AA29^2)*TimeToExpiration)/(AA29*TimeToExpiration^0.5), 0, 1, TRUE)
)</f>
        <v>15.4404629</v>
      </c>
      <c r="AD29" s="7">
        <f>AD$2*(Underlying*EXP(-DividendYield*TimeToExpiration)*_xlfn.NORM.DIST(AD$2*(LN(Underlying/$H29)+(RiskFreeRate-DividendYield+0.5*AB29^2)*TimeToExpiration)/(AB29*TimeToExpiration^0.5), 0, 1, TRUE) - 
       $H29*EXP(-RiskFreeRate*TimeToExpiration)*_xlfn.NORM.DIST(AD$2*(LN(Underlying/$H29)+(RiskFreeRate-DividendYield-0.5*AB29^2)*TimeToExpiration)/(AB29*TimeToExpiration^0.5), 0, 1, TRUE)
)</f>
        <v>17.51427126</v>
      </c>
      <c r="AE29" s="40">
        <f t="shared" si="14"/>
        <v>0.1884375</v>
      </c>
      <c r="AF29" s="8">
        <f>AF$2*(Underlying*EXP(-DividendYield*TimeToExpiration)*_xlfn.NORM.DIST(AF$2*(LN(Underlying/$H29)+(RiskFreeRate-DividendYield+0.5*AE29^2)*TimeToExpiration)/(AE29*TimeToExpiration^0.5), 0, 1, TRUE) - 
       $H29*EXP(-RiskFreeRate*TimeToExpiration)*_xlfn.NORM.DIST(AF$2*(LN(Underlying/$H29)+(RiskFreeRate-DividendYield-0.5*AE29^2)*TimeToExpiration)/(AE29*TimeToExpiration^0.5), 0, 1, TRUE)
)</f>
        <v>15.62214976</v>
      </c>
      <c r="AG29" s="40">
        <f t="shared" si="15"/>
        <v>0.1884375</v>
      </c>
      <c r="AH29" s="40">
        <f t="shared" si="16"/>
        <v>0.375875</v>
      </c>
      <c r="AI29" s="7">
        <f>AI$2*(Underlying*EXP(-DividendYield*TimeToExpiration)*_xlfn.NORM.DIST(AI$2*(LN(Underlying/$H29)+(RiskFreeRate-DividendYield+0.5*AG29^2)*TimeToExpiration)/(AG29*TimeToExpiration^0.5), 0, 1, TRUE) - 
       $H29*EXP(-RiskFreeRate*TimeToExpiration)*_xlfn.NORM.DIST(AI$2*(LN(Underlying/$H29)+(RiskFreeRate-DividendYield-0.5*AG29^2)*TimeToExpiration)/(AG29*TimeToExpiration^0.5), 0, 1, TRUE)
)</f>
        <v>15.62214976</v>
      </c>
      <c r="AJ29" s="7">
        <f>AJ$2*(Underlying*EXP(-DividendYield*TimeToExpiration)*_xlfn.NORM.DIST(AJ$2*(LN(Underlying/$H29)+(RiskFreeRate-DividendYield+0.5*AH29^2)*TimeToExpiration)/(AH29*TimeToExpiration^0.5), 0, 1, TRUE) - 
       $H29*EXP(-RiskFreeRate*TimeToExpiration)*_xlfn.NORM.DIST(AJ$2*(LN(Underlying/$H29)+(RiskFreeRate-DividendYield-0.5*AH29^2)*TimeToExpiration)/(AH29*TimeToExpiration^0.5), 0, 1, TRUE)
)</f>
        <v>17.51427126</v>
      </c>
      <c r="AK29" s="40">
        <f t="shared" si="17"/>
        <v>0.28215625</v>
      </c>
      <c r="AL29" s="8">
        <f>AL$2*(Underlying*EXP(-DividendYield*TimeToExpiration)*_xlfn.NORM.DIST(AL$2*(LN(Underlying/$H29)+(RiskFreeRate-DividendYield+0.5*AK29^2)*TimeToExpiration)/(AK29*TimeToExpiration^0.5), 0, 1, TRUE) - 
       $H29*EXP(-RiskFreeRate*TimeToExpiration)*_xlfn.NORM.DIST(AL$2*(LN(Underlying/$H29)+(RiskFreeRate-DividendYield-0.5*AK29^2)*TimeToExpiration)/(AK29*TimeToExpiration^0.5), 0, 1, TRUE)
)</f>
        <v>16.36142549</v>
      </c>
      <c r="AM29" s="40">
        <f t="shared" si="18"/>
        <v>0.28215625</v>
      </c>
      <c r="AN29" s="40">
        <f t="shared" si="19"/>
        <v>0.375875</v>
      </c>
      <c r="AO29" s="7">
        <f>AO$2*(Underlying*EXP(-DividendYield*TimeToExpiration)*_xlfn.NORM.DIST(AO$2*(LN(Underlying/$H29)+(RiskFreeRate-DividendYield+0.5*AM29^2)*TimeToExpiration)/(AM29*TimeToExpiration^0.5), 0, 1, TRUE) - 
       $H29*EXP(-RiskFreeRate*TimeToExpiration)*_xlfn.NORM.DIST(AO$2*(LN(Underlying/$H29)+(RiskFreeRate-DividendYield-0.5*AM29^2)*TimeToExpiration)/(AM29*TimeToExpiration^0.5), 0, 1, TRUE)
)</f>
        <v>16.36142549</v>
      </c>
      <c r="AP29" s="7">
        <f>AP$2*(Underlying*EXP(-DividendYield*TimeToExpiration)*_xlfn.NORM.DIST(AP$2*(LN(Underlying/$H29)+(RiskFreeRate-DividendYield+0.5*AN29^2)*TimeToExpiration)/(AN29*TimeToExpiration^0.5), 0, 1, TRUE) - 
       $H29*EXP(-RiskFreeRate*TimeToExpiration)*_xlfn.NORM.DIST(AP$2*(LN(Underlying/$H29)+(RiskFreeRate-DividendYield-0.5*AN29^2)*TimeToExpiration)/(AN29*TimeToExpiration^0.5), 0, 1, TRUE)
)</f>
        <v>17.51427126</v>
      </c>
      <c r="AQ29" s="40">
        <f t="shared" si="20"/>
        <v>0.329015625</v>
      </c>
      <c r="AR29" s="8">
        <f>AR$2*(Underlying*EXP(-DividendYield*TimeToExpiration)*_xlfn.NORM.DIST(AR$2*(LN(Underlying/$H29)+(RiskFreeRate-DividendYield+0.5*AQ29^2)*TimeToExpiration)/(AQ29*TimeToExpiration^0.5), 0, 1, TRUE) - 
       $H29*EXP(-RiskFreeRate*TimeToExpiration)*_xlfn.NORM.DIST(AR$2*(LN(Underlying/$H29)+(RiskFreeRate-DividendYield-0.5*AQ29^2)*TimeToExpiration)/(AQ29*TimeToExpiration^0.5), 0, 1, TRUE)
)</f>
        <v>16.89977221</v>
      </c>
      <c r="AS29" s="40">
        <f t="shared" si="21"/>
        <v>0.329015625</v>
      </c>
      <c r="AT29" s="40">
        <f t="shared" si="22"/>
        <v>0.375875</v>
      </c>
      <c r="AU29" s="7">
        <f>AU$2*(Underlying*EXP(-DividendYield*TimeToExpiration)*_xlfn.NORM.DIST(AU$2*(LN(Underlying/$H29)+(RiskFreeRate-DividendYield+0.5*AS29^2)*TimeToExpiration)/(AS29*TimeToExpiration^0.5), 0, 1, TRUE) - 
       $H29*EXP(-RiskFreeRate*TimeToExpiration)*_xlfn.NORM.DIST(AU$2*(LN(Underlying/$H29)+(RiskFreeRate-DividendYield-0.5*AS29^2)*TimeToExpiration)/(AS29*TimeToExpiration^0.5), 0, 1, TRUE)
)</f>
        <v>16.89977221</v>
      </c>
      <c r="AV29" s="7">
        <f>AV$2*(Underlying*EXP(-DividendYield*TimeToExpiration)*_xlfn.NORM.DIST(AV$2*(LN(Underlying/$H29)+(RiskFreeRate-DividendYield+0.5*AT29^2)*TimeToExpiration)/(AT29*TimeToExpiration^0.5), 0, 1, TRUE) - 
       $H29*EXP(-RiskFreeRate*TimeToExpiration)*_xlfn.NORM.DIST(AV$2*(LN(Underlying/$H29)+(RiskFreeRate-DividendYield-0.5*AT29^2)*TimeToExpiration)/(AT29*TimeToExpiration^0.5), 0, 1, TRUE)
)</f>
        <v>17.51427126</v>
      </c>
      <c r="AW29" s="40">
        <f t="shared" si="23"/>
        <v>0.3524453125</v>
      </c>
      <c r="AX29" s="8">
        <f>AX$2*(Underlying*EXP(-DividendYield*TimeToExpiration)*_xlfn.NORM.DIST(AX$2*(LN(Underlying/$H29)+(RiskFreeRate-DividendYield+0.5*AW29^2)*TimeToExpiration)/(AW29*TimeToExpiration^0.5), 0, 1, TRUE) - 
       $H29*EXP(-RiskFreeRate*TimeToExpiration)*_xlfn.NORM.DIST(AX$2*(LN(Underlying/$H29)+(RiskFreeRate-DividendYield-0.5*AW29^2)*TimeToExpiration)/(AW29*TimeToExpiration^0.5), 0, 1, TRUE)
)</f>
        <v>17.19885701</v>
      </c>
      <c r="AY29" s="40">
        <f t="shared" si="24"/>
        <v>0.3524453125</v>
      </c>
      <c r="AZ29" s="40">
        <f t="shared" si="25"/>
        <v>0.375875</v>
      </c>
      <c r="BA29" s="7">
        <f>BA$2*(Underlying*EXP(-DividendYield*TimeToExpiration)*_xlfn.NORM.DIST(BA$2*(LN(Underlying/$H29)+(RiskFreeRate-DividendYield+0.5*AY29^2)*TimeToExpiration)/(AY29*TimeToExpiration^0.5), 0, 1, TRUE) - 
       $H29*EXP(-RiskFreeRate*TimeToExpiration)*_xlfn.NORM.DIST(BA$2*(LN(Underlying/$H29)+(RiskFreeRate-DividendYield-0.5*AY29^2)*TimeToExpiration)/(AY29*TimeToExpiration^0.5), 0, 1, TRUE)
)</f>
        <v>17.19885701</v>
      </c>
      <c r="BB29" s="7">
        <f>BB$2*(Underlying*EXP(-DividendYield*TimeToExpiration)*_xlfn.NORM.DIST(BB$2*(LN(Underlying/$H29)+(RiskFreeRate-DividendYield+0.5*AZ29^2)*TimeToExpiration)/(AZ29*TimeToExpiration^0.5), 0, 1, TRUE) - 
       $H29*EXP(-RiskFreeRate*TimeToExpiration)*_xlfn.NORM.DIST(BB$2*(LN(Underlying/$H29)+(RiskFreeRate-DividendYield-0.5*AZ29^2)*TimeToExpiration)/(AZ29*TimeToExpiration^0.5), 0, 1, TRUE)
)</f>
        <v>17.51427126</v>
      </c>
      <c r="BC29" s="40">
        <f t="shared" si="26"/>
        <v>0.3641601563</v>
      </c>
      <c r="BD29" s="8">
        <f>BD$2*(Underlying*EXP(-DividendYield*TimeToExpiration)*_xlfn.NORM.DIST(BD$2*(LN(Underlying/$H29)+(RiskFreeRate-DividendYield+0.5*BC29^2)*TimeToExpiration)/(BC29*TimeToExpiration^0.5), 0, 1, TRUE) - 
       $H29*EXP(-RiskFreeRate*TimeToExpiration)*_xlfn.NORM.DIST(BD$2*(LN(Underlying/$H29)+(RiskFreeRate-DividendYield-0.5*BC29^2)*TimeToExpiration)/(BC29*TimeToExpiration^0.5), 0, 1, TRUE)
)</f>
        <v>17.35466947</v>
      </c>
      <c r="BE29" s="40">
        <f t="shared" si="27"/>
        <v>0.3641601563</v>
      </c>
      <c r="BF29" s="40">
        <f t="shared" si="28"/>
        <v>0.375875</v>
      </c>
      <c r="BG29" s="7">
        <f>BG$2*(Underlying*EXP(-DividendYield*TimeToExpiration)*_xlfn.NORM.DIST(BG$2*(LN(Underlying/$H29)+(RiskFreeRate-DividendYield+0.5*BE29^2)*TimeToExpiration)/(BE29*TimeToExpiration^0.5), 0, 1, TRUE) - 
       $H29*EXP(-RiskFreeRate*TimeToExpiration)*_xlfn.NORM.DIST(BG$2*(LN(Underlying/$H29)+(RiskFreeRate-DividendYield-0.5*BE29^2)*TimeToExpiration)/(BE29*TimeToExpiration^0.5), 0, 1, TRUE)
)</f>
        <v>17.35466947</v>
      </c>
      <c r="BH29" s="7">
        <f>BH$2*(Underlying*EXP(-DividendYield*TimeToExpiration)*_xlfn.NORM.DIST(BH$2*(LN(Underlying/$H29)+(RiskFreeRate-DividendYield+0.5*BF29^2)*TimeToExpiration)/(BF29*TimeToExpiration^0.5), 0, 1, TRUE) - 
       $H29*EXP(-RiskFreeRate*TimeToExpiration)*_xlfn.NORM.DIST(BH$2*(LN(Underlying/$H29)+(RiskFreeRate-DividendYield-0.5*BF29^2)*TimeToExpiration)/(BF29*TimeToExpiration^0.5), 0, 1, TRUE)
)</f>
        <v>17.51427126</v>
      </c>
      <c r="BI29" s="40">
        <f t="shared" si="29"/>
        <v>0.3700175781</v>
      </c>
      <c r="BJ29" s="8">
        <f>BJ$2*(Underlying*EXP(-DividendYield*TimeToExpiration)*_xlfn.NORM.DIST(BJ$2*(LN(Underlying/$H29)+(RiskFreeRate-DividendYield+0.5*BI29^2)*TimeToExpiration)/(BI29*TimeToExpiration^0.5), 0, 1, TRUE) - 
       $H29*EXP(-RiskFreeRate*TimeToExpiration)*_xlfn.NORM.DIST(BJ$2*(LN(Underlying/$H29)+(RiskFreeRate-DividendYield-0.5*BI29^2)*TimeToExpiration)/(BI29*TimeToExpiration^0.5), 0, 1, TRUE)
)</f>
        <v>17.43401372</v>
      </c>
      <c r="BK29" s="40">
        <f t="shared" si="30"/>
        <v>0.3700175781</v>
      </c>
      <c r="BL29" s="40">
        <f t="shared" si="31"/>
        <v>0.375875</v>
      </c>
      <c r="BM29" s="7">
        <f>BM$2*(Underlying*EXP(-DividendYield*TimeToExpiration)*_xlfn.NORM.DIST(BM$2*(LN(Underlying/$H29)+(RiskFreeRate-DividendYield+0.5*BK29^2)*TimeToExpiration)/(BK29*TimeToExpiration^0.5), 0, 1, TRUE) - 
       $H29*EXP(-RiskFreeRate*TimeToExpiration)*_xlfn.NORM.DIST(BM$2*(LN(Underlying/$H29)+(RiskFreeRate-DividendYield-0.5*BK29^2)*TimeToExpiration)/(BK29*TimeToExpiration^0.5), 0, 1, TRUE)
)</f>
        <v>17.43401372</v>
      </c>
      <c r="BN29" s="7">
        <f>BN$2*(Underlying*EXP(-DividendYield*TimeToExpiration)*_xlfn.NORM.DIST(BN$2*(LN(Underlying/$H29)+(RiskFreeRate-DividendYield+0.5*BL29^2)*TimeToExpiration)/(BL29*TimeToExpiration^0.5), 0, 1, TRUE) - 
       $H29*EXP(-RiskFreeRate*TimeToExpiration)*_xlfn.NORM.DIST(BN$2*(LN(Underlying/$H29)+(RiskFreeRate-DividendYield-0.5*BL29^2)*TimeToExpiration)/(BL29*TimeToExpiration^0.5), 0, 1, TRUE)
)</f>
        <v>17.51427126</v>
      </c>
      <c r="BO29" s="40">
        <f t="shared" si="32"/>
        <v>0.3729462891</v>
      </c>
      <c r="BP29" s="8">
        <f>BP$2*(Underlying*EXP(-DividendYield*TimeToExpiration)*_xlfn.NORM.DIST(BP$2*(LN(Underlying/$H29)+(RiskFreeRate-DividendYield+0.5*BO29^2)*TimeToExpiration)/(BO29*TimeToExpiration^0.5), 0, 1, TRUE) - 
       $H29*EXP(-RiskFreeRate*TimeToExpiration)*_xlfn.NORM.DIST(BP$2*(LN(Underlying/$H29)+(RiskFreeRate-DividendYield-0.5*BO29^2)*TimeToExpiration)/(BO29*TimeToExpiration^0.5), 0, 1, TRUE)
)</f>
        <v>17.47403038</v>
      </c>
      <c r="BQ29" s="40">
        <f t="shared" si="33"/>
        <v>0.3729462891</v>
      </c>
      <c r="BR29" s="40">
        <f t="shared" si="34"/>
        <v>0.375875</v>
      </c>
      <c r="BS29" s="7">
        <f>BS$2*(Underlying*EXP(-DividendYield*TimeToExpiration)*_xlfn.NORM.DIST(BS$2*(LN(Underlying/$H29)+(RiskFreeRate-DividendYield+0.5*BQ29^2)*TimeToExpiration)/(BQ29*TimeToExpiration^0.5), 0, 1, TRUE) - 
       $H29*EXP(-RiskFreeRate*TimeToExpiration)*_xlfn.NORM.DIST(BS$2*(LN(Underlying/$H29)+(RiskFreeRate-DividendYield-0.5*BQ29^2)*TimeToExpiration)/(BQ29*TimeToExpiration^0.5), 0, 1, TRUE)
)</f>
        <v>17.47403038</v>
      </c>
      <c r="BT29" s="7">
        <f>BT$2*(Underlying*EXP(-DividendYield*TimeToExpiration)*_xlfn.NORM.DIST(BT$2*(LN(Underlying/$H29)+(RiskFreeRate-DividendYield+0.5*BR29^2)*TimeToExpiration)/(BR29*TimeToExpiration^0.5), 0, 1, TRUE) - 
       $H29*EXP(-RiskFreeRate*TimeToExpiration)*_xlfn.NORM.DIST(BT$2*(LN(Underlying/$H29)+(RiskFreeRate-DividendYield-0.5*BR29^2)*TimeToExpiration)/(BR29*TimeToExpiration^0.5), 0, 1, TRUE)
)</f>
        <v>17.51427126</v>
      </c>
      <c r="BU29" s="40">
        <f t="shared" si="35"/>
        <v>0.3744106445</v>
      </c>
      <c r="BV29" s="8">
        <f>BV$2*(Underlying*EXP(-DividendYield*TimeToExpiration)*_xlfn.NORM.DIST(BV$2*(LN(Underlying/$H29)+(RiskFreeRate-DividendYield+0.5*BU29^2)*TimeToExpiration)/(BU29*TimeToExpiration^0.5), 0, 1, TRUE) - 
       $H29*EXP(-RiskFreeRate*TimeToExpiration)*_xlfn.NORM.DIST(BV$2*(LN(Underlying/$H29)+(RiskFreeRate-DividendYield-0.5*BU29^2)*TimeToExpiration)/(BU29*TimeToExpiration^0.5), 0, 1, TRUE)
)</f>
        <v>17.49412304</v>
      </c>
      <c r="BW29" s="40">
        <f t="shared" si="36"/>
        <v>0.3729462891</v>
      </c>
      <c r="BX29" s="40">
        <f t="shared" si="37"/>
        <v>0.3744106445</v>
      </c>
      <c r="BY29" s="7">
        <f>BY$2*(Underlying*EXP(-DividendYield*TimeToExpiration)*_xlfn.NORM.DIST(BY$2*(LN(Underlying/$H29)+(RiskFreeRate-DividendYield+0.5*BW29^2)*TimeToExpiration)/(BW29*TimeToExpiration^0.5), 0, 1, TRUE) - 
       $H29*EXP(-RiskFreeRate*TimeToExpiration)*_xlfn.NORM.DIST(BY$2*(LN(Underlying/$H29)+(RiskFreeRate-DividendYield-0.5*BW29^2)*TimeToExpiration)/(BW29*TimeToExpiration^0.5), 0, 1, TRUE)
)</f>
        <v>17.47403038</v>
      </c>
      <c r="BZ29" s="7">
        <f>BZ$2*(Underlying*EXP(-DividendYield*TimeToExpiration)*_xlfn.NORM.DIST(BZ$2*(LN(Underlying/$H29)+(RiskFreeRate-DividendYield+0.5*BX29^2)*TimeToExpiration)/(BX29*TimeToExpiration^0.5), 0, 1, TRUE) - 
       $H29*EXP(-RiskFreeRate*TimeToExpiration)*_xlfn.NORM.DIST(BZ$2*(LN(Underlying/$H29)+(RiskFreeRate-DividendYield-0.5*BX29^2)*TimeToExpiration)/(BX29*TimeToExpiration^0.5), 0, 1, TRUE)
)</f>
        <v>17.49412304</v>
      </c>
      <c r="CA29" s="40">
        <f t="shared" si="38"/>
        <v>0.3736784668</v>
      </c>
      <c r="CB29" s="8">
        <f>CB$2*(Underlying*EXP(-DividendYield*TimeToExpiration)*_xlfn.NORM.DIST(CB$2*(LN(Underlying/$H29)+(RiskFreeRate-DividendYield+0.5*CA29^2)*TimeToExpiration)/(CA29*TimeToExpiration^0.5), 0, 1, TRUE) - 
       $H29*EXP(-RiskFreeRate*TimeToExpiration)*_xlfn.NORM.DIST(CB$2*(LN(Underlying/$H29)+(RiskFreeRate-DividendYield-0.5*CA29^2)*TimeToExpiration)/(CA29*TimeToExpiration^0.5), 0, 1, TRUE)
)</f>
        <v>17.48406974</v>
      </c>
      <c r="CC29" s="40">
        <f t="shared" si="39"/>
        <v>0.3729462891</v>
      </c>
      <c r="CD29" s="40">
        <f t="shared" si="40"/>
        <v>0.3736784668</v>
      </c>
      <c r="CE29" s="7">
        <f>CE$2*(Underlying*EXP(-DividendYield*TimeToExpiration)*_xlfn.NORM.DIST(CE$2*(LN(Underlying/$H29)+(RiskFreeRate-DividendYield+0.5*CC29^2)*TimeToExpiration)/(CC29*TimeToExpiration^0.5), 0, 1, TRUE) - 
       $H29*EXP(-RiskFreeRate*TimeToExpiration)*_xlfn.NORM.DIST(CE$2*(LN(Underlying/$H29)+(RiskFreeRate-DividendYield-0.5*CC29^2)*TimeToExpiration)/(CC29*TimeToExpiration^0.5), 0, 1, TRUE)
)</f>
        <v>17.47403038</v>
      </c>
      <c r="CF29" s="7">
        <f>CF$2*(Underlying*EXP(-DividendYield*TimeToExpiration)*_xlfn.NORM.DIST(CF$2*(LN(Underlying/$H29)+(RiskFreeRate-DividendYield+0.5*CD29^2)*TimeToExpiration)/(CD29*TimeToExpiration^0.5), 0, 1, TRUE) - 
       $H29*EXP(-RiskFreeRate*TimeToExpiration)*_xlfn.NORM.DIST(CF$2*(LN(Underlying/$H29)+(RiskFreeRate-DividendYield-0.5*CD29^2)*TimeToExpiration)/(CD29*TimeToExpiration^0.5), 0, 1, TRUE)
)</f>
        <v>17.48406974</v>
      </c>
      <c r="CG29" s="40">
        <f t="shared" si="41"/>
        <v>0.3733123779</v>
      </c>
      <c r="CH29" s="8">
        <f>CH$2*(Underlying*EXP(-DividendYield*TimeToExpiration)*_xlfn.NORM.DIST(CH$2*(LN(Underlying/$H29)+(RiskFreeRate-DividendYield+0.5*CG29^2)*TimeToExpiration)/(CG29*TimeToExpiration^0.5), 0, 1, TRUE) - 
       $H29*EXP(-RiskFreeRate*TimeToExpiration)*_xlfn.NORM.DIST(CH$2*(LN(Underlying/$H29)+(RiskFreeRate-DividendYield-0.5*CG29^2)*TimeToExpiration)/(CG29*TimeToExpiration^0.5), 0, 1, TRUE)
)</f>
        <v>17.47904831</v>
      </c>
      <c r="CI29" s="40">
        <f t="shared" si="42"/>
        <v>0.3729462891</v>
      </c>
      <c r="CJ29" s="40">
        <f t="shared" si="43"/>
        <v>0.3733123779</v>
      </c>
      <c r="CK29" s="7">
        <f>CK$2*(Underlying*EXP(-DividendYield*TimeToExpiration)*_xlfn.NORM.DIST(CK$2*(LN(Underlying/$H29)+(RiskFreeRate-DividendYield+0.5*CI29^2)*TimeToExpiration)/(CI29*TimeToExpiration^0.5), 0, 1, TRUE) - 
       $H29*EXP(-RiskFreeRate*TimeToExpiration)*_xlfn.NORM.DIST(CK$2*(LN(Underlying/$H29)+(RiskFreeRate-DividendYield-0.5*CI29^2)*TimeToExpiration)/(CI29*TimeToExpiration^0.5), 0, 1, TRUE)
)</f>
        <v>17.47403038</v>
      </c>
      <c r="CL29" s="7">
        <f>CL$2*(Underlying*EXP(-DividendYield*TimeToExpiration)*_xlfn.NORM.DIST(CL$2*(LN(Underlying/$H29)+(RiskFreeRate-DividendYield+0.5*CJ29^2)*TimeToExpiration)/(CJ29*TimeToExpiration^0.5), 0, 1, TRUE) - 
       $H29*EXP(-RiskFreeRate*TimeToExpiration)*_xlfn.NORM.DIST(CL$2*(LN(Underlying/$H29)+(RiskFreeRate-DividendYield-0.5*CJ29^2)*TimeToExpiration)/(CJ29*TimeToExpiration^0.5), 0, 1, TRUE)
)</f>
        <v>17.47904831</v>
      </c>
      <c r="CM29" s="40">
        <f t="shared" si="44"/>
        <v>0.3731293335</v>
      </c>
      <c r="CN29" s="8">
        <f>CN$2*(Underlying*EXP(-DividendYield*TimeToExpiration)*_xlfn.NORM.DIST(CN$2*(LN(Underlying/$H29)+(RiskFreeRate-DividendYield+0.5*CM29^2)*TimeToExpiration)/(CM29*TimeToExpiration^0.5), 0, 1, TRUE) - 
       $H29*EXP(-RiskFreeRate*TimeToExpiration)*_xlfn.NORM.DIST(CN$2*(LN(Underlying/$H29)+(RiskFreeRate-DividendYield-0.5*CM29^2)*TimeToExpiration)/(CM29*TimeToExpiration^0.5), 0, 1, TRUE)
)</f>
        <v>17.47653891</v>
      </c>
      <c r="CO29" s="40">
        <f t="shared" si="45"/>
        <v>0.3729462891</v>
      </c>
      <c r="CP29" s="40">
        <f t="shared" si="46"/>
        <v>0.3731293335</v>
      </c>
      <c r="CQ29" s="7">
        <f>CQ$2*(Underlying*EXP(-DividendYield*TimeToExpiration)*_xlfn.NORM.DIST(CQ$2*(LN(Underlying/$H29)+(RiskFreeRate-DividendYield+0.5*CO29^2)*TimeToExpiration)/(CO29*TimeToExpiration^0.5), 0, 1, TRUE) - 
       $H29*EXP(-RiskFreeRate*TimeToExpiration)*_xlfn.NORM.DIST(CQ$2*(LN(Underlying/$H29)+(RiskFreeRate-DividendYield-0.5*CO29^2)*TimeToExpiration)/(CO29*TimeToExpiration^0.5), 0, 1, TRUE)
)</f>
        <v>17.47403038</v>
      </c>
      <c r="CR29" s="7">
        <f>CR$2*(Underlying*EXP(-DividendYield*TimeToExpiration)*_xlfn.NORM.DIST(CR$2*(LN(Underlying/$H29)+(RiskFreeRate-DividendYield+0.5*CP29^2)*TimeToExpiration)/(CP29*TimeToExpiration^0.5), 0, 1, TRUE) - 
       $H29*EXP(-RiskFreeRate*TimeToExpiration)*_xlfn.NORM.DIST(CR$2*(LN(Underlying/$H29)+(RiskFreeRate-DividendYield-0.5*CP29^2)*TimeToExpiration)/(CP29*TimeToExpiration^0.5), 0, 1, TRUE)
)</f>
        <v>17.47653891</v>
      </c>
      <c r="CS29" s="40">
        <f t="shared" si="47"/>
        <v>0.3730378113</v>
      </c>
      <c r="CT29" s="8">
        <f>CT$2*(Underlying*EXP(-DividendYield*TimeToExpiration)*_xlfn.NORM.DIST(CT$2*(LN(Underlying/$H29)+(RiskFreeRate-DividendYield+0.5*CS29^2)*TimeToExpiration)/(CS29*TimeToExpiration^0.5), 0, 1, TRUE) - 
       $H29*EXP(-RiskFreeRate*TimeToExpiration)*_xlfn.NORM.DIST(CT$2*(LN(Underlying/$H29)+(RiskFreeRate-DividendYield-0.5*CS29^2)*TimeToExpiration)/(CS29*TimeToExpiration^0.5), 0, 1, TRUE)
)</f>
        <v>17.47528453</v>
      </c>
      <c r="CU29" s="40">
        <f t="shared" si="48"/>
        <v>0.3729462891</v>
      </c>
      <c r="CV29" s="40">
        <f t="shared" si="49"/>
        <v>0.3730378113</v>
      </c>
      <c r="CW29" s="7">
        <f>CW$2*(Underlying*EXP(-DividendYield*TimeToExpiration)*_xlfn.NORM.DIST(CW$2*(LN(Underlying/$H29)+(RiskFreeRate-DividendYield+0.5*CU29^2)*TimeToExpiration)/(CU29*TimeToExpiration^0.5), 0, 1, TRUE) - 
       $H29*EXP(-RiskFreeRate*TimeToExpiration)*_xlfn.NORM.DIST(CW$2*(LN(Underlying/$H29)+(RiskFreeRate-DividendYield-0.5*CU29^2)*TimeToExpiration)/(CU29*TimeToExpiration^0.5), 0, 1, TRUE)
)</f>
        <v>17.47403038</v>
      </c>
      <c r="CX29" s="7">
        <f>CX$2*(Underlying*EXP(-DividendYield*TimeToExpiration)*_xlfn.NORM.DIST(CX$2*(LN(Underlying/$H29)+(RiskFreeRate-DividendYield+0.5*CV29^2)*TimeToExpiration)/(CV29*TimeToExpiration^0.5), 0, 1, TRUE) - 
       $H29*EXP(-RiskFreeRate*TimeToExpiration)*_xlfn.NORM.DIST(CX$2*(LN(Underlying/$H29)+(RiskFreeRate-DividendYield-0.5*CV29^2)*TimeToExpiration)/(CV29*TimeToExpiration^0.5), 0, 1, TRUE)
)</f>
        <v>17.47528453</v>
      </c>
      <c r="CY29" s="40">
        <f t="shared" si="50"/>
        <v>0.3729920502</v>
      </c>
      <c r="CZ29" s="8">
        <f>CZ$2*(Underlying*EXP(-DividendYield*TimeToExpiration)*_xlfn.NORM.DIST(CZ$2*(LN(Underlying/$H29)+(RiskFreeRate-DividendYield+0.5*CY29^2)*TimeToExpiration)/(CY29*TimeToExpiration^0.5), 0, 1, TRUE) - 
       $H29*EXP(-RiskFreeRate*TimeToExpiration)*_xlfn.NORM.DIST(CZ$2*(LN(Underlying/$H29)+(RiskFreeRate-DividendYield-0.5*CY29^2)*TimeToExpiration)/(CY29*TimeToExpiration^0.5), 0, 1, TRUE)
)</f>
        <v>17.47465743</v>
      </c>
      <c r="DA29" s="40">
        <f t="shared" si="51"/>
        <v>0.3729920502</v>
      </c>
      <c r="DB29" s="40">
        <f t="shared" si="52"/>
        <v>0.3730378113</v>
      </c>
      <c r="DC29" s="7">
        <f>DC$2*(Underlying*EXP(-DividendYield*TimeToExpiration)*_xlfn.NORM.DIST(DC$2*(LN(Underlying/$H29)+(RiskFreeRate-DividendYield+0.5*DA29^2)*TimeToExpiration)/(DA29*TimeToExpiration^0.5), 0, 1, TRUE) - 
       $H29*EXP(-RiskFreeRate*TimeToExpiration)*_xlfn.NORM.DIST(DC$2*(LN(Underlying/$H29)+(RiskFreeRate-DividendYield-0.5*DA29^2)*TimeToExpiration)/(DA29*TimeToExpiration^0.5), 0, 1, TRUE)
)</f>
        <v>17.47465743</v>
      </c>
      <c r="DD29" s="7">
        <f>DD$2*(Underlying*EXP(-DividendYield*TimeToExpiration)*_xlfn.NORM.DIST(DD$2*(LN(Underlying/$H29)+(RiskFreeRate-DividendYield+0.5*DB29^2)*TimeToExpiration)/(DB29*TimeToExpiration^0.5), 0, 1, TRUE) - 
       $H29*EXP(-RiskFreeRate*TimeToExpiration)*_xlfn.NORM.DIST(DD$2*(LN(Underlying/$H29)+(RiskFreeRate-DividendYield-0.5*DB29^2)*TimeToExpiration)/(DB29*TimeToExpiration^0.5), 0, 1, TRUE)
)</f>
        <v>17.47528453</v>
      </c>
      <c r="DE29" s="40">
        <f t="shared" si="53"/>
        <v>0.3730149307</v>
      </c>
      <c r="DF29" s="8">
        <f>DF$2*(Underlying*EXP(-DividendYield*TimeToExpiration)*_xlfn.NORM.DIST(DF$2*(LN(Underlying/$H29)+(RiskFreeRate-DividendYield+0.5*DE29^2)*TimeToExpiration)/(DE29*TimeToExpiration^0.5), 0, 1, TRUE) - 
       $H29*EXP(-RiskFreeRate*TimeToExpiration)*_xlfn.NORM.DIST(DF$2*(LN(Underlying/$H29)+(RiskFreeRate-DividendYield-0.5*DE29^2)*TimeToExpiration)/(DE29*TimeToExpiration^0.5), 0, 1, TRUE)
)</f>
        <v>17.47497097</v>
      </c>
    </row>
    <row r="30">
      <c r="A30" s="20">
        <f>'Option Mkt Data'!A30</f>
        <v>357.5</v>
      </c>
      <c r="B30" s="35">
        <f t="shared" ref="B30:C30" si="77">DE30</f>
        <v>0.3699946976</v>
      </c>
      <c r="C30" s="7">
        <f t="shared" si="77"/>
        <v>19.49995241</v>
      </c>
      <c r="D30" s="7">
        <f t="shared" si="3"/>
        <v>0.0000475914095</v>
      </c>
      <c r="E30" s="9">
        <f t="shared" si="4"/>
        <v>0.000002440585102</v>
      </c>
      <c r="F30" s="36">
        <f>D30/'Option Mkt Data'!M30</f>
        <v>0.0001189803382</v>
      </c>
      <c r="G30" s="5">
        <f>'Option Mkt Data'!K30</f>
        <v>19.5</v>
      </c>
      <c r="H30" s="33">
        <f>'Option Mkt Data'!A30</f>
        <v>357.5</v>
      </c>
      <c r="I30" s="37">
        <f>MinSolverVola</f>
        <v>0.001</v>
      </c>
      <c r="J30" s="38">
        <f>MaxSolverVola</f>
        <v>3</v>
      </c>
      <c r="K30" s="39">
        <f>K$2*(Underlying*EXP(-DividendYield*TimeToExpiration)*_xlfn.NORM.DIST(K$2*(LN(Underlying/$H30)+(RiskFreeRate-DividendYield+0.5*I30^2)*TimeToExpiration)/(I30*TimeToExpiration^0.5), 0, 1, TRUE) - 
       $H30*EXP(-RiskFreeRate*TimeToExpiration)*_xlfn.NORM.DIST(K$2*(LN(Underlying/$H30)+(RiskFreeRate-DividendYield-0.5*I30^2)*TimeToExpiration)/(I30*TimeToExpiration^0.5), 0, 1, TRUE)
)</f>
        <v>17.93828306</v>
      </c>
      <c r="L30" s="7">
        <f>L$2*(Underlying*EXP(-DividendYield*TimeToExpiration)*_xlfn.NORM.DIST(L$2*(LN(Underlying/$H30)+(RiskFreeRate-DividendYield+0.5*J30^2)*TimeToExpiration)/(J30*TimeToExpiration^0.5), 0, 1, TRUE) - 
       $H30*EXP(-RiskFreeRate*TimeToExpiration)*_xlfn.NORM.DIST(L$2*(LN(Underlying/$H30)+(RiskFreeRate-DividendYield-0.5*J30^2)*TimeToExpiration)/(J30*TimeToExpiration^0.5), 0, 1, TRUE)
)</f>
        <v>67.89014257</v>
      </c>
      <c r="M30" s="40">
        <f t="shared" si="5"/>
        <v>1.5005</v>
      </c>
      <c r="N30" s="8">
        <f>N$2*(Underlying*EXP(-DividendYield*TimeToExpiration)*_xlfn.NORM.DIST(N$2*(LN(Underlying/$H30)+(RiskFreeRate-DividendYield+0.5*M30^2)*TimeToExpiration)/(M30*TimeToExpiration^0.5), 0, 1, TRUE) - 
       $H30*EXP(-RiskFreeRate*TimeToExpiration)*_xlfn.NORM.DIST(N$2*(LN(Underlying/$H30)+(RiskFreeRate-DividendYield-0.5*M30^2)*TimeToExpiration)/(M30*TimeToExpiration^0.5), 0, 1, TRUE)
)</f>
        <v>39.25130238</v>
      </c>
      <c r="O30" s="41">
        <f t="shared" si="6"/>
        <v>0.001</v>
      </c>
      <c r="P30" s="40">
        <f t="shared" si="7"/>
        <v>1.5005</v>
      </c>
      <c r="Q30" s="7">
        <f>Q$2*(Underlying*EXP(-DividendYield*TimeToExpiration)*_xlfn.NORM.DIST(Q$2*(LN(Underlying/$H30)+(RiskFreeRate-DividendYield+0.5*O30^2)*TimeToExpiration)/(O30*TimeToExpiration^0.5), 0, 1, TRUE) - 
       $H30*EXP(-RiskFreeRate*TimeToExpiration)*_xlfn.NORM.DIST(Q$2*(LN(Underlying/$H30)+(RiskFreeRate-DividendYield-0.5*O30^2)*TimeToExpiration)/(O30*TimeToExpiration^0.5), 0, 1, TRUE)
)</f>
        <v>17.93828306</v>
      </c>
      <c r="R30" s="7">
        <f>R$2*(Underlying*EXP(-DividendYield*TimeToExpiration)*_xlfn.NORM.DIST(R$2*(LN(Underlying/$H30)+(RiskFreeRate-DividendYield+0.5*P30^2)*TimeToExpiration)/(P30*TimeToExpiration^0.5), 0, 1, TRUE) - 
       $H30*EXP(-RiskFreeRate*TimeToExpiration)*_xlfn.NORM.DIST(R$2*(LN(Underlying/$H30)+(RiskFreeRate-DividendYield-0.5*P30^2)*TimeToExpiration)/(P30*TimeToExpiration^0.5), 0, 1, TRUE)
)</f>
        <v>39.25130238</v>
      </c>
      <c r="S30" s="40">
        <f t="shared" si="8"/>
        <v>0.75075</v>
      </c>
      <c r="T30" s="8">
        <f>T$2*(Underlying*EXP(-DividendYield*TimeToExpiration)*_xlfn.NORM.DIST(T$2*(LN(Underlying/$H30)+(RiskFreeRate-DividendYield+0.5*S30^2)*TimeToExpiration)/(S30*TimeToExpiration^0.5), 0, 1, TRUE) - 
       $H30*EXP(-RiskFreeRate*TimeToExpiration)*_xlfn.NORM.DIST(T$2*(LN(Underlying/$H30)+(RiskFreeRate-DividendYield-0.5*S30^2)*TimeToExpiration)/(S30*TimeToExpiration^0.5), 0, 1, TRUE)
)</f>
        <v>25.41165489</v>
      </c>
      <c r="U30" s="41">
        <f t="shared" si="9"/>
        <v>0.001</v>
      </c>
      <c r="V30" s="40">
        <f t="shared" si="10"/>
        <v>0.75075</v>
      </c>
      <c r="W30" s="7">
        <f>W$2*(Underlying*EXP(-DividendYield*TimeToExpiration)*_xlfn.NORM.DIST(W$2*(LN(Underlying/$H30)+(RiskFreeRate-DividendYield+0.5*U30^2)*TimeToExpiration)/(U30*TimeToExpiration^0.5), 0, 1, TRUE) - 
       $H30*EXP(-RiskFreeRate*TimeToExpiration)*_xlfn.NORM.DIST(W$2*(LN(Underlying/$H30)+(RiskFreeRate-DividendYield-0.5*U30^2)*TimeToExpiration)/(U30*TimeToExpiration^0.5), 0, 1, TRUE)
)</f>
        <v>17.93828306</v>
      </c>
      <c r="X30" s="7">
        <f>X$2*(Underlying*EXP(-DividendYield*TimeToExpiration)*_xlfn.NORM.DIST(X$2*(LN(Underlying/$H30)+(RiskFreeRate-DividendYield+0.5*V30^2)*TimeToExpiration)/(V30*TimeToExpiration^0.5), 0, 1, TRUE) - 
       $H30*EXP(-RiskFreeRate*TimeToExpiration)*_xlfn.NORM.DIST(X$2*(LN(Underlying/$H30)+(RiskFreeRate-DividendYield-0.5*V30^2)*TimeToExpiration)/(V30*TimeToExpiration^0.5), 0, 1, TRUE)
)</f>
        <v>25.41165489</v>
      </c>
      <c r="Y30" s="40">
        <f t="shared" si="11"/>
        <v>0.375875</v>
      </c>
      <c r="Z30" s="8">
        <f>Z$2*(Underlying*EXP(-DividendYield*TimeToExpiration)*_xlfn.NORM.DIST(Z$2*(LN(Underlying/$H30)+(RiskFreeRate-DividendYield+0.5*Y30^2)*TimeToExpiration)/(Y30*TimeToExpiration^0.5), 0, 1, TRUE) - 
       $H30*EXP(-RiskFreeRate*TimeToExpiration)*_xlfn.NORM.DIST(Z$2*(LN(Underlying/$H30)+(RiskFreeRate-DividendYield-0.5*Y30^2)*TimeToExpiration)/(Y30*TimeToExpiration^0.5), 0, 1, TRUE)
)</f>
        <v>19.57157938</v>
      </c>
      <c r="AA30" s="41">
        <f t="shared" si="12"/>
        <v>0.001</v>
      </c>
      <c r="AB30" s="40">
        <f t="shared" si="13"/>
        <v>0.375875</v>
      </c>
      <c r="AC30" s="7">
        <f>AC$2*(Underlying*EXP(-DividendYield*TimeToExpiration)*_xlfn.NORM.DIST(AC$2*(LN(Underlying/$H30)+(RiskFreeRate-DividendYield+0.5*AA30^2)*TimeToExpiration)/(AA30*TimeToExpiration^0.5), 0, 1, TRUE) - 
       $H30*EXP(-RiskFreeRate*TimeToExpiration)*_xlfn.NORM.DIST(AC$2*(LN(Underlying/$H30)+(RiskFreeRate-DividendYield-0.5*AA30^2)*TimeToExpiration)/(AA30*TimeToExpiration^0.5), 0, 1, TRUE)
)</f>
        <v>17.93828306</v>
      </c>
      <c r="AD30" s="7">
        <f>AD$2*(Underlying*EXP(-DividendYield*TimeToExpiration)*_xlfn.NORM.DIST(AD$2*(LN(Underlying/$H30)+(RiskFreeRate-DividendYield+0.5*AB30^2)*TimeToExpiration)/(AB30*TimeToExpiration^0.5), 0, 1, TRUE) - 
       $H30*EXP(-RiskFreeRate*TimeToExpiration)*_xlfn.NORM.DIST(AD$2*(LN(Underlying/$H30)+(RiskFreeRate-DividendYield-0.5*AB30^2)*TimeToExpiration)/(AB30*TimeToExpiration^0.5), 0, 1, TRUE)
)</f>
        <v>19.57157938</v>
      </c>
      <c r="AE30" s="40">
        <f t="shared" si="14"/>
        <v>0.1884375</v>
      </c>
      <c r="AF30" s="8">
        <f>AF$2*(Underlying*EXP(-DividendYield*TimeToExpiration)*_xlfn.NORM.DIST(AF$2*(LN(Underlying/$H30)+(RiskFreeRate-DividendYield+0.5*AE30^2)*TimeToExpiration)/(AE30*TimeToExpiration^0.5), 0, 1, TRUE) - 
       $H30*EXP(-RiskFreeRate*TimeToExpiration)*_xlfn.NORM.DIST(AF$2*(LN(Underlying/$H30)+(RiskFreeRate-DividendYield-0.5*AE30^2)*TimeToExpiration)/(AE30*TimeToExpiration^0.5), 0, 1, TRUE)
)</f>
        <v>18.03220895</v>
      </c>
      <c r="AG30" s="40">
        <f t="shared" si="15"/>
        <v>0.1884375</v>
      </c>
      <c r="AH30" s="40">
        <f t="shared" si="16"/>
        <v>0.375875</v>
      </c>
      <c r="AI30" s="7">
        <f>AI$2*(Underlying*EXP(-DividendYield*TimeToExpiration)*_xlfn.NORM.DIST(AI$2*(LN(Underlying/$H30)+(RiskFreeRate-DividendYield+0.5*AG30^2)*TimeToExpiration)/(AG30*TimeToExpiration^0.5), 0, 1, TRUE) - 
       $H30*EXP(-RiskFreeRate*TimeToExpiration)*_xlfn.NORM.DIST(AI$2*(LN(Underlying/$H30)+(RiskFreeRate-DividendYield-0.5*AG30^2)*TimeToExpiration)/(AG30*TimeToExpiration^0.5), 0, 1, TRUE)
)</f>
        <v>18.03220895</v>
      </c>
      <c r="AJ30" s="7">
        <f>AJ$2*(Underlying*EXP(-DividendYield*TimeToExpiration)*_xlfn.NORM.DIST(AJ$2*(LN(Underlying/$H30)+(RiskFreeRate-DividendYield+0.5*AH30^2)*TimeToExpiration)/(AH30*TimeToExpiration^0.5), 0, 1, TRUE) - 
       $H30*EXP(-RiskFreeRate*TimeToExpiration)*_xlfn.NORM.DIST(AJ$2*(LN(Underlying/$H30)+(RiskFreeRate-DividendYield-0.5*AH30^2)*TimeToExpiration)/(AH30*TimeToExpiration^0.5), 0, 1, TRUE)
)</f>
        <v>19.57157938</v>
      </c>
      <c r="AK30" s="40">
        <f t="shared" si="17"/>
        <v>0.28215625</v>
      </c>
      <c r="AL30" s="8">
        <f>AL$2*(Underlying*EXP(-DividendYield*TimeToExpiration)*_xlfn.NORM.DIST(AL$2*(LN(Underlying/$H30)+(RiskFreeRate-DividendYield+0.5*AK30^2)*TimeToExpiration)/(AK30*TimeToExpiration^0.5), 0, 1, TRUE) - 
       $H30*EXP(-RiskFreeRate*TimeToExpiration)*_xlfn.NORM.DIST(AL$2*(LN(Underlying/$H30)+(RiskFreeRate-DividendYield-0.5*AK30^2)*TimeToExpiration)/(AK30*TimeToExpiration^0.5), 0, 1, TRUE)
)</f>
        <v>18.58229681</v>
      </c>
      <c r="AM30" s="40">
        <f t="shared" si="18"/>
        <v>0.28215625</v>
      </c>
      <c r="AN30" s="40">
        <f t="shared" si="19"/>
        <v>0.375875</v>
      </c>
      <c r="AO30" s="7">
        <f>AO$2*(Underlying*EXP(-DividendYield*TimeToExpiration)*_xlfn.NORM.DIST(AO$2*(LN(Underlying/$H30)+(RiskFreeRate-DividendYield+0.5*AM30^2)*TimeToExpiration)/(AM30*TimeToExpiration^0.5), 0, 1, TRUE) - 
       $H30*EXP(-RiskFreeRate*TimeToExpiration)*_xlfn.NORM.DIST(AO$2*(LN(Underlying/$H30)+(RiskFreeRate-DividendYield-0.5*AM30^2)*TimeToExpiration)/(AM30*TimeToExpiration^0.5), 0, 1, TRUE)
)</f>
        <v>18.58229681</v>
      </c>
      <c r="AP30" s="7">
        <f>AP$2*(Underlying*EXP(-DividendYield*TimeToExpiration)*_xlfn.NORM.DIST(AP$2*(LN(Underlying/$H30)+(RiskFreeRate-DividendYield+0.5*AN30^2)*TimeToExpiration)/(AN30*TimeToExpiration^0.5), 0, 1, TRUE) - 
       $H30*EXP(-RiskFreeRate*TimeToExpiration)*_xlfn.NORM.DIST(AP$2*(LN(Underlying/$H30)+(RiskFreeRate-DividendYield-0.5*AN30^2)*TimeToExpiration)/(AN30*TimeToExpiration^0.5), 0, 1, TRUE)
)</f>
        <v>19.57157938</v>
      </c>
      <c r="AQ30" s="40">
        <f t="shared" si="20"/>
        <v>0.329015625</v>
      </c>
      <c r="AR30" s="8">
        <f>AR$2*(Underlying*EXP(-DividendYield*TimeToExpiration)*_xlfn.NORM.DIST(AR$2*(LN(Underlying/$H30)+(RiskFreeRate-DividendYield+0.5*AQ30^2)*TimeToExpiration)/(AQ30*TimeToExpiration^0.5), 0, 1, TRUE) - 
       $H30*EXP(-RiskFreeRate*TimeToExpiration)*_xlfn.NORM.DIST(AR$2*(LN(Underlying/$H30)+(RiskFreeRate-DividendYield-0.5*AQ30^2)*TimeToExpiration)/(AQ30*TimeToExpiration^0.5), 0, 1, TRUE)
)</f>
        <v>19.03326448</v>
      </c>
      <c r="AS30" s="40">
        <f t="shared" si="21"/>
        <v>0.329015625</v>
      </c>
      <c r="AT30" s="40">
        <f t="shared" si="22"/>
        <v>0.375875</v>
      </c>
      <c r="AU30" s="7">
        <f>AU$2*(Underlying*EXP(-DividendYield*TimeToExpiration)*_xlfn.NORM.DIST(AU$2*(LN(Underlying/$H30)+(RiskFreeRate-DividendYield+0.5*AS30^2)*TimeToExpiration)/(AS30*TimeToExpiration^0.5), 0, 1, TRUE) - 
       $H30*EXP(-RiskFreeRate*TimeToExpiration)*_xlfn.NORM.DIST(AU$2*(LN(Underlying/$H30)+(RiskFreeRate-DividendYield-0.5*AS30^2)*TimeToExpiration)/(AS30*TimeToExpiration^0.5), 0, 1, TRUE)
)</f>
        <v>19.03326448</v>
      </c>
      <c r="AV30" s="7">
        <f>AV$2*(Underlying*EXP(-DividendYield*TimeToExpiration)*_xlfn.NORM.DIST(AV$2*(LN(Underlying/$H30)+(RiskFreeRate-DividendYield+0.5*AT30^2)*TimeToExpiration)/(AT30*TimeToExpiration^0.5), 0, 1, TRUE) - 
       $H30*EXP(-RiskFreeRate*TimeToExpiration)*_xlfn.NORM.DIST(AV$2*(LN(Underlying/$H30)+(RiskFreeRate-DividendYield-0.5*AT30^2)*TimeToExpiration)/(AT30*TimeToExpiration^0.5), 0, 1, TRUE)
)</f>
        <v>19.57157938</v>
      </c>
      <c r="AW30" s="40">
        <f t="shared" si="23"/>
        <v>0.3524453125</v>
      </c>
      <c r="AX30" s="8">
        <f>AX$2*(Underlying*EXP(-DividendYield*TimeToExpiration)*_xlfn.NORM.DIST(AX$2*(LN(Underlying/$H30)+(RiskFreeRate-DividendYield+0.5*AW30^2)*TimeToExpiration)/(AW30*TimeToExpiration^0.5), 0, 1, TRUE) - 
       $H30*EXP(-RiskFreeRate*TimeToExpiration)*_xlfn.NORM.DIST(AX$2*(LN(Underlying/$H30)+(RiskFreeRate-DividendYield-0.5*AW30^2)*TimeToExpiration)/(AW30*TimeToExpiration^0.5), 0, 1, TRUE)
)</f>
        <v>19.29283899</v>
      </c>
      <c r="AY30" s="40">
        <f t="shared" si="24"/>
        <v>0.3524453125</v>
      </c>
      <c r="AZ30" s="40">
        <f t="shared" si="25"/>
        <v>0.375875</v>
      </c>
      <c r="BA30" s="7">
        <f>BA$2*(Underlying*EXP(-DividendYield*TimeToExpiration)*_xlfn.NORM.DIST(BA$2*(LN(Underlying/$H30)+(RiskFreeRate-DividendYield+0.5*AY30^2)*TimeToExpiration)/(AY30*TimeToExpiration^0.5), 0, 1, TRUE) - 
       $H30*EXP(-RiskFreeRate*TimeToExpiration)*_xlfn.NORM.DIST(BA$2*(LN(Underlying/$H30)+(RiskFreeRate-DividendYield-0.5*AY30^2)*TimeToExpiration)/(AY30*TimeToExpiration^0.5), 0, 1, TRUE)
)</f>
        <v>19.29283899</v>
      </c>
      <c r="BB30" s="7">
        <f>BB$2*(Underlying*EXP(-DividendYield*TimeToExpiration)*_xlfn.NORM.DIST(BB$2*(LN(Underlying/$H30)+(RiskFreeRate-DividendYield+0.5*AZ30^2)*TimeToExpiration)/(AZ30*TimeToExpiration^0.5), 0, 1, TRUE) - 
       $H30*EXP(-RiskFreeRate*TimeToExpiration)*_xlfn.NORM.DIST(BB$2*(LN(Underlying/$H30)+(RiskFreeRate-DividendYield-0.5*AZ30^2)*TimeToExpiration)/(AZ30*TimeToExpiration^0.5), 0, 1, TRUE)
)</f>
        <v>19.57157938</v>
      </c>
      <c r="BC30" s="40">
        <f t="shared" si="26"/>
        <v>0.3641601563</v>
      </c>
      <c r="BD30" s="8">
        <f>BD$2*(Underlying*EXP(-DividendYield*TimeToExpiration)*_xlfn.NORM.DIST(BD$2*(LN(Underlying/$H30)+(RiskFreeRate-DividendYield+0.5*BC30^2)*TimeToExpiration)/(BC30*TimeToExpiration^0.5), 0, 1, TRUE) - 
       $H30*EXP(-RiskFreeRate*TimeToExpiration)*_xlfn.NORM.DIST(BD$2*(LN(Underlying/$H30)+(RiskFreeRate-DividendYield-0.5*BC30^2)*TimeToExpiration)/(BC30*TimeToExpiration^0.5), 0, 1, TRUE)
)</f>
        <v>19.42996493</v>
      </c>
      <c r="BE30" s="40">
        <f t="shared" si="27"/>
        <v>0.3641601563</v>
      </c>
      <c r="BF30" s="40">
        <f t="shared" si="28"/>
        <v>0.375875</v>
      </c>
      <c r="BG30" s="7">
        <f>BG$2*(Underlying*EXP(-DividendYield*TimeToExpiration)*_xlfn.NORM.DIST(BG$2*(LN(Underlying/$H30)+(RiskFreeRate-DividendYield+0.5*BE30^2)*TimeToExpiration)/(BE30*TimeToExpiration^0.5), 0, 1, TRUE) - 
       $H30*EXP(-RiskFreeRate*TimeToExpiration)*_xlfn.NORM.DIST(BG$2*(LN(Underlying/$H30)+(RiskFreeRate-DividendYield-0.5*BE30^2)*TimeToExpiration)/(BE30*TimeToExpiration^0.5), 0, 1, TRUE)
)</f>
        <v>19.42996493</v>
      </c>
      <c r="BH30" s="7">
        <f>BH$2*(Underlying*EXP(-DividendYield*TimeToExpiration)*_xlfn.NORM.DIST(BH$2*(LN(Underlying/$H30)+(RiskFreeRate-DividendYield+0.5*BF30^2)*TimeToExpiration)/(BF30*TimeToExpiration^0.5), 0, 1, TRUE) - 
       $H30*EXP(-RiskFreeRate*TimeToExpiration)*_xlfn.NORM.DIST(BH$2*(LN(Underlying/$H30)+(RiskFreeRate-DividendYield-0.5*BF30^2)*TimeToExpiration)/(BF30*TimeToExpiration^0.5), 0, 1, TRUE)
)</f>
        <v>19.57157938</v>
      </c>
      <c r="BI30" s="40">
        <f t="shared" si="29"/>
        <v>0.3700175781</v>
      </c>
      <c r="BJ30" s="8">
        <f>BJ$2*(Underlying*EXP(-DividendYield*TimeToExpiration)*_xlfn.NORM.DIST(BJ$2*(LN(Underlying/$H30)+(RiskFreeRate-DividendYield+0.5*BI30^2)*TimeToExpiration)/(BI30*TimeToExpiration^0.5), 0, 1, TRUE) - 
       $H30*EXP(-RiskFreeRate*TimeToExpiration)*_xlfn.NORM.DIST(BJ$2*(LN(Underlying/$H30)+(RiskFreeRate-DividendYield-0.5*BI30^2)*TimeToExpiration)/(BI30*TimeToExpiration^0.5), 0, 1, TRUE)
)</f>
        <v>19.50022901</v>
      </c>
      <c r="BK30" s="40">
        <f t="shared" si="30"/>
        <v>0.3641601563</v>
      </c>
      <c r="BL30" s="40">
        <f t="shared" si="31"/>
        <v>0.3700175781</v>
      </c>
      <c r="BM30" s="7">
        <f>BM$2*(Underlying*EXP(-DividendYield*TimeToExpiration)*_xlfn.NORM.DIST(BM$2*(LN(Underlying/$H30)+(RiskFreeRate-DividendYield+0.5*BK30^2)*TimeToExpiration)/(BK30*TimeToExpiration^0.5), 0, 1, TRUE) - 
       $H30*EXP(-RiskFreeRate*TimeToExpiration)*_xlfn.NORM.DIST(BM$2*(LN(Underlying/$H30)+(RiskFreeRate-DividendYield-0.5*BK30^2)*TimeToExpiration)/(BK30*TimeToExpiration^0.5), 0, 1, TRUE)
)</f>
        <v>19.42996493</v>
      </c>
      <c r="BN30" s="7">
        <f>BN$2*(Underlying*EXP(-DividendYield*TimeToExpiration)*_xlfn.NORM.DIST(BN$2*(LN(Underlying/$H30)+(RiskFreeRate-DividendYield+0.5*BL30^2)*TimeToExpiration)/(BL30*TimeToExpiration^0.5), 0, 1, TRUE) - 
       $H30*EXP(-RiskFreeRate*TimeToExpiration)*_xlfn.NORM.DIST(BN$2*(LN(Underlying/$H30)+(RiskFreeRate-DividendYield-0.5*BL30^2)*TimeToExpiration)/(BL30*TimeToExpiration^0.5), 0, 1, TRUE)
)</f>
        <v>19.50022901</v>
      </c>
      <c r="BO30" s="40">
        <f t="shared" si="32"/>
        <v>0.3670888672</v>
      </c>
      <c r="BP30" s="8">
        <f>BP$2*(Underlying*EXP(-DividendYield*TimeToExpiration)*_xlfn.NORM.DIST(BP$2*(LN(Underlying/$H30)+(RiskFreeRate-DividendYield+0.5*BO30^2)*TimeToExpiration)/(BO30*TimeToExpiration^0.5), 0, 1, TRUE) - 
       $H30*EXP(-RiskFreeRate*TimeToExpiration)*_xlfn.NORM.DIST(BP$2*(LN(Underlying/$H30)+(RiskFreeRate-DividendYield-0.5*BO30^2)*TimeToExpiration)/(BO30*TimeToExpiration^0.5), 0, 1, TRUE)
)</f>
        <v>19.46495899</v>
      </c>
      <c r="BQ30" s="40">
        <f t="shared" si="33"/>
        <v>0.3670888672</v>
      </c>
      <c r="BR30" s="40">
        <f t="shared" si="34"/>
        <v>0.3700175781</v>
      </c>
      <c r="BS30" s="7">
        <f>BS$2*(Underlying*EXP(-DividendYield*TimeToExpiration)*_xlfn.NORM.DIST(BS$2*(LN(Underlying/$H30)+(RiskFreeRate-DividendYield+0.5*BQ30^2)*TimeToExpiration)/(BQ30*TimeToExpiration^0.5), 0, 1, TRUE) - 
       $H30*EXP(-RiskFreeRate*TimeToExpiration)*_xlfn.NORM.DIST(BS$2*(LN(Underlying/$H30)+(RiskFreeRate-DividendYield-0.5*BQ30^2)*TimeToExpiration)/(BQ30*TimeToExpiration^0.5), 0, 1, TRUE)
)</f>
        <v>19.46495899</v>
      </c>
      <c r="BT30" s="7">
        <f>BT$2*(Underlying*EXP(-DividendYield*TimeToExpiration)*_xlfn.NORM.DIST(BT$2*(LN(Underlying/$H30)+(RiskFreeRate-DividendYield+0.5*BR30^2)*TimeToExpiration)/(BR30*TimeToExpiration^0.5), 0, 1, TRUE) - 
       $H30*EXP(-RiskFreeRate*TimeToExpiration)*_xlfn.NORM.DIST(BT$2*(LN(Underlying/$H30)+(RiskFreeRate-DividendYield-0.5*BR30^2)*TimeToExpiration)/(BR30*TimeToExpiration^0.5), 0, 1, TRUE)
)</f>
        <v>19.50022901</v>
      </c>
      <c r="BU30" s="40">
        <f t="shared" si="35"/>
        <v>0.3685532227</v>
      </c>
      <c r="BV30" s="8">
        <f>BV$2*(Underlying*EXP(-DividendYield*TimeToExpiration)*_xlfn.NORM.DIST(BV$2*(LN(Underlying/$H30)+(RiskFreeRate-DividendYield+0.5*BU30^2)*TimeToExpiration)/(BU30*TimeToExpiration^0.5), 0, 1, TRUE) - 
       $H30*EXP(-RiskFreeRate*TimeToExpiration)*_xlfn.NORM.DIST(BV$2*(LN(Underlying/$H30)+(RiskFreeRate-DividendYield-0.5*BU30^2)*TimeToExpiration)/(BU30*TimeToExpiration^0.5), 0, 1, TRUE)
)</f>
        <v>19.48255979</v>
      </c>
      <c r="BW30" s="40">
        <f t="shared" si="36"/>
        <v>0.3685532227</v>
      </c>
      <c r="BX30" s="40">
        <f t="shared" si="37"/>
        <v>0.3700175781</v>
      </c>
      <c r="BY30" s="7">
        <f>BY$2*(Underlying*EXP(-DividendYield*TimeToExpiration)*_xlfn.NORM.DIST(BY$2*(LN(Underlying/$H30)+(RiskFreeRate-DividendYield+0.5*BW30^2)*TimeToExpiration)/(BW30*TimeToExpiration^0.5), 0, 1, TRUE) - 
       $H30*EXP(-RiskFreeRate*TimeToExpiration)*_xlfn.NORM.DIST(BY$2*(LN(Underlying/$H30)+(RiskFreeRate-DividendYield-0.5*BW30^2)*TimeToExpiration)/(BW30*TimeToExpiration^0.5), 0, 1, TRUE)
)</f>
        <v>19.48255979</v>
      </c>
      <c r="BZ30" s="7">
        <f>BZ$2*(Underlying*EXP(-DividendYield*TimeToExpiration)*_xlfn.NORM.DIST(BZ$2*(LN(Underlying/$H30)+(RiskFreeRate-DividendYield+0.5*BX30^2)*TimeToExpiration)/(BX30*TimeToExpiration^0.5), 0, 1, TRUE) - 
       $H30*EXP(-RiskFreeRate*TimeToExpiration)*_xlfn.NORM.DIST(BZ$2*(LN(Underlying/$H30)+(RiskFreeRate-DividendYield-0.5*BX30^2)*TimeToExpiration)/(BX30*TimeToExpiration^0.5), 0, 1, TRUE)
)</f>
        <v>19.50022901</v>
      </c>
      <c r="CA30" s="40">
        <f t="shared" si="38"/>
        <v>0.3692854004</v>
      </c>
      <c r="CB30" s="8">
        <f>CB$2*(Underlying*EXP(-DividendYield*TimeToExpiration)*_xlfn.NORM.DIST(CB$2*(LN(Underlying/$H30)+(RiskFreeRate-DividendYield+0.5*CA30^2)*TimeToExpiration)/(CA30*TimeToExpiration^0.5), 0, 1, TRUE) - 
       $H30*EXP(-RiskFreeRate*TimeToExpiration)*_xlfn.NORM.DIST(CB$2*(LN(Underlying/$H30)+(RiskFreeRate-DividendYield-0.5*CA30^2)*TimeToExpiration)/(CA30*TimeToExpiration^0.5), 0, 1, TRUE)
)</f>
        <v>19.49138588</v>
      </c>
      <c r="CC30" s="40">
        <f t="shared" si="39"/>
        <v>0.3692854004</v>
      </c>
      <c r="CD30" s="40">
        <f t="shared" si="40"/>
        <v>0.3700175781</v>
      </c>
      <c r="CE30" s="7">
        <f>CE$2*(Underlying*EXP(-DividendYield*TimeToExpiration)*_xlfn.NORM.DIST(CE$2*(LN(Underlying/$H30)+(RiskFreeRate-DividendYield+0.5*CC30^2)*TimeToExpiration)/(CC30*TimeToExpiration^0.5), 0, 1, TRUE) - 
       $H30*EXP(-RiskFreeRate*TimeToExpiration)*_xlfn.NORM.DIST(CE$2*(LN(Underlying/$H30)+(RiskFreeRate-DividendYield-0.5*CC30^2)*TimeToExpiration)/(CC30*TimeToExpiration^0.5), 0, 1, TRUE)
)</f>
        <v>19.49138588</v>
      </c>
      <c r="CF30" s="7">
        <f>CF$2*(Underlying*EXP(-DividendYield*TimeToExpiration)*_xlfn.NORM.DIST(CF$2*(LN(Underlying/$H30)+(RiskFreeRate-DividendYield+0.5*CD30^2)*TimeToExpiration)/(CD30*TimeToExpiration^0.5), 0, 1, TRUE) - 
       $H30*EXP(-RiskFreeRate*TimeToExpiration)*_xlfn.NORM.DIST(CF$2*(LN(Underlying/$H30)+(RiskFreeRate-DividendYield-0.5*CD30^2)*TimeToExpiration)/(CD30*TimeToExpiration^0.5), 0, 1, TRUE)
)</f>
        <v>19.50022901</v>
      </c>
      <c r="CG30" s="40">
        <f t="shared" si="41"/>
        <v>0.3696514893</v>
      </c>
      <c r="CH30" s="8">
        <f>CH$2*(Underlying*EXP(-DividendYield*TimeToExpiration)*_xlfn.NORM.DIST(CH$2*(LN(Underlying/$H30)+(RiskFreeRate-DividendYield+0.5*CG30^2)*TimeToExpiration)/(CG30*TimeToExpiration^0.5), 0, 1, TRUE) - 
       $H30*EXP(-RiskFreeRate*TimeToExpiration)*_xlfn.NORM.DIST(CH$2*(LN(Underlying/$H30)+(RiskFreeRate-DividendYield-0.5*CG30^2)*TimeToExpiration)/(CG30*TimeToExpiration^0.5), 0, 1, TRUE)
)</f>
        <v>19.49580532</v>
      </c>
      <c r="CI30" s="40">
        <f t="shared" si="42"/>
        <v>0.3696514893</v>
      </c>
      <c r="CJ30" s="40">
        <f t="shared" si="43"/>
        <v>0.3700175781</v>
      </c>
      <c r="CK30" s="7">
        <f>CK$2*(Underlying*EXP(-DividendYield*TimeToExpiration)*_xlfn.NORM.DIST(CK$2*(LN(Underlying/$H30)+(RiskFreeRate-DividendYield+0.5*CI30^2)*TimeToExpiration)/(CI30*TimeToExpiration^0.5), 0, 1, TRUE) - 
       $H30*EXP(-RiskFreeRate*TimeToExpiration)*_xlfn.NORM.DIST(CK$2*(LN(Underlying/$H30)+(RiskFreeRate-DividendYield-0.5*CI30^2)*TimeToExpiration)/(CI30*TimeToExpiration^0.5), 0, 1, TRUE)
)</f>
        <v>19.49580532</v>
      </c>
      <c r="CL30" s="7">
        <f>CL$2*(Underlying*EXP(-DividendYield*TimeToExpiration)*_xlfn.NORM.DIST(CL$2*(LN(Underlying/$H30)+(RiskFreeRate-DividendYield+0.5*CJ30^2)*TimeToExpiration)/(CJ30*TimeToExpiration^0.5), 0, 1, TRUE) - 
       $H30*EXP(-RiskFreeRate*TimeToExpiration)*_xlfn.NORM.DIST(CL$2*(LN(Underlying/$H30)+(RiskFreeRate-DividendYield-0.5*CJ30^2)*TimeToExpiration)/(CJ30*TimeToExpiration^0.5), 0, 1, TRUE)
)</f>
        <v>19.50022901</v>
      </c>
      <c r="CM30" s="40">
        <f t="shared" si="44"/>
        <v>0.3698345337</v>
      </c>
      <c r="CN30" s="8">
        <f>CN$2*(Underlying*EXP(-DividendYield*TimeToExpiration)*_xlfn.NORM.DIST(CN$2*(LN(Underlying/$H30)+(RiskFreeRate-DividendYield+0.5*CM30^2)*TimeToExpiration)/(CM30*TimeToExpiration^0.5), 0, 1, TRUE) - 
       $H30*EXP(-RiskFreeRate*TimeToExpiration)*_xlfn.NORM.DIST(CN$2*(LN(Underlying/$H30)+(RiskFreeRate-DividendYield-0.5*CM30^2)*TimeToExpiration)/(CM30*TimeToExpiration^0.5), 0, 1, TRUE)
)</f>
        <v>19.49801664</v>
      </c>
      <c r="CO30" s="40">
        <f t="shared" si="45"/>
        <v>0.3698345337</v>
      </c>
      <c r="CP30" s="40">
        <f t="shared" si="46"/>
        <v>0.3700175781</v>
      </c>
      <c r="CQ30" s="7">
        <f>CQ$2*(Underlying*EXP(-DividendYield*TimeToExpiration)*_xlfn.NORM.DIST(CQ$2*(LN(Underlying/$H30)+(RiskFreeRate-DividendYield+0.5*CO30^2)*TimeToExpiration)/(CO30*TimeToExpiration^0.5), 0, 1, TRUE) - 
       $H30*EXP(-RiskFreeRate*TimeToExpiration)*_xlfn.NORM.DIST(CQ$2*(LN(Underlying/$H30)+(RiskFreeRate-DividendYield-0.5*CO30^2)*TimeToExpiration)/(CO30*TimeToExpiration^0.5), 0, 1, TRUE)
)</f>
        <v>19.49801664</v>
      </c>
      <c r="CR30" s="7">
        <f>CR$2*(Underlying*EXP(-DividendYield*TimeToExpiration)*_xlfn.NORM.DIST(CR$2*(LN(Underlying/$H30)+(RiskFreeRate-DividendYield+0.5*CP30^2)*TimeToExpiration)/(CP30*TimeToExpiration^0.5), 0, 1, TRUE) - 
       $H30*EXP(-RiskFreeRate*TimeToExpiration)*_xlfn.NORM.DIST(CR$2*(LN(Underlying/$H30)+(RiskFreeRate-DividendYield-0.5*CP30^2)*TimeToExpiration)/(CP30*TimeToExpiration^0.5), 0, 1, TRUE)
)</f>
        <v>19.50022901</v>
      </c>
      <c r="CS30" s="40">
        <f t="shared" si="47"/>
        <v>0.3699260559</v>
      </c>
      <c r="CT30" s="8">
        <f>CT$2*(Underlying*EXP(-DividendYield*TimeToExpiration)*_xlfn.NORM.DIST(CT$2*(LN(Underlying/$H30)+(RiskFreeRate-DividendYield+0.5*CS30^2)*TimeToExpiration)/(CS30*TimeToExpiration^0.5), 0, 1, TRUE) - 
       $H30*EXP(-RiskFreeRate*TimeToExpiration)*_xlfn.NORM.DIST(CT$2*(LN(Underlying/$H30)+(RiskFreeRate-DividendYield-0.5*CS30^2)*TimeToExpiration)/(CS30*TimeToExpiration^0.5), 0, 1, TRUE)
)</f>
        <v>19.49912269</v>
      </c>
      <c r="CU30" s="40">
        <f t="shared" si="48"/>
        <v>0.3699260559</v>
      </c>
      <c r="CV30" s="40">
        <f t="shared" si="49"/>
        <v>0.3700175781</v>
      </c>
      <c r="CW30" s="7">
        <f>CW$2*(Underlying*EXP(-DividendYield*TimeToExpiration)*_xlfn.NORM.DIST(CW$2*(LN(Underlying/$H30)+(RiskFreeRate-DividendYield+0.5*CU30^2)*TimeToExpiration)/(CU30*TimeToExpiration^0.5), 0, 1, TRUE) - 
       $H30*EXP(-RiskFreeRate*TimeToExpiration)*_xlfn.NORM.DIST(CW$2*(LN(Underlying/$H30)+(RiskFreeRate-DividendYield-0.5*CU30^2)*TimeToExpiration)/(CU30*TimeToExpiration^0.5), 0, 1, TRUE)
)</f>
        <v>19.49912269</v>
      </c>
      <c r="CX30" s="7">
        <f>CX$2*(Underlying*EXP(-DividendYield*TimeToExpiration)*_xlfn.NORM.DIST(CX$2*(LN(Underlying/$H30)+(RiskFreeRate-DividendYield+0.5*CV30^2)*TimeToExpiration)/(CV30*TimeToExpiration^0.5), 0, 1, TRUE) - 
       $H30*EXP(-RiskFreeRate*TimeToExpiration)*_xlfn.NORM.DIST(CX$2*(LN(Underlying/$H30)+(RiskFreeRate-DividendYield-0.5*CV30^2)*TimeToExpiration)/(CV30*TimeToExpiration^0.5), 0, 1, TRUE)
)</f>
        <v>19.50022901</v>
      </c>
      <c r="CY30" s="40">
        <f t="shared" si="50"/>
        <v>0.369971817</v>
      </c>
      <c r="CZ30" s="8">
        <f>CZ$2*(Underlying*EXP(-DividendYield*TimeToExpiration)*_xlfn.NORM.DIST(CZ$2*(LN(Underlying/$H30)+(RiskFreeRate-DividendYield+0.5*CY30^2)*TimeToExpiration)/(CY30*TimeToExpiration^0.5), 0, 1, TRUE) - 
       $H30*EXP(-RiskFreeRate*TimeToExpiration)*_xlfn.NORM.DIST(CZ$2*(LN(Underlying/$H30)+(RiskFreeRate-DividendYield-0.5*CY30^2)*TimeToExpiration)/(CY30*TimeToExpiration^0.5), 0, 1, TRUE)
)</f>
        <v>19.49967582</v>
      </c>
      <c r="DA30" s="40">
        <f t="shared" si="51"/>
        <v>0.369971817</v>
      </c>
      <c r="DB30" s="40">
        <f t="shared" si="52"/>
        <v>0.3700175781</v>
      </c>
      <c r="DC30" s="7">
        <f>DC$2*(Underlying*EXP(-DividendYield*TimeToExpiration)*_xlfn.NORM.DIST(DC$2*(LN(Underlying/$H30)+(RiskFreeRate-DividendYield+0.5*DA30^2)*TimeToExpiration)/(DA30*TimeToExpiration^0.5), 0, 1, TRUE) - 
       $H30*EXP(-RiskFreeRate*TimeToExpiration)*_xlfn.NORM.DIST(DC$2*(LN(Underlying/$H30)+(RiskFreeRate-DividendYield-0.5*DA30^2)*TimeToExpiration)/(DA30*TimeToExpiration^0.5), 0, 1, TRUE)
)</f>
        <v>19.49967582</v>
      </c>
      <c r="DD30" s="7">
        <f>DD$2*(Underlying*EXP(-DividendYield*TimeToExpiration)*_xlfn.NORM.DIST(DD$2*(LN(Underlying/$H30)+(RiskFreeRate-DividendYield+0.5*DB30^2)*TimeToExpiration)/(DB30*TimeToExpiration^0.5), 0, 1, TRUE) - 
       $H30*EXP(-RiskFreeRate*TimeToExpiration)*_xlfn.NORM.DIST(DD$2*(LN(Underlying/$H30)+(RiskFreeRate-DividendYield-0.5*DB30^2)*TimeToExpiration)/(DB30*TimeToExpiration^0.5), 0, 1, TRUE)
)</f>
        <v>19.50022901</v>
      </c>
      <c r="DE30" s="40">
        <f t="shared" si="53"/>
        <v>0.3699946976</v>
      </c>
      <c r="DF30" s="8">
        <f>DF$2*(Underlying*EXP(-DividendYield*TimeToExpiration)*_xlfn.NORM.DIST(DF$2*(LN(Underlying/$H30)+(RiskFreeRate-DividendYield+0.5*DE30^2)*TimeToExpiration)/(DE30*TimeToExpiration^0.5), 0, 1, TRUE) - 
       $H30*EXP(-RiskFreeRate*TimeToExpiration)*_xlfn.NORM.DIST(DF$2*(LN(Underlying/$H30)+(RiskFreeRate-DividendYield-0.5*DE30^2)*TimeToExpiration)/(DE30*TimeToExpiration^0.5), 0, 1, TRUE)
)</f>
        <v>19.49995241</v>
      </c>
    </row>
    <row r="31">
      <c r="A31" s="20">
        <f>'Option Mkt Data'!A31</f>
        <v>360</v>
      </c>
      <c r="B31" s="35">
        <f t="shared" ref="B31:C31" si="78">DE31</f>
        <v>0.377362236</v>
      </c>
      <c r="C31" s="7">
        <f t="shared" si="78"/>
        <v>21.72477272</v>
      </c>
      <c r="D31" s="7">
        <f t="shared" si="3"/>
        <v>0.0002257501928</v>
      </c>
      <c r="E31" s="9">
        <f t="shared" si="4"/>
        <v>0.00001039126392</v>
      </c>
      <c r="F31" s="36">
        <f>D31/'Option Mkt Data'!M31</f>
        <v>0.0005016704954</v>
      </c>
      <c r="G31" s="5">
        <f>'Option Mkt Data'!K31</f>
        <v>21.72499848</v>
      </c>
      <c r="H31" s="33">
        <f>'Option Mkt Data'!A31</f>
        <v>360</v>
      </c>
      <c r="I31" s="37">
        <f>MinSolverVola</f>
        <v>0.001</v>
      </c>
      <c r="J31" s="38">
        <f>MaxSolverVola</f>
        <v>3</v>
      </c>
      <c r="K31" s="39">
        <f>K$2*(Underlying*EXP(-DividendYield*TimeToExpiration)*_xlfn.NORM.DIST(K$2*(LN(Underlying/$H31)+(RiskFreeRate-DividendYield+0.5*I31^2)*TimeToExpiration)/(I31*TimeToExpiration^0.5), 0, 1, TRUE) - 
       $H31*EXP(-RiskFreeRate*TimeToExpiration)*_xlfn.NORM.DIST(K$2*(LN(Underlying/$H31)+(RiskFreeRate-DividendYield-0.5*I31^2)*TimeToExpiration)/(I31*TimeToExpiration^0.5), 0, 1, TRUE)
)</f>
        <v>20.43610322</v>
      </c>
      <c r="L31" s="7">
        <f>L$2*(Underlying*EXP(-DividendYield*TimeToExpiration)*_xlfn.NORM.DIST(L$2*(LN(Underlying/$H31)+(RiskFreeRate-DividendYield+0.5*J31^2)*TimeToExpiration)/(J31*TimeToExpiration^0.5), 0, 1, TRUE) - 
       $H31*EXP(-RiskFreeRate*TimeToExpiration)*_xlfn.NORM.DIST(L$2*(LN(Underlying/$H31)+(RiskFreeRate-DividendYield-0.5*J31^2)*TimeToExpiration)/(J31*TimeToExpiration^0.5), 0, 1, TRUE)
)</f>
        <v>69.47312847</v>
      </c>
      <c r="M31" s="40">
        <f t="shared" si="5"/>
        <v>1.5005</v>
      </c>
      <c r="N31" s="8">
        <f>N$2*(Underlying*EXP(-DividendYield*TimeToExpiration)*_xlfn.NORM.DIST(N$2*(LN(Underlying/$H31)+(RiskFreeRate-DividendYield+0.5*M31^2)*TimeToExpiration)/(M31*TimeToExpiration^0.5), 0, 1, TRUE) - 
       $H31*EXP(-RiskFreeRate*TimeToExpiration)*_xlfn.NORM.DIST(N$2*(LN(Underlying/$H31)+(RiskFreeRate-DividendYield-0.5*M31^2)*TimeToExpiration)/(M31*TimeToExpiration^0.5), 0, 1, TRUE)
)</f>
        <v>40.85633432</v>
      </c>
      <c r="O31" s="41">
        <f t="shared" si="6"/>
        <v>0.001</v>
      </c>
      <c r="P31" s="40">
        <f t="shared" si="7"/>
        <v>1.5005</v>
      </c>
      <c r="Q31" s="7">
        <f>Q$2*(Underlying*EXP(-DividendYield*TimeToExpiration)*_xlfn.NORM.DIST(Q$2*(LN(Underlying/$H31)+(RiskFreeRate-DividendYield+0.5*O31^2)*TimeToExpiration)/(O31*TimeToExpiration^0.5), 0, 1, TRUE) - 
       $H31*EXP(-RiskFreeRate*TimeToExpiration)*_xlfn.NORM.DIST(Q$2*(LN(Underlying/$H31)+(RiskFreeRate-DividendYield-0.5*O31^2)*TimeToExpiration)/(O31*TimeToExpiration^0.5), 0, 1, TRUE)
)</f>
        <v>20.43610322</v>
      </c>
      <c r="R31" s="7">
        <f>R$2*(Underlying*EXP(-DividendYield*TimeToExpiration)*_xlfn.NORM.DIST(R$2*(LN(Underlying/$H31)+(RiskFreeRate-DividendYield+0.5*P31^2)*TimeToExpiration)/(P31*TimeToExpiration^0.5), 0, 1, TRUE) - 
       $H31*EXP(-RiskFreeRate*TimeToExpiration)*_xlfn.NORM.DIST(R$2*(LN(Underlying/$H31)+(RiskFreeRate-DividendYield-0.5*P31^2)*TimeToExpiration)/(P31*TimeToExpiration^0.5), 0, 1, TRUE)
)</f>
        <v>40.85633432</v>
      </c>
      <c r="S31" s="40">
        <f t="shared" si="8"/>
        <v>0.75075</v>
      </c>
      <c r="T31" s="8">
        <f>T$2*(Underlying*EXP(-DividendYield*TimeToExpiration)*_xlfn.NORM.DIST(T$2*(LN(Underlying/$H31)+(RiskFreeRate-DividendYield+0.5*S31^2)*TimeToExpiration)/(S31*TimeToExpiration^0.5), 0, 1, TRUE) - 
       $H31*EXP(-RiskFreeRate*TimeToExpiration)*_xlfn.NORM.DIST(T$2*(LN(Underlying/$H31)+(RiskFreeRate-DividendYield-0.5*S31^2)*TimeToExpiration)/(S31*TimeToExpiration^0.5), 0, 1, TRUE)
)</f>
        <v>27.20023506</v>
      </c>
      <c r="U31" s="41">
        <f t="shared" si="9"/>
        <v>0.001</v>
      </c>
      <c r="V31" s="40">
        <f t="shared" si="10"/>
        <v>0.75075</v>
      </c>
      <c r="W31" s="7">
        <f>W$2*(Underlying*EXP(-DividendYield*TimeToExpiration)*_xlfn.NORM.DIST(W$2*(LN(Underlying/$H31)+(RiskFreeRate-DividendYield+0.5*U31^2)*TimeToExpiration)/(U31*TimeToExpiration^0.5), 0, 1, TRUE) - 
       $H31*EXP(-RiskFreeRate*TimeToExpiration)*_xlfn.NORM.DIST(W$2*(LN(Underlying/$H31)+(RiskFreeRate-DividendYield-0.5*U31^2)*TimeToExpiration)/(U31*TimeToExpiration^0.5), 0, 1, TRUE)
)</f>
        <v>20.43610322</v>
      </c>
      <c r="X31" s="7">
        <f>X$2*(Underlying*EXP(-DividendYield*TimeToExpiration)*_xlfn.NORM.DIST(X$2*(LN(Underlying/$H31)+(RiskFreeRate-DividendYield+0.5*V31^2)*TimeToExpiration)/(V31*TimeToExpiration^0.5), 0, 1, TRUE) - 
       $H31*EXP(-RiskFreeRate*TimeToExpiration)*_xlfn.NORM.DIST(X$2*(LN(Underlying/$H31)+(RiskFreeRate-DividendYield-0.5*V31^2)*TimeToExpiration)/(V31*TimeToExpiration^0.5), 0, 1, TRUE)
)</f>
        <v>27.20023506</v>
      </c>
      <c r="Y31" s="40">
        <f t="shared" si="11"/>
        <v>0.375875</v>
      </c>
      <c r="Z31" s="8">
        <f>Z$2*(Underlying*EXP(-DividendYield*TimeToExpiration)*_xlfn.NORM.DIST(Z$2*(LN(Underlying/$H31)+(RiskFreeRate-DividendYield+0.5*Y31^2)*TimeToExpiration)/(Y31*TimeToExpiration^0.5), 0, 1, TRUE) - 
       $H31*EXP(-RiskFreeRate*TimeToExpiration)*_xlfn.NORM.DIST(Z$2*(LN(Underlying/$H31)+(RiskFreeRate-DividendYield-0.5*Y31^2)*TimeToExpiration)/(Y31*TimeToExpiration^0.5), 0, 1, TRUE)
)</f>
        <v>21.70874332</v>
      </c>
      <c r="AA31" s="40">
        <f t="shared" si="12"/>
        <v>0.375875</v>
      </c>
      <c r="AB31" s="40">
        <f t="shared" si="13"/>
        <v>0.75075</v>
      </c>
      <c r="AC31" s="7">
        <f>AC$2*(Underlying*EXP(-DividendYield*TimeToExpiration)*_xlfn.NORM.DIST(AC$2*(LN(Underlying/$H31)+(RiskFreeRate-DividendYield+0.5*AA31^2)*TimeToExpiration)/(AA31*TimeToExpiration^0.5), 0, 1, TRUE) - 
       $H31*EXP(-RiskFreeRate*TimeToExpiration)*_xlfn.NORM.DIST(AC$2*(LN(Underlying/$H31)+(RiskFreeRate-DividendYield-0.5*AA31^2)*TimeToExpiration)/(AA31*TimeToExpiration^0.5), 0, 1, TRUE)
)</f>
        <v>21.70874332</v>
      </c>
      <c r="AD31" s="7">
        <f>AD$2*(Underlying*EXP(-DividendYield*TimeToExpiration)*_xlfn.NORM.DIST(AD$2*(LN(Underlying/$H31)+(RiskFreeRate-DividendYield+0.5*AB31^2)*TimeToExpiration)/(AB31*TimeToExpiration^0.5), 0, 1, TRUE) - 
       $H31*EXP(-RiskFreeRate*TimeToExpiration)*_xlfn.NORM.DIST(AD$2*(LN(Underlying/$H31)+(RiskFreeRate-DividendYield-0.5*AB31^2)*TimeToExpiration)/(AB31*TimeToExpiration^0.5), 0, 1, TRUE)
)</f>
        <v>27.20023506</v>
      </c>
      <c r="AE31" s="40">
        <f t="shared" si="14"/>
        <v>0.5633125</v>
      </c>
      <c r="AF31" s="8">
        <f>AF$2*(Underlying*EXP(-DividendYield*TimeToExpiration)*_xlfn.NORM.DIST(AF$2*(LN(Underlying/$H31)+(RiskFreeRate-DividendYield+0.5*AE31^2)*TimeToExpiration)/(AE31*TimeToExpiration^0.5), 0, 1, TRUE) - 
       $H31*EXP(-RiskFreeRate*TimeToExpiration)*_xlfn.NORM.DIST(AF$2*(LN(Underlying/$H31)+(RiskFreeRate-DividendYield-0.5*AE31^2)*TimeToExpiration)/(AE31*TimeToExpiration^0.5), 0, 1, TRUE)
)</f>
        <v>24.18444267</v>
      </c>
      <c r="AG31" s="40">
        <f t="shared" si="15"/>
        <v>0.375875</v>
      </c>
      <c r="AH31" s="40">
        <f t="shared" si="16"/>
        <v>0.5633125</v>
      </c>
      <c r="AI31" s="7">
        <f>AI$2*(Underlying*EXP(-DividendYield*TimeToExpiration)*_xlfn.NORM.DIST(AI$2*(LN(Underlying/$H31)+(RiskFreeRate-DividendYield+0.5*AG31^2)*TimeToExpiration)/(AG31*TimeToExpiration^0.5), 0, 1, TRUE) - 
       $H31*EXP(-RiskFreeRate*TimeToExpiration)*_xlfn.NORM.DIST(AI$2*(LN(Underlying/$H31)+(RiskFreeRate-DividendYield-0.5*AG31^2)*TimeToExpiration)/(AG31*TimeToExpiration^0.5), 0, 1, TRUE)
)</f>
        <v>21.70874332</v>
      </c>
      <c r="AJ31" s="7">
        <f>AJ$2*(Underlying*EXP(-DividendYield*TimeToExpiration)*_xlfn.NORM.DIST(AJ$2*(LN(Underlying/$H31)+(RiskFreeRate-DividendYield+0.5*AH31^2)*TimeToExpiration)/(AH31*TimeToExpiration^0.5), 0, 1, TRUE) - 
       $H31*EXP(-RiskFreeRate*TimeToExpiration)*_xlfn.NORM.DIST(AJ$2*(LN(Underlying/$H31)+(RiskFreeRate-DividendYield-0.5*AH31^2)*TimeToExpiration)/(AH31*TimeToExpiration^0.5), 0, 1, TRUE)
)</f>
        <v>24.18444267</v>
      </c>
      <c r="AK31" s="40">
        <f t="shared" si="17"/>
        <v>0.46959375</v>
      </c>
      <c r="AL31" s="8">
        <f>AL$2*(Underlying*EXP(-DividendYield*TimeToExpiration)*_xlfn.NORM.DIST(AL$2*(LN(Underlying/$H31)+(RiskFreeRate-DividendYield+0.5*AK31^2)*TimeToExpiration)/(AK31*TimeToExpiration^0.5), 0, 1, TRUE) - 
       $H31*EXP(-RiskFreeRate*TimeToExpiration)*_xlfn.NORM.DIST(AL$2*(LN(Underlying/$H31)+(RiskFreeRate-DividendYield-0.5*AK31^2)*TimeToExpiration)/(AK31*TimeToExpiration^0.5), 0, 1, TRUE)
)</f>
        <v>22.84796639</v>
      </c>
      <c r="AM31" s="40">
        <f t="shared" si="18"/>
        <v>0.375875</v>
      </c>
      <c r="AN31" s="40">
        <f t="shared" si="19"/>
        <v>0.46959375</v>
      </c>
      <c r="AO31" s="7">
        <f>AO$2*(Underlying*EXP(-DividendYield*TimeToExpiration)*_xlfn.NORM.DIST(AO$2*(LN(Underlying/$H31)+(RiskFreeRate-DividendYield+0.5*AM31^2)*TimeToExpiration)/(AM31*TimeToExpiration^0.5), 0, 1, TRUE) - 
       $H31*EXP(-RiskFreeRate*TimeToExpiration)*_xlfn.NORM.DIST(AO$2*(LN(Underlying/$H31)+(RiskFreeRate-DividendYield-0.5*AM31^2)*TimeToExpiration)/(AM31*TimeToExpiration^0.5), 0, 1, TRUE)
)</f>
        <v>21.70874332</v>
      </c>
      <c r="AP31" s="7">
        <f>AP$2*(Underlying*EXP(-DividendYield*TimeToExpiration)*_xlfn.NORM.DIST(AP$2*(LN(Underlying/$H31)+(RiskFreeRate-DividendYield+0.5*AN31^2)*TimeToExpiration)/(AN31*TimeToExpiration^0.5), 0, 1, TRUE) - 
       $H31*EXP(-RiskFreeRate*TimeToExpiration)*_xlfn.NORM.DIST(AP$2*(LN(Underlying/$H31)+(RiskFreeRate-DividendYield-0.5*AN31^2)*TimeToExpiration)/(AN31*TimeToExpiration^0.5), 0, 1, TRUE)
)</f>
        <v>22.84796639</v>
      </c>
      <c r="AQ31" s="40">
        <f t="shared" si="20"/>
        <v>0.422734375</v>
      </c>
      <c r="AR31" s="8">
        <f>AR$2*(Underlying*EXP(-DividendYield*TimeToExpiration)*_xlfn.NORM.DIST(AR$2*(LN(Underlying/$H31)+(RiskFreeRate-DividendYield+0.5*AQ31^2)*TimeToExpiration)/(AQ31*TimeToExpiration^0.5), 0, 1, TRUE) - 
       $H31*EXP(-RiskFreeRate*TimeToExpiration)*_xlfn.NORM.DIST(AR$2*(LN(Underlying/$H31)+(RiskFreeRate-DividendYield-0.5*AQ31^2)*TimeToExpiration)/(AQ31*TimeToExpiration^0.5), 0, 1, TRUE)
)</f>
        <v>22.24790229</v>
      </c>
      <c r="AS31" s="40">
        <f t="shared" si="21"/>
        <v>0.375875</v>
      </c>
      <c r="AT31" s="40">
        <f t="shared" si="22"/>
        <v>0.422734375</v>
      </c>
      <c r="AU31" s="7">
        <f>AU$2*(Underlying*EXP(-DividendYield*TimeToExpiration)*_xlfn.NORM.DIST(AU$2*(LN(Underlying/$H31)+(RiskFreeRate-DividendYield+0.5*AS31^2)*TimeToExpiration)/(AS31*TimeToExpiration^0.5), 0, 1, TRUE) - 
       $H31*EXP(-RiskFreeRate*TimeToExpiration)*_xlfn.NORM.DIST(AU$2*(LN(Underlying/$H31)+(RiskFreeRate-DividendYield-0.5*AS31^2)*TimeToExpiration)/(AS31*TimeToExpiration^0.5), 0, 1, TRUE)
)</f>
        <v>21.70874332</v>
      </c>
      <c r="AV31" s="7">
        <f>AV$2*(Underlying*EXP(-DividendYield*TimeToExpiration)*_xlfn.NORM.DIST(AV$2*(LN(Underlying/$H31)+(RiskFreeRate-DividendYield+0.5*AT31^2)*TimeToExpiration)/(AT31*TimeToExpiration^0.5), 0, 1, TRUE) - 
       $H31*EXP(-RiskFreeRate*TimeToExpiration)*_xlfn.NORM.DIST(AV$2*(LN(Underlying/$H31)+(RiskFreeRate-DividendYield-0.5*AT31^2)*TimeToExpiration)/(AT31*TimeToExpiration^0.5), 0, 1, TRUE)
)</f>
        <v>22.24790229</v>
      </c>
      <c r="AW31" s="40">
        <f t="shared" si="23"/>
        <v>0.3993046875</v>
      </c>
      <c r="AX31" s="8">
        <f>AX$2*(Underlying*EXP(-DividendYield*TimeToExpiration)*_xlfn.NORM.DIST(AX$2*(LN(Underlying/$H31)+(RiskFreeRate-DividendYield+0.5*AW31^2)*TimeToExpiration)/(AW31*TimeToExpiration^0.5), 0, 1, TRUE) - 
       $H31*EXP(-RiskFreeRate*TimeToExpiration)*_xlfn.NORM.DIST(AX$2*(LN(Underlying/$H31)+(RiskFreeRate-DividendYield-0.5*AW31^2)*TimeToExpiration)/(AW31*TimeToExpiration^0.5), 0, 1, TRUE)
)</f>
        <v>21.96982359</v>
      </c>
      <c r="AY31" s="40">
        <f t="shared" si="24"/>
        <v>0.375875</v>
      </c>
      <c r="AZ31" s="40">
        <f t="shared" si="25"/>
        <v>0.3993046875</v>
      </c>
      <c r="BA31" s="7">
        <f>BA$2*(Underlying*EXP(-DividendYield*TimeToExpiration)*_xlfn.NORM.DIST(BA$2*(LN(Underlying/$H31)+(RiskFreeRate-DividendYield+0.5*AY31^2)*TimeToExpiration)/(AY31*TimeToExpiration^0.5), 0, 1, TRUE) - 
       $H31*EXP(-RiskFreeRate*TimeToExpiration)*_xlfn.NORM.DIST(BA$2*(LN(Underlying/$H31)+(RiskFreeRate-DividendYield-0.5*AY31^2)*TimeToExpiration)/(AY31*TimeToExpiration^0.5), 0, 1, TRUE)
)</f>
        <v>21.70874332</v>
      </c>
      <c r="BB31" s="7">
        <f>BB$2*(Underlying*EXP(-DividendYield*TimeToExpiration)*_xlfn.NORM.DIST(BB$2*(LN(Underlying/$H31)+(RiskFreeRate-DividendYield+0.5*AZ31^2)*TimeToExpiration)/(AZ31*TimeToExpiration^0.5), 0, 1, TRUE) - 
       $H31*EXP(-RiskFreeRate*TimeToExpiration)*_xlfn.NORM.DIST(BB$2*(LN(Underlying/$H31)+(RiskFreeRate-DividendYield-0.5*AZ31^2)*TimeToExpiration)/(AZ31*TimeToExpiration^0.5), 0, 1, TRUE)
)</f>
        <v>21.96982359</v>
      </c>
      <c r="BC31" s="40">
        <f t="shared" si="26"/>
        <v>0.3875898438</v>
      </c>
      <c r="BD31" s="8">
        <f>BD$2*(Underlying*EXP(-DividendYield*TimeToExpiration)*_xlfn.NORM.DIST(BD$2*(LN(Underlying/$H31)+(RiskFreeRate-DividendYield+0.5*BC31^2)*TimeToExpiration)/(BC31*TimeToExpiration^0.5), 0, 1, TRUE) - 
       $H31*EXP(-RiskFreeRate*TimeToExpiration)*_xlfn.NORM.DIST(BD$2*(LN(Underlying/$H31)+(RiskFreeRate-DividendYield-0.5*BC31^2)*TimeToExpiration)/(BC31*TimeToExpiration^0.5), 0, 1, TRUE)
)</f>
        <v>21.83703684</v>
      </c>
      <c r="BE31" s="40">
        <f t="shared" si="27"/>
        <v>0.375875</v>
      </c>
      <c r="BF31" s="40">
        <f t="shared" si="28"/>
        <v>0.3875898438</v>
      </c>
      <c r="BG31" s="7">
        <f>BG$2*(Underlying*EXP(-DividendYield*TimeToExpiration)*_xlfn.NORM.DIST(BG$2*(LN(Underlying/$H31)+(RiskFreeRate-DividendYield+0.5*BE31^2)*TimeToExpiration)/(BE31*TimeToExpiration^0.5), 0, 1, TRUE) - 
       $H31*EXP(-RiskFreeRate*TimeToExpiration)*_xlfn.NORM.DIST(BG$2*(LN(Underlying/$H31)+(RiskFreeRate-DividendYield-0.5*BE31^2)*TimeToExpiration)/(BE31*TimeToExpiration^0.5), 0, 1, TRUE)
)</f>
        <v>21.70874332</v>
      </c>
      <c r="BH31" s="7">
        <f>BH$2*(Underlying*EXP(-DividendYield*TimeToExpiration)*_xlfn.NORM.DIST(BH$2*(LN(Underlying/$H31)+(RiskFreeRate-DividendYield+0.5*BF31^2)*TimeToExpiration)/(BF31*TimeToExpiration^0.5), 0, 1, TRUE) - 
       $H31*EXP(-RiskFreeRate*TimeToExpiration)*_xlfn.NORM.DIST(BH$2*(LN(Underlying/$H31)+(RiskFreeRate-DividendYield-0.5*BF31^2)*TimeToExpiration)/(BF31*TimeToExpiration^0.5), 0, 1, TRUE)
)</f>
        <v>21.83703684</v>
      </c>
      <c r="BI31" s="40">
        <f t="shared" si="29"/>
        <v>0.3817324219</v>
      </c>
      <c r="BJ31" s="8">
        <f>BJ$2*(Underlying*EXP(-DividendYield*TimeToExpiration)*_xlfn.NORM.DIST(BJ$2*(LN(Underlying/$H31)+(RiskFreeRate-DividendYield+0.5*BI31^2)*TimeToExpiration)/(BI31*TimeToExpiration^0.5), 0, 1, TRUE) - 
       $H31*EXP(-RiskFreeRate*TimeToExpiration)*_xlfn.NORM.DIST(BJ$2*(LN(Underlying/$H31)+(RiskFreeRate-DividendYield-0.5*BI31^2)*TimeToExpiration)/(BI31*TimeToExpiration^0.5), 0, 1, TRUE)
)</f>
        <v>21.77231251</v>
      </c>
      <c r="BK31" s="40">
        <f t="shared" si="30"/>
        <v>0.375875</v>
      </c>
      <c r="BL31" s="40">
        <f t="shared" si="31"/>
        <v>0.3817324219</v>
      </c>
      <c r="BM31" s="7">
        <f>BM$2*(Underlying*EXP(-DividendYield*TimeToExpiration)*_xlfn.NORM.DIST(BM$2*(LN(Underlying/$H31)+(RiskFreeRate-DividendYield+0.5*BK31^2)*TimeToExpiration)/(BK31*TimeToExpiration^0.5), 0, 1, TRUE) - 
       $H31*EXP(-RiskFreeRate*TimeToExpiration)*_xlfn.NORM.DIST(BM$2*(LN(Underlying/$H31)+(RiskFreeRate-DividendYield-0.5*BK31^2)*TimeToExpiration)/(BK31*TimeToExpiration^0.5), 0, 1, TRUE)
)</f>
        <v>21.70874332</v>
      </c>
      <c r="BN31" s="7">
        <f>BN$2*(Underlying*EXP(-DividendYield*TimeToExpiration)*_xlfn.NORM.DIST(BN$2*(LN(Underlying/$H31)+(RiskFreeRate-DividendYield+0.5*BL31^2)*TimeToExpiration)/(BL31*TimeToExpiration^0.5), 0, 1, TRUE) - 
       $H31*EXP(-RiskFreeRate*TimeToExpiration)*_xlfn.NORM.DIST(BN$2*(LN(Underlying/$H31)+(RiskFreeRate-DividendYield-0.5*BL31^2)*TimeToExpiration)/(BL31*TimeToExpiration^0.5), 0, 1, TRUE)
)</f>
        <v>21.77231251</v>
      </c>
      <c r="BO31" s="40">
        <f t="shared" si="32"/>
        <v>0.3788037109</v>
      </c>
      <c r="BP31" s="8">
        <f>BP$2*(Underlying*EXP(-DividendYield*TimeToExpiration)*_xlfn.NORM.DIST(BP$2*(LN(Underlying/$H31)+(RiskFreeRate-DividendYield+0.5*BO31^2)*TimeToExpiration)/(BO31*TimeToExpiration^0.5), 0, 1, TRUE) - 
       $H31*EXP(-RiskFreeRate*TimeToExpiration)*_xlfn.NORM.DIST(BP$2*(LN(Underlying/$H31)+(RiskFreeRate-DividendYield-0.5*BO31^2)*TimeToExpiration)/(BO31*TimeToExpiration^0.5), 0, 1, TRUE)
)</f>
        <v>21.74038149</v>
      </c>
      <c r="BQ31" s="40">
        <f t="shared" si="33"/>
        <v>0.375875</v>
      </c>
      <c r="BR31" s="40">
        <f t="shared" si="34"/>
        <v>0.3788037109</v>
      </c>
      <c r="BS31" s="7">
        <f>BS$2*(Underlying*EXP(-DividendYield*TimeToExpiration)*_xlfn.NORM.DIST(BS$2*(LN(Underlying/$H31)+(RiskFreeRate-DividendYield+0.5*BQ31^2)*TimeToExpiration)/(BQ31*TimeToExpiration^0.5), 0, 1, TRUE) - 
       $H31*EXP(-RiskFreeRate*TimeToExpiration)*_xlfn.NORM.DIST(BS$2*(LN(Underlying/$H31)+(RiskFreeRate-DividendYield-0.5*BQ31^2)*TimeToExpiration)/(BQ31*TimeToExpiration^0.5), 0, 1, TRUE)
)</f>
        <v>21.70874332</v>
      </c>
      <c r="BT31" s="7">
        <f>BT$2*(Underlying*EXP(-DividendYield*TimeToExpiration)*_xlfn.NORM.DIST(BT$2*(LN(Underlying/$H31)+(RiskFreeRate-DividendYield+0.5*BR31^2)*TimeToExpiration)/(BR31*TimeToExpiration^0.5), 0, 1, TRUE) - 
       $H31*EXP(-RiskFreeRate*TimeToExpiration)*_xlfn.NORM.DIST(BT$2*(LN(Underlying/$H31)+(RiskFreeRate-DividendYield-0.5*BR31^2)*TimeToExpiration)/(BR31*TimeToExpiration^0.5), 0, 1, TRUE)
)</f>
        <v>21.74038149</v>
      </c>
      <c r="BU31" s="40">
        <f t="shared" si="35"/>
        <v>0.3773393555</v>
      </c>
      <c r="BV31" s="8">
        <f>BV$2*(Underlying*EXP(-DividendYield*TimeToExpiration)*_xlfn.NORM.DIST(BV$2*(LN(Underlying/$H31)+(RiskFreeRate-DividendYield+0.5*BU31^2)*TimeToExpiration)/(BU31*TimeToExpiration^0.5), 0, 1, TRUE) - 
       $H31*EXP(-RiskFreeRate*TimeToExpiration)*_xlfn.NORM.DIST(BV$2*(LN(Underlying/$H31)+(RiskFreeRate-DividendYield-0.5*BU31^2)*TimeToExpiration)/(BU31*TimeToExpiration^0.5), 0, 1, TRUE)
)</f>
        <v>21.72452554</v>
      </c>
      <c r="BW31" s="40">
        <f t="shared" si="36"/>
        <v>0.3773393555</v>
      </c>
      <c r="BX31" s="40">
        <f t="shared" si="37"/>
        <v>0.3788037109</v>
      </c>
      <c r="BY31" s="7">
        <f>BY$2*(Underlying*EXP(-DividendYield*TimeToExpiration)*_xlfn.NORM.DIST(BY$2*(LN(Underlying/$H31)+(RiskFreeRate-DividendYield+0.5*BW31^2)*TimeToExpiration)/(BW31*TimeToExpiration^0.5), 0, 1, TRUE) - 
       $H31*EXP(-RiskFreeRate*TimeToExpiration)*_xlfn.NORM.DIST(BY$2*(LN(Underlying/$H31)+(RiskFreeRate-DividendYield-0.5*BW31^2)*TimeToExpiration)/(BW31*TimeToExpiration^0.5), 0, 1, TRUE)
)</f>
        <v>21.72452554</v>
      </c>
      <c r="BZ31" s="7">
        <f>BZ$2*(Underlying*EXP(-DividendYield*TimeToExpiration)*_xlfn.NORM.DIST(BZ$2*(LN(Underlying/$H31)+(RiskFreeRate-DividendYield+0.5*BX31^2)*TimeToExpiration)/(BX31*TimeToExpiration^0.5), 0, 1, TRUE) - 
       $H31*EXP(-RiskFreeRate*TimeToExpiration)*_xlfn.NORM.DIST(BZ$2*(LN(Underlying/$H31)+(RiskFreeRate-DividendYield-0.5*BX31^2)*TimeToExpiration)/(BX31*TimeToExpiration^0.5), 0, 1, TRUE)
)</f>
        <v>21.74038149</v>
      </c>
      <c r="CA31" s="40">
        <f t="shared" si="38"/>
        <v>0.3780715332</v>
      </c>
      <c r="CB31" s="8">
        <f>CB$2*(Underlying*EXP(-DividendYield*TimeToExpiration)*_xlfn.NORM.DIST(CB$2*(LN(Underlying/$H31)+(RiskFreeRate-DividendYield+0.5*CA31^2)*TimeToExpiration)/(CA31*TimeToExpiration^0.5), 0, 1, TRUE) - 
       $H31*EXP(-RiskFreeRate*TimeToExpiration)*_xlfn.NORM.DIST(CB$2*(LN(Underlying/$H31)+(RiskFreeRate-DividendYield-0.5*CA31^2)*TimeToExpiration)/(CA31*TimeToExpiration^0.5), 0, 1, TRUE)
)</f>
        <v>21.73244433</v>
      </c>
      <c r="CC31" s="40">
        <f t="shared" si="39"/>
        <v>0.3773393555</v>
      </c>
      <c r="CD31" s="40">
        <f t="shared" si="40"/>
        <v>0.3780715332</v>
      </c>
      <c r="CE31" s="7">
        <f>CE$2*(Underlying*EXP(-DividendYield*TimeToExpiration)*_xlfn.NORM.DIST(CE$2*(LN(Underlying/$H31)+(RiskFreeRate-DividendYield+0.5*CC31^2)*TimeToExpiration)/(CC31*TimeToExpiration^0.5), 0, 1, TRUE) - 
       $H31*EXP(-RiskFreeRate*TimeToExpiration)*_xlfn.NORM.DIST(CE$2*(LN(Underlying/$H31)+(RiskFreeRate-DividendYield-0.5*CC31^2)*TimeToExpiration)/(CC31*TimeToExpiration^0.5), 0, 1, TRUE)
)</f>
        <v>21.72452554</v>
      </c>
      <c r="CF31" s="7">
        <f>CF$2*(Underlying*EXP(-DividendYield*TimeToExpiration)*_xlfn.NORM.DIST(CF$2*(LN(Underlying/$H31)+(RiskFreeRate-DividendYield+0.5*CD31^2)*TimeToExpiration)/(CD31*TimeToExpiration^0.5), 0, 1, TRUE) - 
       $H31*EXP(-RiskFreeRate*TimeToExpiration)*_xlfn.NORM.DIST(CF$2*(LN(Underlying/$H31)+(RiskFreeRate-DividendYield-0.5*CD31^2)*TimeToExpiration)/(CD31*TimeToExpiration^0.5), 0, 1, TRUE)
)</f>
        <v>21.73244433</v>
      </c>
      <c r="CG31" s="40">
        <f t="shared" si="41"/>
        <v>0.3777054443</v>
      </c>
      <c r="CH31" s="8">
        <f>CH$2*(Underlying*EXP(-DividendYield*TimeToExpiration)*_xlfn.NORM.DIST(CH$2*(LN(Underlying/$H31)+(RiskFreeRate-DividendYield+0.5*CG31^2)*TimeToExpiration)/(CG31*TimeToExpiration^0.5), 0, 1, TRUE) - 
       $H31*EXP(-RiskFreeRate*TimeToExpiration)*_xlfn.NORM.DIST(CH$2*(LN(Underlying/$H31)+(RiskFreeRate-DividendYield-0.5*CG31^2)*TimeToExpiration)/(CG31*TimeToExpiration^0.5), 0, 1, TRUE)
)</f>
        <v>21.72848264</v>
      </c>
      <c r="CI31" s="40">
        <f t="shared" si="42"/>
        <v>0.3773393555</v>
      </c>
      <c r="CJ31" s="40">
        <f t="shared" si="43"/>
        <v>0.3777054443</v>
      </c>
      <c r="CK31" s="7">
        <f>CK$2*(Underlying*EXP(-DividendYield*TimeToExpiration)*_xlfn.NORM.DIST(CK$2*(LN(Underlying/$H31)+(RiskFreeRate-DividendYield+0.5*CI31^2)*TimeToExpiration)/(CI31*TimeToExpiration^0.5), 0, 1, TRUE) - 
       $H31*EXP(-RiskFreeRate*TimeToExpiration)*_xlfn.NORM.DIST(CK$2*(LN(Underlying/$H31)+(RiskFreeRate-DividendYield-0.5*CI31^2)*TimeToExpiration)/(CI31*TimeToExpiration^0.5), 0, 1, TRUE)
)</f>
        <v>21.72452554</v>
      </c>
      <c r="CL31" s="7">
        <f>CL$2*(Underlying*EXP(-DividendYield*TimeToExpiration)*_xlfn.NORM.DIST(CL$2*(LN(Underlying/$H31)+(RiskFreeRate-DividendYield+0.5*CJ31^2)*TimeToExpiration)/(CJ31*TimeToExpiration^0.5), 0, 1, TRUE) - 
       $H31*EXP(-RiskFreeRate*TimeToExpiration)*_xlfn.NORM.DIST(CL$2*(LN(Underlying/$H31)+(RiskFreeRate-DividendYield-0.5*CJ31^2)*TimeToExpiration)/(CJ31*TimeToExpiration^0.5), 0, 1, TRUE)
)</f>
        <v>21.72848264</v>
      </c>
      <c r="CM31" s="40">
        <f t="shared" si="44"/>
        <v>0.3775223999</v>
      </c>
      <c r="CN31" s="8">
        <f>CN$2*(Underlying*EXP(-DividendYield*TimeToExpiration)*_xlfn.NORM.DIST(CN$2*(LN(Underlying/$H31)+(RiskFreeRate-DividendYield+0.5*CM31^2)*TimeToExpiration)/(CM31*TimeToExpiration^0.5), 0, 1, TRUE) - 
       $H31*EXP(-RiskFreeRate*TimeToExpiration)*_xlfn.NORM.DIST(CN$2*(LN(Underlying/$H31)+(RiskFreeRate-DividendYield-0.5*CM31^2)*TimeToExpiration)/(CM31*TimeToExpiration^0.5), 0, 1, TRUE)
)</f>
        <v>21.72650351</v>
      </c>
      <c r="CO31" s="40">
        <f t="shared" si="45"/>
        <v>0.3773393555</v>
      </c>
      <c r="CP31" s="40">
        <f t="shared" si="46"/>
        <v>0.3775223999</v>
      </c>
      <c r="CQ31" s="7">
        <f>CQ$2*(Underlying*EXP(-DividendYield*TimeToExpiration)*_xlfn.NORM.DIST(CQ$2*(LN(Underlying/$H31)+(RiskFreeRate-DividendYield+0.5*CO31^2)*TimeToExpiration)/(CO31*TimeToExpiration^0.5), 0, 1, TRUE) - 
       $H31*EXP(-RiskFreeRate*TimeToExpiration)*_xlfn.NORM.DIST(CQ$2*(LN(Underlying/$H31)+(RiskFreeRate-DividendYield-0.5*CO31^2)*TimeToExpiration)/(CO31*TimeToExpiration^0.5), 0, 1, TRUE)
)</f>
        <v>21.72452554</v>
      </c>
      <c r="CR31" s="7">
        <f>CR$2*(Underlying*EXP(-DividendYield*TimeToExpiration)*_xlfn.NORM.DIST(CR$2*(LN(Underlying/$H31)+(RiskFreeRate-DividendYield+0.5*CP31^2)*TimeToExpiration)/(CP31*TimeToExpiration^0.5), 0, 1, TRUE) - 
       $H31*EXP(-RiskFreeRate*TimeToExpiration)*_xlfn.NORM.DIST(CR$2*(LN(Underlying/$H31)+(RiskFreeRate-DividendYield-0.5*CP31^2)*TimeToExpiration)/(CP31*TimeToExpiration^0.5), 0, 1, TRUE)
)</f>
        <v>21.72650351</v>
      </c>
      <c r="CS31" s="40">
        <f t="shared" si="47"/>
        <v>0.3774308777</v>
      </c>
      <c r="CT31" s="8">
        <f>CT$2*(Underlying*EXP(-DividendYield*TimeToExpiration)*_xlfn.NORM.DIST(CT$2*(LN(Underlying/$H31)+(RiskFreeRate-DividendYield+0.5*CS31^2)*TimeToExpiration)/(CS31*TimeToExpiration^0.5), 0, 1, TRUE) - 
       $H31*EXP(-RiskFreeRate*TimeToExpiration)*_xlfn.NORM.DIST(CT$2*(LN(Underlying/$H31)+(RiskFreeRate-DividendYield-0.5*CS31^2)*TimeToExpiration)/(CS31*TimeToExpiration^0.5), 0, 1, TRUE)
)</f>
        <v>21.72551438</v>
      </c>
      <c r="CU31" s="40">
        <f t="shared" si="48"/>
        <v>0.3773393555</v>
      </c>
      <c r="CV31" s="40">
        <f t="shared" si="49"/>
        <v>0.3774308777</v>
      </c>
      <c r="CW31" s="7">
        <f>CW$2*(Underlying*EXP(-DividendYield*TimeToExpiration)*_xlfn.NORM.DIST(CW$2*(LN(Underlying/$H31)+(RiskFreeRate-DividendYield+0.5*CU31^2)*TimeToExpiration)/(CU31*TimeToExpiration^0.5), 0, 1, TRUE) - 
       $H31*EXP(-RiskFreeRate*TimeToExpiration)*_xlfn.NORM.DIST(CW$2*(LN(Underlying/$H31)+(RiskFreeRate-DividendYield-0.5*CU31^2)*TimeToExpiration)/(CU31*TimeToExpiration^0.5), 0, 1, TRUE)
)</f>
        <v>21.72452554</v>
      </c>
      <c r="CX31" s="7">
        <f>CX$2*(Underlying*EXP(-DividendYield*TimeToExpiration)*_xlfn.NORM.DIST(CX$2*(LN(Underlying/$H31)+(RiskFreeRate-DividendYield+0.5*CV31^2)*TimeToExpiration)/(CV31*TimeToExpiration^0.5), 0, 1, TRUE) - 
       $H31*EXP(-RiskFreeRate*TimeToExpiration)*_xlfn.NORM.DIST(CX$2*(LN(Underlying/$H31)+(RiskFreeRate-DividendYield-0.5*CV31^2)*TimeToExpiration)/(CV31*TimeToExpiration^0.5), 0, 1, TRUE)
)</f>
        <v>21.72551438</v>
      </c>
      <c r="CY31" s="40">
        <f t="shared" si="50"/>
        <v>0.3773851166</v>
      </c>
      <c r="CZ31" s="8">
        <f>CZ$2*(Underlying*EXP(-DividendYield*TimeToExpiration)*_xlfn.NORM.DIST(CZ$2*(LN(Underlying/$H31)+(RiskFreeRate-DividendYield+0.5*CY31^2)*TimeToExpiration)/(CY31*TimeToExpiration^0.5), 0, 1, TRUE) - 
       $H31*EXP(-RiskFreeRate*TimeToExpiration)*_xlfn.NORM.DIST(CZ$2*(LN(Underlying/$H31)+(RiskFreeRate-DividendYield-0.5*CY31^2)*TimeToExpiration)/(CY31*TimeToExpiration^0.5), 0, 1, TRUE)
)</f>
        <v>21.72501993</v>
      </c>
      <c r="DA31" s="40">
        <f t="shared" si="51"/>
        <v>0.3773393555</v>
      </c>
      <c r="DB31" s="40">
        <f t="shared" si="52"/>
        <v>0.3773851166</v>
      </c>
      <c r="DC31" s="7">
        <f>DC$2*(Underlying*EXP(-DividendYield*TimeToExpiration)*_xlfn.NORM.DIST(DC$2*(LN(Underlying/$H31)+(RiskFreeRate-DividendYield+0.5*DA31^2)*TimeToExpiration)/(DA31*TimeToExpiration^0.5), 0, 1, TRUE) - 
       $H31*EXP(-RiskFreeRate*TimeToExpiration)*_xlfn.NORM.DIST(DC$2*(LN(Underlying/$H31)+(RiskFreeRate-DividendYield-0.5*DA31^2)*TimeToExpiration)/(DA31*TimeToExpiration^0.5), 0, 1, TRUE)
)</f>
        <v>21.72452554</v>
      </c>
      <c r="DD31" s="7">
        <f>DD$2*(Underlying*EXP(-DividendYield*TimeToExpiration)*_xlfn.NORM.DIST(DD$2*(LN(Underlying/$H31)+(RiskFreeRate-DividendYield+0.5*DB31^2)*TimeToExpiration)/(DB31*TimeToExpiration^0.5), 0, 1, TRUE) - 
       $H31*EXP(-RiskFreeRate*TimeToExpiration)*_xlfn.NORM.DIST(DD$2*(LN(Underlying/$H31)+(RiskFreeRate-DividendYield-0.5*DB31^2)*TimeToExpiration)/(DB31*TimeToExpiration^0.5), 0, 1, TRUE)
)</f>
        <v>21.72501993</v>
      </c>
      <c r="DE31" s="40">
        <f t="shared" si="53"/>
        <v>0.377362236</v>
      </c>
      <c r="DF31" s="8">
        <f>DF$2*(Underlying*EXP(-DividendYield*TimeToExpiration)*_xlfn.NORM.DIST(DF$2*(LN(Underlying/$H31)+(RiskFreeRate-DividendYield+0.5*DE31^2)*TimeToExpiration)/(DE31*TimeToExpiration^0.5), 0, 1, TRUE) - 
       $H31*EXP(-RiskFreeRate*TimeToExpiration)*_xlfn.NORM.DIST(DF$2*(LN(Underlying/$H31)+(RiskFreeRate-DividendYield-0.5*DE31^2)*TimeToExpiration)/(DE31*TimeToExpiration^0.5), 0, 1, TRUE)
)</f>
        <v>21.72477272</v>
      </c>
    </row>
    <row r="32">
      <c r="A32" s="20">
        <f>'Option Mkt Data'!A32</f>
        <v>362.5</v>
      </c>
      <c r="B32" s="35">
        <f t="shared" ref="B32:C32" si="79">DE32</f>
        <v>0.3602933426</v>
      </c>
      <c r="C32" s="7">
        <f t="shared" si="79"/>
        <v>23.77511264</v>
      </c>
      <c r="D32" s="7">
        <f t="shared" si="3"/>
        <v>0.0001111177032</v>
      </c>
      <c r="E32" s="9">
        <f t="shared" si="4"/>
        <v>0.00000467372013</v>
      </c>
      <c r="F32" s="36">
        <f>D32/'Option Mkt Data'!M32</f>
        <v>0.0001307281169</v>
      </c>
      <c r="G32" s="5">
        <f>'Option Mkt Data'!K32</f>
        <v>23.77500153</v>
      </c>
      <c r="H32" s="33">
        <f>'Option Mkt Data'!A32</f>
        <v>362.5</v>
      </c>
      <c r="I32" s="37">
        <f>MinSolverVola</f>
        <v>0.001</v>
      </c>
      <c r="J32" s="38">
        <f>MaxSolverVola</f>
        <v>3</v>
      </c>
      <c r="K32" s="39">
        <f>K$2*(Underlying*EXP(-DividendYield*TimeToExpiration)*_xlfn.NORM.DIST(K$2*(LN(Underlying/$H32)+(RiskFreeRate-DividendYield+0.5*I32^2)*TimeToExpiration)/(I32*TimeToExpiration^0.5), 0, 1, TRUE) - 
       $H32*EXP(-RiskFreeRate*TimeToExpiration)*_xlfn.NORM.DIST(K$2*(LN(Underlying/$H32)+(RiskFreeRate-DividendYield-0.5*I32^2)*TimeToExpiration)/(I32*TimeToExpiration^0.5), 0, 1, TRUE)
)</f>
        <v>22.93392338</v>
      </c>
      <c r="L32" s="7">
        <f>L$2*(Underlying*EXP(-DividendYield*TimeToExpiration)*_xlfn.NORM.DIST(L$2*(LN(Underlying/$H32)+(RiskFreeRate-DividendYield+0.5*J32^2)*TimeToExpiration)/(J32*TimeToExpiration^0.5), 0, 1, TRUE) - 
       $H32*EXP(-RiskFreeRate*TimeToExpiration)*_xlfn.NORM.DIST(L$2*(LN(Underlying/$H32)+(RiskFreeRate-DividendYield-0.5*J32^2)*TimeToExpiration)/(J32*TimeToExpiration^0.5), 0, 1, TRUE)
)</f>
        <v>71.07145673</v>
      </c>
      <c r="M32" s="40">
        <f t="shared" si="5"/>
        <v>1.5005</v>
      </c>
      <c r="N32" s="8">
        <f>N$2*(Underlying*EXP(-DividendYield*TimeToExpiration)*_xlfn.NORM.DIST(N$2*(LN(Underlying/$H32)+(RiskFreeRate-DividendYield+0.5*M32^2)*TimeToExpiration)/(M32*TimeToExpiration^0.5), 0, 1, TRUE) - 
       $H32*EXP(-RiskFreeRate*TimeToExpiration)*_xlfn.NORM.DIST(N$2*(LN(Underlying/$H32)+(RiskFreeRate-DividendYield-0.5*M32^2)*TimeToExpiration)/(M32*TimeToExpiration^0.5), 0, 1, TRUE)
)</f>
        <v>42.49168498</v>
      </c>
      <c r="O32" s="41">
        <f t="shared" si="6"/>
        <v>0.001</v>
      </c>
      <c r="P32" s="40">
        <f t="shared" si="7"/>
        <v>1.5005</v>
      </c>
      <c r="Q32" s="7">
        <f>Q$2*(Underlying*EXP(-DividendYield*TimeToExpiration)*_xlfn.NORM.DIST(Q$2*(LN(Underlying/$H32)+(RiskFreeRate-DividendYield+0.5*O32^2)*TimeToExpiration)/(O32*TimeToExpiration^0.5), 0, 1, TRUE) - 
       $H32*EXP(-RiskFreeRate*TimeToExpiration)*_xlfn.NORM.DIST(Q$2*(LN(Underlying/$H32)+(RiskFreeRate-DividendYield-0.5*O32^2)*TimeToExpiration)/(O32*TimeToExpiration^0.5), 0, 1, TRUE)
)</f>
        <v>22.93392338</v>
      </c>
      <c r="R32" s="7">
        <f>R$2*(Underlying*EXP(-DividendYield*TimeToExpiration)*_xlfn.NORM.DIST(R$2*(LN(Underlying/$H32)+(RiskFreeRate-DividendYield+0.5*P32^2)*TimeToExpiration)/(P32*TimeToExpiration^0.5), 0, 1, TRUE) - 
       $H32*EXP(-RiskFreeRate*TimeToExpiration)*_xlfn.NORM.DIST(R$2*(LN(Underlying/$H32)+(RiskFreeRate-DividendYield-0.5*P32^2)*TimeToExpiration)/(P32*TimeToExpiration^0.5), 0, 1, TRUE)
)</f>
        <v>42.49168498</v>
      </c>
      <c r="S32" s="40">
        <f t="shared" si="8"/>
        <v>0.75075</v>
      </c>
      <c r="T32" s="8">
        <f>T$2*(Underlying*EXP(-DividendYield*TimeToExpiration)*_xlfn.NORM.DIST(T$2*(LN(Underlying/$H32)+(RiskFreeRate-DividendYield+0.5*S32^2)*TimeToExpiration)/(S32*TimeToExpiration^0.5), 0, 1, TRUE) - 
       $H32*EXP(-RiskFreeRate*TimeToExpiration)*_xlfn.NORM.DIST(T$2*(LN(Underlying/$H32)+(RiskFreeRate-DividendYield-0.5*S32^2)*TimeToExpiration)/(S32*TimeToExpiration^0.5), 0, 1, TRUE)
)</f>
        <v>29.04311806</v>
      </c>
      <c r="U32" s="41">
        <f t="shared" si="9"/>
        <v>0.001</v>
      </c>
      <c r="V32" s="40">
        <f t="shared" si="10"/>
        <v>0.75075</v>
      </c>
      <c r="W32" s="7">
        <f>W$2*(Underlying*EXP(-DividendYield*TimeToExpiration)*_xlfn.NORM.DIST(W$2*(LN(Underlying/$H32)+(RiskFreeRate-DividendYield+0.5*U32^2)*TimeToExpiration)/(U32*TimeToExpiration^0.5), 0, 1, TRUE) - 
       $H32*EXP(-RiskFreeRate*TimeToExpiration)*_xlfn.NORM.DIST(W$2*(LN(Underlying/$H32)+(RiskFreeRate-DividendYield-0.5*U32^2)*TimeToExpiration)/(U32*TimeToExpiration^0.5), 0, 1, TRUE)
)</f>
        <v>22.93392338</v>
      </c>
      <c r="X32" s="7">
        <f>X$2*(Underlying*EXP(-DividendYield*TimeToExpiration)*_xlfn.NORM.DIST(X$2*(LN(Underlying/$H32)+(RiskFreeRate-DividendYield+0.5*V32^2)*TimeToExpiration)/(V32*TimeToExpiration^0.5), 0, 1, TRUE) - 
       $H32*EXP(-RiskFreeRate*TimeToExpiration)*_xlfn.NORM.DIST(X$2*(LN(Underlying/$H32)+(RiskFreeRate-DividendYield-0.5*V32^2)*TimeToExpiration)/(V32*TimeToExpiration^0.5), 0, 1, TRUE)
)</f>
        <v>29.04311806</v>
      </c>
      <c r="Y32" s="40">
        <f t="shared" si="11"/>
        <v>0.375875</v>
      </c>
      <c r="Z32" s="8">
        <f>Z$2*(Underlying*EXP(-DividendYield*TimeToExpiration)*_xlfn.NORM.DIST(Z$2*(LN(Underlying/$H32)+(RiskFreeRate-DividendYield+0.5*Y32^2)*TimeToExpiration)/(Y32*TimeToExpiration^0.5), 0, 1, TRUE) - 
       $H32*EXP(-RiskFreeRate*TimeToExpiration)*_xlfn.NORM.DIST(Z$2*(LN(Underlying/$H32)+(RiskFreeRate-DividendYield-0.5*Y32^2)*TimeToExpiration)/(Y32*TimeToExpiration^0.5), 0, 1, TRUE)
)</f>
        <v>23.91493517</v>
      </c>
      <c r="AA32" s="41">
        <f t="shared" si="12"/>
        <v>0.001</v>
      </c>
      <c r="AB32" s="40">
        <f t="shared" si="13"/>
        <v>0.375875</v>
      </c>
      <c r="AC32" s="7">
        <f>AC$2*(Underlying*EXP(-DividendYield*TimeToExpiration)*_xlfn.NORM.DIST(AC$2*(LN(Underlying/$H32)+(RiskFreeRate-DividendYield+0.5*AA32^2)*TimeToExpiration)/(AA32*TimeToExpiration^0.5), 0, 1, TRUE) - 
       $H32*EXP(-RiskFreeRate*TimeToExpiration)*_xlfn.NORM.DIST(AC$2*(LN(Underlying/$H32)+(RiskFreeRate-DividendYield-0.5*AA32^2)*TimeToExpiration)/(AA32*TimeToExpiration^0.5), 0, 1, TRUE)
)</f>
        <v>22.93392338</v>
      </c>
      <c r="AD32" s="7">
        <f>AD$2*(Underlying*EXP(-DividendYield*TimeToExpiration)*_xlfn.NORM.DIST(AD$2*(LN(Underlying/$H32)+(RiskFreeRate-DividendYield+0.5*AB32^2)*TimeToExpiration)/(AB32*TimeToExpiration^0.5), 0, 1, TRUE) - 
       $H32*EXP(-RiskFreeRate*TimeToExpiration)*_xlfn.NORM.DIST(AD$2*(LN(Underlying/$H32)+(RiskFreeRate-DividendYield-0.5*AB32^2)*TimeToExpiration)/(AB32*TimeToExpiration^0.5), 0, 1, TRUE)
)</f>
        <v>23.91493517</v>
      </c>
      <c r="AE32" s="40">
        <f t="shared" si="14"/>
        <v>0.1884375</v>
      </c>
      <c r="AF32" s="8">
        <f>AF$2*(Underlying*EXP(-DividendYield*TimeToExpiration)*_xlfn.NORM.DIST(AF$2*(LN(Underlying/$H32)+(RiskFreeRate-DividendYield+0.5*AE32^2)*TimeToExpiration)/(AE32*TimeToExpiration^0.5), 0, 1, TRUE) - 
       $H32*EXP(-RiskFreeRate*TimeToExpiration)*_xlfn.NORM.DIST(AF$2*(LN(Underlying/$H32)+(RiskFreeRate-DividendYield-0.5*AE32^2)*TimeToExpiration)/(AE32*TimeToExpiration^0.5), 0, 1, TRUE)
)</f>
        <v>22.95543799</v>
      </c>
      <c r="AG32" s="40">
        <f t="shared" si="15"/>
        <v>0.1884375</v>
      </c>
      <c r="AH32" s="40">
        <f t="shared" si="16"/>
        <v>0.375875</v>
      </c>
      <c r="AI32" s="7">
        <f>AI$2*(Underlying*EXP(-DividendYield*TimeToExpiration)*_xlfn.NORM.DIST(AI$2*(LN(Underlying/$H32)+(RiskFreeRate-DividendYield+0.5*AG32^2)*TimeToExpiration)/(AG32*TimeToExpiration^0.5), 0, 1, TRUE) - 
       $H32*EXP(-RiskFreeRate*TimeToExpiration)*_xlfn.NORM.DIST(AI$2*(LN(Underlying/$H32)+(RiskFreeRate-DividendYield-0.5*AG32^2)*TimeToExpiration)/(AG32*TimeToExpiration^0.5), 0, 1, TRUE)
)</f>
        <v>22.95543799</v>
      </c>
      <c r="AJ32" s="7">
        <f>AJ$2*(Underlying*EXP(-DividendYield*TimeToExpiration)*_xlfn.NORM.DIST(AJ$2*(LN(Underlying/$H32)+(RiskFreeRate-DividendYield+0.5*AH32^2)*TimeToExpiration)/(AH32*TimeToExpiration^0.5), 0, 1, TRUE) - 
       $H32*EXP(-RiskFreeRate*TimeToExpiration)*_xlfn.NORM.DIST(AJ$2*(LN(Underlying/$H32)+(RiskFreeRate-DividendYield-0.5*AH32^2)*TimeToExpiration)/(AH32*TimeToExpiration^0.5), 0, 1, TRUE)
)</f>
        <v>23.91493517</v>
      </c>
      <c r="AK32" s="40">
        <f t="shared" si="17"/>
        <v>0.28215625</v>
      </c>
      <c r="AL32" s="8">
        <f>AL$2*(Underlying*EXP(-DividendYield*TimeToExpiration)*_xlfn.NORM.DIST(AL$2*(LN(Underlying/$H32)+(RiskFreeRate-DividendYield+0.5*AK32^2)*TimeToExpiration)/(AK32*TimeToExpiration^0.5), 0, 1, TRUE) - 
       $H32*EXP(-RiskFreeRate*TimeToExpiration)*_xlfn.NORM.DIST(AL$2*(LN(Underlying/$H32)+(RiskFreeRate-DividendYield-0.5*AK32^2)*TimeToExpiration)/(AK32*TimeToExpiration^0.5), 0, 1, TRUE)
)</f>
        <v>23.22991311</v>
      </c>
      <c r="AM32" s="40">
        <f t="shared" si="18"/>
        <v>0.28215625</v>
      </c>
      <c r="AN32" s="40">
        <f t="shared" si="19"/>
        <v>0.375875</v>
      </c>
      <c r="AO32" s="7">
        <f>AO$2*(Underlying*EXP(-DividendYield*TimeToExpiration)*_xlfn.NORM.DIST(AO$2*(LN(Underlying/$H32)+(RiskFreeRate-DividendYield+0.5*AM32^2)*TimeToExpiration)/(AM32*TimeToExpiration^0.5), 0, 1, TRUE) - 
       $H32*EXP(-RiskFreeRate*TimeToExpiration)*_xlfn.NORM.DIST(AO$2*(LN(Underlying/$H32)+(RiskFreeRate-DividendYield-0.5*AM32^2)*TimeToExpiration)/(AM32*TimeToExpiration^0.5), 0, 1, TRUE)
)</f>
        <v>23.22991311</v>
      </c>
      <c r="AP32" s="7">
        <f>AP$2*(Underlying*EXP(-DividendYield*TimeToExpiration)*_xlfn.NORM.DIST(AP$2*(LN(Underlying/$H32)+(RiskFreeRate-DividendYield+0.5*AN32^2)*TimeToExpiration)/(AN32*TimeToExpiration^0.5), 0, 1, TRUE) - 
       $H32*EXP(-RiskFreeRate*TimeToExpiration)*_xlfn.NORM.DIST(AP$2*(LN(Underlying/$H32)+(RiskFreeRate-DividendYield-0.5*AN32^2)*TimeToExpiration)/(AN32*TimeToExpiration^0.5), 0, 1, TRUE)
)</f>
        <v>23.91493517</v>
      </c>
      <c r="AQ32" s="40">
        <f t="shared" si="20"/>
        <v>0.329015625</v>
      </c>
      <c r="AR32" s="8">
        <f>AR$2*(Underlying*EXP(-DividendYield*TimeToExpiration)*_xlfn.NORM.DIST(AR$2*(LN(Underlying/$H32)+(RiskFreeRate-DividendYield+0.5*AQ32^2)*TimeToExpiration)/(AQ32*TimeToExpiration^0.5), 0, 1, TRUE) - 
       $H32*EXP(-RiskFreeRate*TimeToExpiration)*_xlfn.NORM.DIST(AR$2*(LN(Underlying/$H32)+(RiskFreeRate-DividendYield-0.5*AQ32^2)*TimeToExpiration)/(AQ32*TimeToExpiration^0.5), 0, 1, TRUE)
)</f>
        <v>23.5240651</v>
      </c>
      <c r="AS32" s="40">
        <f t="shared" si="21"/>
        <v>0.329015625</v>
      </c>
      <c r="AT32" s="40">
        <f t="shared" si="22"/>
        <v>0.375875</v>
      </c>
      <c r="AU32" s="7">
        <f>AU$2*(Underlying*EXP(-DividendYield*TimeToExpiration)*_xlfn.NORM.DIST(AU$2*(LN(Underlying/$H32)+(RiskFreeRate-DividendYield+0.5*AS32^2)*TimeToExpiration)/(AS32*TimeToExpiration^0.5), 0, 1, TRUE) - 
       $H32*EXP(-RiskFreeRate*TimeToExpiration)*_xlfn.NORM.DIST(AU$2*(LN(Underlying/$H32)+(RiskFreeRate-DividendYield-0.5*AS32^2)*TimeToExpiration)/(AS32*TimeToExpiration^0.5), 0, 1, TRUE)
)</f>
        <v>23.5240651</v>
      </c>
      <c r="AV32" s="7">
        <f>AV$2*(Underlying*EXP(-DividendYield*TimeToExpiration)*_xlfn.NORM.DIST(AV$2*(LN(Underlying/$H32)+(RiskFreeRate-DividendYield+0.5*AT32^2)*TimeToExpiration)/(AT32*TimeToExpiration^0.5), 0, 1, TRUE) - 
       $H32*EXP(-RiskFreeRate*TimeToExpiration)*_xlfn.NORM.DIST(AV$2*(LN(Underlying/$H32)+(RiskFreeRate-DividendYield-0.5*AT32^2)*TimeToExpiration)/(AT32*TimeToExpiration^0.5), 0, 1, TRUE)
)</f>
        <v>23.91493517</v>
      </c>
      <c r="AW32" s="40">
        <f t="shared" si="23"/>
        <v>0.3524453125</v>
      </c>
      <c r="AX32" s="8">
        <f>AX$2*(Underlying*EXP(-DividendYield*TimeToExpiration)*_xlfn.NORM.DIST(AX$2*(LN(Underlying/$H32)+(RiskFreeRate-DividendYield+0.5*AW32^2)*TimeToExpiration)/(AW32*TimeToExpiration^0.5), 0, 1, TRUE) - 
       $H32*EXP(-RiskFreeRate*TimeToExpiration)*_xlfn.NORM.DIST(AX$2*(LN(Underlying/$H32)+(RiskFreeRate-DividendYield-0.5*AW32^2)*TimeToExpiration)/(AW32*TimeToExpiration^0.5), 0, 1, TRUE)
)</f>
        <v>23.7082984</v>
      </c>
      <c r="AY32" s="40">
        <f t="shared" si="24"/>
        <v>0.3524453125</v>
      </c>
      <c r="AZ32" s="40">
        <f t="shared" si="25"/>
        <v>0.375875</v>
      </c>
      <c r="BA32" s="7">
        <f>BA$2*(Underlying*EXP(-DividendYield*TimeToExpiration)*_xlfn.NORM.DIST(BA$2*(LN(Underlying/$H32)+(RiskFreeRate-DividendYield+0.5*AY32^2)*TimeToExpiration)/(AY32*TimeToExpiration^0.5), 0, 1, TRUE) - 
       $H32*EXP(-RiskFreeRate*TimeToExpiration)*_xlfn.NORM.DIST(BA$2*(LN(Underlying/$H32)+(RiskFreeRate-DividendYield-0.5*AY32^2)*TimeToExpiration)/(AY32*TimeToExpiration^0.5), 0, 1, TRUE)
)</f>
        <v>23.7082984</v>
      </c>
      <c r="BB32" s="7">
        <f>BB$2*(Underlying*EXP(-DividendYield*TimeToExpiration)*_xlfn.NORM.DIST(BB$2*(LN(Underlying/$H32)+(RiskFreeRate-DividendYield+0.5*AZ32^2)*TimeToExpiration)/(AZ32*TimeToExpiration^0.5), 0, 1, TRUE) - 
       $H32*EXP(-RiskFreeRate*TimeToExpiration)*_xlfn.NORM.DIST(BB$2*(LN(Underlying/$H32)+(RiskFreeRate-DividendYield-0.5*AZ32^2)*TimeToExpiration)/(AZ32*TimeToExpiration^0.5), 0, 1, TRUE)
)</f>
        <v>23.91493517</v>
      </c>
      <c r="BC32" s="40">
        <f t="shared" si="26"/>
        <v>0.3641601563</v>
      </c>
      <c r="BD32" s="8">
        <f>BD$2*(Underlying*EXP(-DividendYield*TimeToExpiration)*_xlfn.NORM.DIST(BD$2*(LN(Underlying/$H32)+(RiskFreeRate-DividendYield+0.5*BC32^2)*TimeToExpiration)/(BC32*TimeToExpiration^0.5), 0, 1, TRUE) - 
       $H32*EXP(-RiskFreeRate*TimeToExpiration)*_xlfn.NORM.DIST(BD$2*(LN(Underlying/$H32)+(RiskFreeRate-DividendYield-0.5*BC32^2)*TimeToExpiration)/(BC32*TimeToExpiration^0.5), 0, 1, TRUE)
)</f>
        <v>23.80893537</v>
      </c>
      <c r="BE32" s="40">
        <f t="shared" si="27"/>
        <v>0.3524453125</v>
      </c>
      <c r="BF32" s="40">
        <f t="shared" si="28"/>
        <v>0.3641601563</v>
      </c>
      <c r="BG32" s="7">
        <f>BG$2*(Underlying*EXP(-DividendYield*TimeToExpiration)*_xlfn.NORM.DIST(BG$2*(LN(Underlying/$H32)+(RiskFreeRate-DividendYield+0.5*BE32^2)*TimeToExpiration)/(BE32*TimeToExpiration^0.5), 0, 1, TRUE) - 
       $H32*EXP(-RiskFreeRate*TimeToExpiration)*_xlfn.NORM.DIST(BG$2*(LN(Underlying/$H32)+(RiskFreeRate-DividendYield-0.5*BE32^2)*TimeToExpiration)/(BE32*TimeToExpiration^0.5), 0, 1, TRUE)
)</f>
        <v>23.7082984</v>
      </c>
      <c r="BH32" s="7">
        <f>BH$2*(Underlying*EXP(-DividendYield*TimeToExpiration)*_xlfn.NORM.DIST(BH$2*(LN(Underlying/$H32)+(RiskFreeRate-DividendYield+0.5*BF32^2)*TimeToExpiration)/(BF32*TimeToExpiration^0.5), 0, 1, TRUE) - 
       $H32*EXP(-RiskFreeRate*TimeToExpiration)*_xlfn.NORM.DIST(BH$2*(LN(Underlying/$H32)+(RiskFreeRate-DividendYield-0.5*BF32^2)*TimeToExpiration)/(BF32*TimeToExpiration^0.5), 0, 1, TRUE)
)</f>
        <v>23.80893537</v>
      </c>
      <c r="BI32" s="40">
        <f t="shared" si="29"/>
        <v>0.3583027344</v>
      </c>
      <c r="BJ32" s="8">
        <f>BJ$2*(Underlying*EXP(-DividendYield*TimeToExpiration)*_xlfn.NORM.DIST(BJ$2*(LN(Underlying/$H32)+(RiskFreeRate-DividendYield+0.5*BI32^2)*TimeToExpiration)/(BI32*TimeToExpiration^0.5), 0, 1, TRUE) - 
       $H32*EXP(-RiskFreeRate*TimeToExpiration)*_xlfn.NORM.DIST(BJ$2*(LN(Underlying/$H32)+(RiskFreeRate-DividendYield-0.5*BI32^2)*TimeToExpiration)/(BI32*TimeToExpiration^0.5), 0, 1, TRUE)
)</f>
        <v>23.75793157</v>
      </c>
      <c r="BK32" s="40">
        <f t="shared" si="30"/>
        <v>0.3583027344</v>
      </c>
      <c r="BL32" s="40">
        <f t="shared" si="31"/>
        <v>0.3641601563</v>
      </c>
      <c r="BM32" s="7">
        <f>BM$2*(Underlying*EXP(-DividendYield*TimeToExpiration)*_xlfn.NORM.DIST(BM$2*(LN(Underlying/$H32)+(RiskFreeRate-DividendYield+0.5*BK32^2)*TimeToExpiration)/(BK32*TimeToExpiration^0.5), 0, 1, TRUE) - 
       $H32*EXP(-RiskFreeRate*TimeToExpiration)*_xlfn.NORM.DIST(BM$2*(LN(Underlying/$H32)+(RiskFreeRate-DividendYield-0.5*BK32^2)*TimeToExpiration)/(BK32*TimeToExpiration^0.5), 0, 1, TRUE)
)</f>
        <v>23.75793157</v>
      </c>
      <c r="BN32" s="7">
        <f>BN$2*(Underlying*EXP(-DividendYield*TimeToExpiration)*_xlfn.NORM.DIST(BN$2*(LN(Underlying/$H32)+(RiskFreeRate-DividendYield+0.5*BL32^2)*TimeToExpiration)/(BL32*TimeToExpiration^0.5), 0, 1, TRUE) - 
       $H32*EXP(-RiskFreeRate*TimeToExpiration)*_xlfn.NORM.DIST(BN$2*(LN(Underlying/$H32)+(RiskFreeRate-DividendYield-0.5*BL32^2)*TimeToExpiration)/(BL32*TimeToExpiration^0.5), 0, 1, TRUE)
)</f>
        <v>23.80893537</v>
      </c>
      <c r="BO32" s="40">
        <f t="shared" si="32"/>
        <v>0.3612314453</v>
      </c>
      <c r="BP32" s="8">
        <f>BP$2*(Underlying*EXP(-DividendYield*TimeToExpiration)*_xlfn.NORM.DIST(BP$2*(LN(Underlying/$H32)+(RiskFreeRate-DividendYield+0.5*BO32^2)*TimeToExpiration)/(BO32*TimeToExpiration^0.5), 0, 1, TRUE) - 
       $H32*EXP(-RiskFreeRate*TimeToExpiration)*_xlfn.NORM.DIST(BP$2*(LN(Underlying/$H32)+(RiskFreeRate-DividendYield-0.5*BO32^2)*TimeToExpiration)/(BO32*TimeToExpiration^0.5), 0, 1, TRUE)
)</f>
        <v>23.78326401</v>
      </c>
      <c r="BQ32" s="40">
        <f t="shared" si="33"/>
        <v>0.3583027344</v>
      </c>
      <c r="BR32" s="40">
        <f t="shared" si="34"/>
        <v>0.3612314453</v>
      </c>
      <c r="BS32" s="7">
        <f>BS$2*(Underlying*EXP(-DividendYield*TimeToExpiration)*_xlfn.NORM.DIST(BS$2*(LN(Underlying/$H32)+(RiskFreeRate-DividendYield+0.5*BQ32^2)*TimeToExpiration)/(BQ32*TimeToExpiration^0.5), 0, 1, TRUE) - 
       $H32*EXP(-RiskFreeRate*TimeToExpiration)*_xlfn.NORM.DIST(BS$2*(LN(Underlying/$H32)+(RiskFreeRate-DividendYield-0.5*BQ32^2)*TimeToExpiration)/(BQ32*TimeToExpiration^0.5), 0, 1, TRUE)
)</f>
        <v>23.75793157</v>
      </c>
      <c r="BT32" s="7">
        <f>BT$2*(Underlying*EXP(-DividendYield*TimeToExpiration)*_xlfn.NORM.DIST(BT$2*(LN(Underlying/$H32)+(RiskFreeRate-DividendYield+0.5*BR32^2)*TimeToExpiration)/(BR32*TimeToExpiration^0.5), 0, 1, TRUE) - 
       $H32*EXP(-RiskFreeRate*TimeToExpiration)*_xlfn.NORM.DIST(BT$2*(LN(Underlying/$H32)+(RiskFreeRate-DividendYield-0.5*BR32^2)*TimeToExpiration)/(BR32*TimeToExpiration^0.5), 0, 1, TRUE)
)</f>
        <v>23.78326401</v>
      </c>
      <c r="BU32" s="40">
        <f t="shared" si="35"/>
        <v>0.3597670898</v>
      </c>
      <c r="BV32" s="8">
        <f>BV$2*(Underlying*EXP(-DividendYield*TimeToExpiration)*_xlfn.NORM.DIST(BV$2*(LN(Underlying/$H32)+(RiskFreeRate-DividendYield+0.5*BU32^2)*TimeToExpiration)/(BU32*TimeToExpiration^0.5), 0, 1, TRUE) - 
       $H32*EXP(-RiskFreeRate*TimeToExpiration)*_xlfn.NORM.DIST(BV$2*(LN(Underlying/$H32)+(RiskFreeRate-DividendYield-0.5*BU32^2)*TimeToExpiration)/(BU32*TimeToExpiration^0.5), 0, 1, TRUE)
)</f>
        <v>23.77055519</v>
      </c>
      <c r="BW32" s="40">
        <f t="shared" si="36"/>
        <v>0.3597670898</v>
      </c>
      <c r="BX32" s="40">
        <f t="shared" si="37"/>
        <v>0.3612314453</v>
      </c>
      <c r="BY32" s="7">
        <f>BY$2*(Underlying*EXP(-DividendYield*TimeToExpiration)*_xlfn.NORM.DIST(BY$2*(LN(Underlying/$H32)+(RiskFreeRate-DividendYield+0.5*BW32^2)*TimeToExpiration)/(BW32*TimeToExpiration^0.5), 0, 1, TRUE) - 
       $H32*EXP(-RiskFreeRate*TimeToExpiration)*_xlfn.NORM.DIST(BY$2*(LN(Underlying/$H32)+(RiskFreeRate-DividendYield-0.5*BW32^2)*TimeToExpiration)/(BW32*TimeToExpiration^0.5), 0, 1, TRUE)
)</f>
        <v>23.77055519</v>
      </c>
      <c r="BZ32" s="7">
        <f>BZ$2*(Underlying*EXP(-DividendYield*TimeToExpiration)*_xlfn.NORM.DIST(BZ$2*(LN(Underlying/$H32)+(RiskFreeRate-DividendYield+0.5*BX32^2)*TimeToExpiration)/(BX32*TimeToExpiration^0.5), 0, 1, TRUE) - 
       $H32*EXP(-RiskFreeRate*TimeToExpiration)*_xlfn.NORM.DIST(BZ$2*(LN(Underlying/$H32)+(RiskFreeRate-DividendYield-0.5*BX32^2)*TimeToExpiration)/(BX32*TimeToExpiration^0.5), 0, 1, TRUE)
)</f>
        <v>23.78326401</v>
      </c>
      <c r="CA32" s="40">
        <f t="shared" si="38"/>
        <v>0.3604992676</v>
      </c>
      <c r="CB32" s="8">
        <f>CB$2*(Underlying*EXP(-DividendYield*TimeToExpiration)*_xlfn.NORM.DIST(CB$2*(LN(Underlying/$H32)+(RiskFreeRate-DividendYield+0.5*CA32^2)*TimeToExpiration)/(CA32*TimeToExpiration^0.5), 0, 1, TRUE) - 
       $H32*EXP(-RiskFreeRate*TimeToExpiration)*_xlfn.NORM.DIST(CB$2*(LN(Underlying/$H32)+(RiskFreeRate-DividendYield-0.5*CA32^2)*TimeToExpiration)/(CA32*TimeToExpiration^0.5), 0, 1, TRUE)
)</f>
        <v>23.77689898</v>
      </c>
      <c r="CC32" s="40">
        <f t="shared" si="39"/>
        <v>0.3597670898</v>
      </c>
      <c r="CD32" s="40">
        <f t="shared" si="40"/>
        <v>0.3604992676</v>
      </c>
      <c r="CE32" s="7">
        <f>CE$2*(Underlying*EXP(-DividendYield*TimeToExpiration)*_xlfn.NORM.DIST(CE$2*(LN(Underlying/$H32)+(RiskFreeRate-DividendYield+0.5*CC32^2)*TimeToExpiration)/(CC32*TimeToExpiration^0.5), 0, 1, TRUE) - 
       $H32*EXP(-RiskFreeRate*TimeToExpiration)*_xlfn.NORM.DIST(CE$2*(LN(Underlying/$H32)+(RiskFreeRate-DividendYield-0.5*CC32^2)*TimeToExpiration)/(CC32*TimeToExpiration^0.5), 0, 1, TRUE)
)</f>
        <v>23.77055519</v>
      </c>
      <c r="CF32" s="7">
        <f>CF$2*(Underlying*EXP(-DividendYield*TimeToExpiration)*_xlfn.NORM.DIST(CF$2*(LN(Underlying/$H32)+(RiskFreeRate-DividendYield+0.5*CD32^2)*TimeToExpiration)/(CD32*TimeToExpiration^0.5), 0, 1, TRUE) - 
       $H32*EXP(-RiskFreeRate*TimeToExpiration)*_xlfn.NORM.DIST(CF$2*(LN(Underlying/$H32)+(RiskFreeRate-DividendYield-0.5*CD32^2)*TimeToExpiration)/(CD32*TimeToExpiration^0.5), 0, 1, TRUE)
)</f>
        <v>23.77689898</v>
      </c>
      <c r="CG32" s="40">
        <f t="shared" si="41"/>
        <v>0.3601331787</v>
      </c>
      <c r="CH32" s="8">
        <f>CH$2*(Underlying*EXP(-DividendYield*TimeToExpiration)*_xlfn.NORM.DIST(CH$2*(LN(Underlying/$H32)+(RiskFreeRate-DividendYield+0.5*CG32^2)*TimeToExpiration)/(CG32*TimeToExpiration^0.5), 0, 1, TRUE) - 
       $H32*EXP(-RiskFreeRate*TimeToExpiration)*_xlfn.NORM.DIST(CH$2*(LN(Underlying/$H32)+(RiskFreeRate-DividendYield-0.5*CG32^2)*TimeToExpiration)/(CG32*TimeToExpiration^0.5), 0, 1, TRUE)
)</f>
        <v>23.77372443</v>
      </c>
      <c r="CI32" s="40">
        <f t="shared" si="42"/>
        <v>0.3601331787</v>
      </c>
      <c r="CJ32" s="40">
        <f t="shared" si="43"/>
        <v>0.3604992676</v>
      </c>
      <c r="CK32" s="7">
        <f>CK$2*(Underlying*EXP(-DividendYield*TimeToExpiration)*_xlfn.NORM.DIST(CK$2*(LN(Underlying/$H32)+(RiskFreeRate-DividendYield+0.5*CI32^2)*TimeToExpiration)/(CI32*TimeToExpiration^0.5), 0, 1, TRUE) - 
       $H32*EXP(-RiskFreeRate*TimeToExpiration)*_xlfn.NORM.DIST(CK$2*(LN(Underlying/$H32)+(RiskFreeRate-DividendYield-0.5*CI32^2)*TimeToExpiration)/(CI32*TimeToExpiration^0.5), 0, 1, TRUE)
)</f>
        <v>23.77372443</v>
      </c>
      <c r="CL32" s="7">
        <f>CL$2*(Underlying*EXP(-DividendYield*TimeToExpiration)*_xlfn.NORM.DIST(CL$2*(LN(Underlying/$H32)+(RiskFreeRate-DividendYield+0.5*CJ32^2)*TimeToExpiration)/(CJ32*TimeToExpiration^0.5), 0, 1, TRUE) - 
       $H32*EXP(-RiskFreeRate*TimeToExpiration)*_xlfn.NORM.DIST(CL$2*(LN(Underlying/$H32)+(RiskFreeRate-DividendYield-0.5*CJ32^2)*TimeToExpiration)/(CJ32*TimeToExpiration^0.5), 0, 1, TRUE)
)</f>
        <v>23.77689898</v>
      </c>
      <c r="CM32" s="40">
        <f t="shared" si="44"/>
        <v>0.3603162231</v>
      </c>
      <c r="CN32" s="8">
        <f>CN$2*(Underlying*EXP(-DividendYield*TimeToExpiration)*_xlfn.NORM.DIST(CN$2*(LN(Underlying/$H32)+(RiskFreeRate-DividendYield+0.5*CM32^2)*TimeToExpiration)/(CM32*TimeToExpiration^0.5), 0, 1, TRUE) - 
       $H32*EXP(-RiskFreeRate*TimeToExpiration)*_xlfn.NORM.DIST(CN$2*(LN(Underlying/$H32)+(RiskFreeRate-DividendYield-0.5*CM32^2)*TimeToExpiration)/(CM32*TimeToExpiration^0.5), 0, 1, TRUE)
)</f>
        <v>23.77531104</v>
      </c>
      <c r="CO32" s="40">
        <f t="shared" si="45"/>
        <v>0.3601331787</v>
      </c>
      <c r="CP32" s="40">
        <f t="shared" si="46"/>
        <v>0.3603162231</v>
      </c>
      <c r="CQ32" s="7">
        <f>CQ$2*(Underlying*EXP(-DividendYield*TimeToExpiration)*_xlfn.NORM.DIST(CQ$2*(LN(Underlying/$H32)+(RiskFreeRate-DividendYield+0.5*CO32^2)*TimeToExpiration)/(CO32*TimeToExpiration^0.5), 0, 1, TRUE) - 
       $H32*EXP(-RiskFreeRate*TimeToExpiration)*_xlfn.NORM.DIST(CQ$2*(LN(Underlying/$H32)+(RiskFreeRate-DividendYield-0.5*CO32^2)*TimeToExpiration)/(CO32*TimeToExpiration^0.5), 0, 1, TRUE)
)</f>
        <v>23.77372443</v>
      </c>
      <c r="CR32" s="7">
        <f>CR$2*(Underlying*EXP(-DividendYield*TimeToExpiration)*_xlfn.NORM.DIST(CR$2*(LN(Underlying/$H32)+(RiskFreeRate-DividendYield+0.5*CP32^2)*TimeToExpiration)/(CP32*TimeToExpiration^0.5), 0, 1, TRUE) - 
       $H32*EXP(-RiskFreeRate*TimeToExpiration)*_xlfn.NORM.DIST(CR$2*(LN(Underlying/$H32)+(RiskFreeRate-DividendYield-0.5*CP32^2)*TimeToExpiration)/(CP32*TimeToExpiration^0.5), 0, 1, TRUE)
)</f>
        <v>23.77531104</v>
      </c>
      <c r="CS32" s="40">
        <f t="shared" si="47"/>
        <v>0.3602247009</v>
      </c>
      <c r="CT32" s="8">
        <f>CT$2*(Underlying*EXP(-DividendYield*TimeToExpiration)*_xlfn.NORM.DIST(CT$2*(LN(Underlying/$H32)+(RiskFreeRate-DividendYield+0.5*CS32^2)*TimeToExpiration)/(CS32*TimeToExpiration^0.5), 0, 1, TRUE) - 
       $H32*EXP(-RiskFreeRate*TimeToExpiration)*_xlfn.NORM.DIST(CT$2*(LN(Underlying/$H32)+(RiskFreeRate-DividendYield-0.5*CS32^2)*TimeToExpiration)/(CS32*TimeToExpiration^0.5), 0, 1, TRUE)
)</f>
        <v>23.77451757</v>
      </c>
      <c r="CU32" s="40">
        <f t="shared" si="48"/>
        <v>0.3602247009</v>
      </c>
      <c r="CV32" s="40">
        <f t="shared" si="49"/>
        <v>0.3603162231</v>
      </c>
      <c r="CW32" s="7">
        <f>CW$2*(Underlying*EXP(-DividendYield*TimeToExpiration)*_xlfn.NORM.DIST(CW$2*(LN(Underlying/$H32)+(RiskFreeRate-DividendYield+0.5*CU32^2)*TimeToExpiration)/(CU32*TimeToExpiration^0.5), 0, 1, TRUE) - 
       $H32*EXP(-RiskFreeRate*TimeToExpiration)*_xlfn.NORM.DIST(CW$2*(LN(Underlying/$H32)+(RiskFreeRate-DividendYield-0.5*CU32^2)*TimeToExpiration)/(CU32*TimeToExpiration^0.5), 0, 1, TRUE)
)</f>
        <v>23.77451757</v>
      </c>
      <c r="CX32" s="7">
        <f>CX$2*(Underlying*EXP(-DividendYield*TimeToExpiration)*_xlfn.NORM.DIST(CX$2*(LN(Underlying/$H32)+(RiskFreeRate-DividendYield+0.5*CV32^2)*TimeToExpiration)/(CV32*TimeToExpiration^0.5), 0, 1, TRUE) - 
       $H32*EXP(-RiskFreeRate*TimeToExpiration)*_xlfn.NORM.DIST(CX$2*(LN(Underlying/$H32)+(RiskFreeRate-DividendYield-0.5*CV32^2)*TimeToExpiration)/(CV32*TimeToExpiration^0.5), 0, 1, TRUE)
)</f>
        <v>23.77531104</v>
      </c>
      <c r="CY32" s="40">
        <f t="shared" si="50"/>
        <v>0.360270462</v>
      </c>
      <c r="CZ32" s="8">
        <f>CZ$2*(Underlying*EXP(-DividendYield*TimeToExpiration)*_xlfn.NORM.DIST(CZ$2*(LN(Underlying/$H32)+(RiskFreeRate-DividendYield+0.5*CY32^2)*TimeToExpiration)/(CY32*TimeToExpiration^0.5), 0, 1, TRUE) - 
       $H32*EXP(-RiskFreeRate*TimeToExpiration)*_xlfn.NORM.DIST(CZ$2*(LN(Underlying/$H32)+(RiskFreeRate-DividendYield-0.5*CY32^2)*TimeToExpiration)/(CY32*TimeToExpiration^0.5), 0, 1, TRUE)
)</f>
        <v>23.77491426</v>
      </c>
      <c r="DA32" s="40">
        <f t="shared" si="51"/>
        <v>0.360270462</v>
      </c>
      <c r="DB32" s="40">
        <f t="shared" si="52"/>
        <v>0.3603162231</v>
      </c>
      <c r="DC32" s="7">
        <f>DC$2*(Underlying*EXP(-DividendYield*TimeToExpiration)*_xlfn.NORM.DIST(DC$2*(LN(Underlying/$H32)+(RiskFreeRate-DividendYield+0.5*DA32^2)*TimeToExpiration)/(DA32*TimeToExpiration^0.5), 0, 1, TRUE) - 
       $H32*EXP(-RiskFreeRate*TimeToExpiration)*_xlfn.NORM.DIST(DC$2*(LN(Underlying/$H32)+(RiskFreeRate-DividendYield-0.5*DA32^2)*TimeToExpiration)/(DA32*TimeToExpiration^0.5), 0, 1, TRUE)
)</f>
        <v>23.77491426</v>
      </c>
      <c r="DD32" s="7">
        <f>DD$2*(Underlying*EXP(-DividendYield*TimeToExpiration)*_xlfn.NORM.DIST(DD$2*(LN(Underlying/$H32)+(RiskFreeRate-DividendYield+0.5*DB32^2)*TimeToExpiration)/(DB32*TimeToExpiration^0.5), 0, 1, TRUE) - 
       $H32*EXP(-RiskFreeRate*TimeToExpiration)*_xlfn.NORM.DIST(DD$2*(LN(Underlying/$H32)+(RiskFreeRate-DividendYield-0.5*DB32^2)*TimeToExpiration)/(DB32*TimeToExpiration^0.5), 0, 1, TRUE)
)</f>
        <v>23.77531104</v>
      </c>
      <c r="DE32" s="40">
        <f t="shared" si="53"/>
        <v>0.3602933426</v>
      </c>
      <c r="DF32" s="8">
        <f>DF$2*(Underlying*EXP(-DividendYield*TimeToExpiration)*_xlfn.NORM.DIST(DF$2*(LN(Underlying/$H32)+(RiskFreeRate-DividendYield+0.5*DE32^2)*TimeToExpiration)/(DE32*TimeToExpiration^0.5), 0, 1, TRUE) - 
       $H32*EXP(-RiskFreeRate*TimeToExpiration)*_xlfn.NORM.DIST(DF$2*(LN(Underlying/$H32)+(RiskFreeRate-DividendYield-0.5*DE32^2)*TimeToExpiration)/(DE32*TimeToExpiration^0.5), 0, 1, TRUE)
)</f>
        <v>23.77511264</v>
      </c>
    </row>
    <row r="33">
      <c r="A33" s="20">
        <f>'Option Mkt Data'!A33</f>
        <v>365</v>
      </c>
      <c r="B33" s="35">
        <f t="shared" ref="B33:C33" si="80">DE33</f>
        <v>0.3784147415</v>
      </c>
      <c r="C33" s="7">
        <f t="shared" si="80"/>
        <v>26.19995683</v>
      </c>
      <c r="D33" s="7">
        <f t="shared" si="3"/>
        <v>0.00004774675474</v>
      </c>
      <c r="E33" s="9">
        <f t="shared" si="4"/>
        <v>0.000001822394901</v>
      </c>
      <c r="F33" s="36">
        <f>D33/'Option Mkt Data'!M33</f>
        <v>0.00006820994683</v>
      </c>
      <c r="G33" s="5">
        <f>'Option Mkt Data'!K33</f>
        <v>26.20000458</v>
      </c>
      <c r="H33" s="33">
        <f>'Option Mkt Data'!A33</f>
        <v>365</v>
      </c>
      <c r="I33" s="37">
        <f>MinSolverVola</f>
        <v>0.001</v>
      </c>
      <c r="J33" s="38">
        <f>MaxSolverVola</f>
        <v>3</v>
      </c>
      <c r="K33" s="39">
        <f>K$2*(Underlying*EXP(-DividendYield*TimeToExpiration)*_xlfn.NORM.DIST(K$2*(LN(Underlying/$H33)+(RiskFreeRate-DividendYield+0.5*I33^2)*TimeToExpiration)/(I33*TimeToExpiration^0.5), 0, 1, TRUE) - 
       $H33*EXP(-RiskFreeRate*TimeToExpiration)*_xlfn.NORM.DIST(K$2*(LN(Underlying/$H33)+(RiskFreeRate-DividendYield-0.5*I33^2)*TimeToExpiration)/(I33*TimeToExpiration^0.5), 0, 1, TRUE)
)</f>
        <v>25.43174354</v>
      </c>
      <c r="L33" s="7">
        <f>L$2*(Underlying*EXP(-DividendYield*TimeToExpiration)*_xlfn.NORM.DIST(L$2*(LN(Underlying/$H33)+(RiskFreeRate-DividendYield+0.5*J33^2)*TimeToExpiration)/(J33*TimeToExpiration^0.5), 0, 1, TRUE) - 
       $H33*EXP(-RiskFreeRate*TimeToExpiration)*_xlfn.NORM.DIST(L$2*(LN(Underlying/$H33)+(RiskFreeRate-DividendYield-0.5*J33^2)*TimeToExpiration)/(J33*TimeToExpiration^0.5), 0, 1, TRUE)
)</f>
        <v>72.68493278</v>
      </c>
      <c r="M33" s="40">
        <f t="shared" si="5"/>
        <v>1.5005</v>
      </c>
      <c r="N33" s="8">
        <f>N$2*(Underlying*EXP(-DividendYield*TimeToExpiration)*_xlfn.NORM.DIST(N$2*(LN(Underlying/$H33)+(RiskFreeRate-DividendYield+0.5*M33^2)*TimeToExpiration)/(M33*TimeToExpiration^0.5), 0, 1, TRUE) - 
       $H33*EXP(-RiskFreeRate*TimeToExpiration)*_xlfn.NORM.DIST(N$2*(LN(Underlying/$H33)+(RiskFreeRate-DividendYield-0.5*M33^2)*TimeToExpiration)/(M33*TimeToExpiration^0.5), 0, 1, TRUE)
)</f>
        <v>44.15675703</v>
      </c>
      <c r="O33" s="41">
        <f t="shared" si="6"/>
        <v>0.001</v>
      </c>
      <c r="P33" s="40">
        <f t="shared" si="7"/>
        <v>1.5005</v>
      </c>
      <c r="Q33" s="7">
        <f>Q$2*(Underlying*EXP(-DividendYield*TimeToExpiration)*_xlfn.NORM.DIST(Q$2*(LN(Underlying/$H33)+(RiskFreeRate-DividendYield+0.5*O33^2)*TimeToExpiration)/(O33*TimeToExpiration^0.5), 0, 1, TRUE) - 
       $H33*EXP(-RiskFreeRate*TimeToExpiration)*_xlfn.NORM.DIST(Q$2*(LN(Underlying/$H33)+(RiskFreeRate-DividendYield-0.5*O33^2)*TimeToExpiration)/(O33*TimeToExpiration^0.5), 0, 1, TRUE)
)</f>
        <v>25.43174354</v>
      </c>
      <c r="R33" s="7">
        <f>R$2*(Underlying*EXP(-DividendYield*TimeToExpiration)*_xlfn.NORM.DIST(R$2*(LN(Underlying/$H33)+(RiskFreeRate-DividendYield+0.5*P33^2)*TimeToExpiration)/(P33*TimeToExpiration^0.5), 0, 1, TRUE) - 
       $H33*EXP(-RiskFreeRate*TimeToExpiration)*_xlfn.NORM.DIST(R$2*(LN(Underlying/$H33)+(RiskFreeRate-DividendYield-0.5*P33^2)*TimeToExpiration)/(P33*TimeToExpiration^0.5), 0, 1, TRUE)
)</f>
        <v>44.15675703</v>
      </c>
      <c r="S33" s="40">
        <f t="shared" si="8"/>
        <v>0.75075</v>
      </c>
      <c r="T33" s="8">
        <f>T$2*(Underlying*EXP(-DividendYield*TimeToExpiration)*_xlfn.NORM.DIST(T$2*(LN(Underlying/$H33)+(RiskFreeRate-DividendYield+0.5*S33^2)*TimeToExpiration)/(S33*TimeToExpiration^0.5), 0, 1, TRUE) - 
       $H33*EXP(-RiskFreeRate*TimeToExpiration)*_xlfn.NORM.DIST(T$2*(LN(Underlying/$H33)+(RiskFreeRate-DividendYield-0.5*S33^2)*TimeToExpiration)/(S33*TimeToExpiration^0.5), 0, 1, TRUE)
)</f>
        <v>30.9377392</v>
      </c>
      <c r="U33" s="41">
        <f t="shared" si="9"/>
        <v>0.001</v>
      </c>
      <c r="V33" s="40">
        <f t="shared" si="10"/>
        <v>0.75075</v>
      </c>
      <c r="W33" s="7">
        <f>W$2*(Underlying*EXP(-DividendYield*TimeToExpiration)*_xlfn.NORM.DIST(W$2*(LN(Underlying/$H33)+(RiskFreeRate-DividendYield+0.5*U33^2)*TimeToExpiration)/(U33*TimeToExpiration^0.5), 0, 1, TRUE) - 
       $H33*EXP(-RiskFreeRate*TimeToExpiration)*_xlfn.NORM.DIST(W$2*(LN(Underlying/$H33)+(RiskFreeRate-DividendYield-0.5*U33^2)*TimeToExpiration)/(U33*TimeToExpiration^0.5), 0, 1, TRUE)
)</f>
        <v>25.43174354</v>
      </c>
      <c r="X33" s="7">
        <f>X$2*(Underlying*EXP(-DividendYield*TimeToExpiration)*_xlfn.NORM.DIST(X$2*(LN(Underlying/$H33)+(RiskFreeRate-DividendYield+0.5*V33^2)*TimeToExpiration)/(V33*TimeToExpiration^0.5), 0, 1, TRUE) - 
       $H33*EXP(-RiskFreeRate*TimeToExpiration)*_xlfn.NORM.DIST(X$2*(LN(Underlying/$H33)+(RiskFreeRate-DividendYield-0.5*V33^2)*TimeToExpiration)/(V33*TimeToExpiration^0.5), 0, 1, TRUE)
)</f>
        <v>30.9377392</v>
      </c>
      <c r="Y33" s="40">
        <f t="shared" si="11"/>
        <v>0.375875</v>
      </c>
      <c r="Z33" s="8">
        <f>Z$2*(Underlying*EXP(-DividendYield*TimeToExpiration)*_xlfn.NORM.DIST(Z$2*(LN(Underlying/$H33)+(RiskFreeRate-DividendYield+0.5*Y33^2)*TimeToExpiration)/(Y33*TimeToExpiration^0.5), 0, 1, TRUE) - 
       $H33*EXP(-RiskFreeRate*TimeToExpiration)*_xlfn.NORM.DIST(Z$2*(LN(Underlying/$H33)+(RiskFreeRate-DividendYield-0.5*Y33^2)*TimeToExpiration)/(Y33*TimeToExpiration^0.5), 0, 1, TRUE)
)</f>
        <v>26.17985014</v>
      </c>
      <c r="AA33" s="40">
        <f t="shared" si="12"/>
        <v>0.375875</v>
      </c>
      <c r="AB33" s="40">
        <f t="shared" si="13"/>
        <v>0.75075</v>
      </c>
      <c r="AC33" s="7">
        <f>AC$2*(Underlying*EXP(-DividendYield*TimeToExpiration)*_xlfn.NORM.DIST(AC$2*(LN(Underlying/$H33)+(RiskFreeRate-DividendYield+0.5*AA33^2)*TimeToExpiration)/(AA33*TimeToExpiration^0.5), 0, 1, TRUE) - 
       $H33*EXP(-RiskFreeRate*TimeToExpiration)*_xlfn.NORM.DIST(AC$2*(LN(Underlying/$H33)+(RiskFreeRate-DividendYield-0.5*AA33^2)*TimeToExpiration)/(AA33*TimeToExpiration^0.5), 0, 1, TRUE)
)</f>
        <v>26.17985014</v>
      </c>
      <c r="AD33" s="7">
        <f>AD$2*(Underlying*EXP(-DividendYield*TimeToExpiration)*_xlfn.NORM.DIST(AD$2*(LN(Underlying/$H33)+(RiskFreeRate-DividendYield+0.5*AB33^2)*TimeToExpiration)/(AB33*TimeToExpiration^0.5), 0, 1, TRUE) - 
       $H33*EXP(-RiskFreeRate*TimeToExpiration)*_xlfn.NORM.DIST(AD$2*(LN(Underlying/$H33)+(RiskFreeRate-DividendYield-0.5*AB33^2)*TimeToExpiration)/(AB33*TimeToExpiration^0.5), 0, 1, TRUE)
)</f>
        <v>30.9377392</v>
      </c>
      <c r="AE33" s="40">
        <f t="shared" si="14"/>
        <v>0.5633125</v>
      </c>
      <c r="AF33" s="8">
        <f>AF$2*(Underlying*EXP(-DividendYield*TimeToExpiration)*_xlfn.NORM.DIST(AF$2*(LN(Underlying/$H33)+(RiskFreeRate-DividendYield+0.5*AE33^2)*TimeToExpiration)/(AE33*TimeToExpiration^0.5), 0, 1, TRUE) - 
       $H33*EXP(-RiskFreeRate*TimeToExpiration)*_xlfn.NORM.DIST(AF$2*(LN(Underlying/$H33)+(RiskFreeRate-DividendYield-0.5*AE33^2)*TimeToExpiration)/(AE33*TimeToExpiration^0.5), 0, 1, TRUE)
)</f>
        <v>28.20622125</v>
      </c>
      <c r="AG33" s="40">
        <f t="shared" si="15"/>
        <v>0.375875</v>
      </c>
      <c r="AH33" s="40">
        <f t="shared" si="16"/>
        <v>0.5633125</v>
      </c>
      <c r="AI33" s="7">
        <f>AI$2*(Underlying*EXP(-DividendYield*TimeToExpiration)*_xlfn.NORM.DIST(AI$2*(LN(Underlying/$H33)+(RiskFreeRate-DividendYield+0.5*AG33^2)*TimeToExpiration)/(AG33*TimeToExpiration^0.5), 0, 1, TRUE) - 
       $H33*EXP(-RiskFreeRate*TimeToExpiration)*_xlfn.NORM.DIST(AI$2*(LN(Underlying/$H33)+(RiskFreeRate-DividendYield-0.5*AG33^2)*TimeToExpiration)/(AG33*TimeToExpiration^0.5), 0, 1, TRUE)
)</f>
        <v>26.17985014</v>
      </c>
      <c r="AJ33" s="7">
        <f>AJ$2*(Underlying*EXP(-DividendYield*TimeToExpiration)*_xlfn.NORM.DIST(AJ$2*(LN(Underlying/$H33)+(RiskFreeRate-DividendYield+0.5*AH33^2)*TimeToExpiration)/(AH33*TimeToExpiration^0.5), 0, 1, TRUE) - 
       $H33*EXP(-RiskFreeRate*TimeToExpiration)*_xlfn.NORM.DIST(AJ$2*(LN(Underlying/$H33)+(RiskFreeRate-DividendYield-0.5*AH33^2)*TimeToExpiration)/(AH33*TimeToExpiration^0.5), 0, 1, TRUE)
)</f>
        <v>28.20622125</v>
      </c>
      <c r="AK33" s="40">
        <f t="shared" si="17"/>
        <v>0.46959375</v>
      </c>
      <c r="AL33" s="8">
        <f>AL$2*(Underlying*EXP(-DividendYield*TimeToExpiration)*_xlfn.NORM.DIST(AL$2*(LN(Underlying/$H33)+(RiskFreeRate-DividendYield+0.5*AK33^2)*TimeToExpiration)/(AK33*TimeToExpiration^0.5), 0, 1, TRUE) - 
       $H33*EXP(-RiskFreeRate*TimeToExpiration)*_xlfn.NORM.DIST(AL$2*(LN(Underlying/$H33)+(RiskFreeRate-DividendYield-0.5*AK33^2)*TimeToExpiration)/(AK33*TimeToExpiration^0.5), 0, 1, TRUE)
)</f>
        <v>27.070579</v>
      </c>
      <c r="AM33" s="40">
        <f t="shared" si="18"/>
        <v>0.375875</v>
      </c>
      <c r="AN33" s="40">
        <f t="shared" si="19"/>
        <v>0.46959375</v>
      </c>
      <c r="AO33" s="7">
        <f>AO$2*(Underlying*EXP(-DividendYield*TimeToExpiration)*_xlfn.NORM.DIST(AO$2*(LN(Underlying/$H33)+(RiskFreeRate-DividendYield+0.5*AM33^2)*TimeToExpiration)/(AM33*TimeToExpiration^0.5), 0, 1, TRUE) - 
       $H33*EXP(-RiskFreeRate*TimeToExpiration)*_xlfn.NORM.DIST(AO$2*(LN(Underlying/$H33)+(RiskFreeRate-DividendYield-0.5*AM33^2)*TimeToExpiration)/(AM33*TimeToExpiration^0.5), 0, 1, TRUE)
)</f>
        <v>26.17985014</v>
      </c>
      <c r="AP33" s="7">
        <f>AP$2*(Underlying*EXP(-DividendYield*TimeToExpiration)*_xlfn.NORM.DIST(AP$2*(LN(Underlying/$H33)+(RiskFreeRate-DividendYield+0.5*AN33^2)*TimeToExpiration)/(AN33*TimeToExpiration^0.5), 0, 1, TRUE) - 
       $H33*EXP(-RiskFreeRate*TimeToExpiration)*_xlfn.NORM.DIST(AP$2*(LN(Underlying/$H33)+(RiskFreeRate-DividendYield-0.5*AN33^2)*TimeToExpiration)/(AN33*TimeToExpiration^0.5), 0, 1, TRUE)
)</f>
        <v>27.070579</v>
      </c>
      <c r="AQ33" s="40">
        <f t="shared" si="20"/>
        <v>0.422734375</v>
      </c>
      <c r="AR33" s="8">
        <f>AR$2*(Underlying*EXP(-DividendYield*TimeToExpiration)*_xlfn.NORM.DIST(AR$2*(LN(Underlying/$H33)+(RiskFreeRate-DividendYield+0.5*AQ33^2)*TimeToExpiration)/(AQ33*TimeToExpiration^0.5), 0, 1, TRUE) - 
       $H33*EXP(-RiskFreeRate*TimeToExpiration)*_xlfn.NORM.DIST(AR$2*(LN(Underlying/$H33)+(RiskFreeRate-DividendYield-0.5*AQ33^2)*TimeToExpiration)/(AQ33*TimeToExpiration^0.5), 0, 1, TRUE)
)</f>
        <v>26.58894359</v>
      </c>
      <c r="AS33" s="40">
        <f t="shared" si="21"/>
        <v>0.375875</v>
      </c>
      <c r="AT33" s="40">
        <f t="shared" si="22"/>
        <v>0.422734375</v>
      </c>
      <c r="AU33" s="7">
        <f>AU$2*(Underlying*EXP(-DividendYield*TimeToExpiration)*_xlfn.NORM.DIST(AU$2*(LN(Underlying/$H33)+(RiskFreeRate-DividendYield+0.5*AS33^2)*TimeToExpiration)/(AS33*TimeToExpiration^0.5), 0, 1, TRUE) - 
       $H33*EXP(-RiskFreeRate*TimeToExpiration)*_xlfn.NORM.DIST(AU$2*(LN(Underlying/$H33)+(RiskFreeRate-DividendYield-0.5*AS33^2)*TimeToExpiration)/(AS33*TimeToExpiration^0.5), 0, 1, TRUE)
)</f>
        <v>26.17985014</v>
      </c>
      <c r="AV33" s="7">
        <f>AV$2*(Underlying*EXP(-DividendYield*TimeToExpiration)*_xlfn.NORM.DIST(AV$2*(LN(Underlying/$H33)+(RiskFreeRate-DividendYield+0.5*AT33^2)*TimeToExpiration)/(AT33*TimeToExpiration^0.5), 0, 1, TRUE) - 
       $H33*EXP(-RiskFreeRate*TimeToExpiration)*_xlfn.NORM.DIST(AV$2*(LN(Underlying/$H33)+(RiskFreeRate-DividendYield-0.5*AT33^2)*TimeToExpiration)/(AT33*TimeToExpiration^0.5), 0, 1, TRUE)
)</f>
        <v>26.58894359</v>
      </c>
      <c r="AW33" s="40">
        <f t="shared" si="23"/>
        <v>0.3993046875</v>
      </c>
      <c r="AX33" s="8">
        <f>AX$2*(Underlying*EXP(-DividendYield*TimeToExpiration)*_xlfn.NORM.DIST(AX$2*(LN(Underlying/$H33)+(RiskFreeRate-DividendYield+0.5*AW33^2)*TimeToExpiration)/(AW33*TimeToExpiration^0.5), 0, 1, TRUE) - 
       $H33*EXP(-RiskFreeRate*TimeToExpiration)*_xlfn.NORM.DIST(AX$2*(LN(Underlying/$H33)+(RiskFreeRate-DividendYield-0.5*AW33^2)*TimeToExpiration)/(AW33*TimeToExpiration^0.5), 0, 1, TRUE)
)</f>
        <v>26.37455469</v>
      </c>
      <c r="AY33" s="40">
        <f t="shared" si="24"/>
        <v>0.375875</v>
      </c>
      <c r="AZ33" s="40">
        <f t="shared" si="25"/>
        <v>0.3993046875</v>
      </c>
      <c r="BA33" s="7">
        <f>BA$2*(Underlying*EXP(-DividendYield*TimeToExpiration)*_xlfn.NORM.DIST(BA$2*(LN(Underlying/$H33)+(RiskFreeRate-DividendYield+0.5*AY33^2)*TimeToExpiration)/(AY33*TimeToExpiration^0.5), 0, 1, TRUE) - 
       $H33*EXP(-RiskFreeRate*TimeToExpiration)*_xlfn.NORM.DIST(BA$2*(LN(Underlying/$H33)+(RiskFreeRate-DividendYield-0.5*AY33^2)*TimeToExpiration)/(AY33*TimeToExpiration^0.5), 0, 1, TRUE)
)</f>
        <v>26.17985014</v>
      </c>
      <c r="BB33" s="7">
        <f>BB$2*(Underlying*EXP(-DividendYield*TimeToExpiration)*_xlfn.NORM.DIST(BB$2*(LN(Underlying/$H33)+(RiskFreeRate-DividendYield+0.5*AZ33^2)*TimeToExpiration)/(AZ33*TimeToExpiration^0.5), 0, 1, TRUE) - 
       $H33*EXP(-RiskFreeRate*TimeToExpiration)*_xlfn.NORM.DIST(BB$2*(LN(Underlying/$H33)+(RiskFreeRate-DividendYield-0.5*AZ33^2)*TimeToExpiration)/(AZ33*TimeToExpiration^0.5), 0, 1, TRUE)
)</f>
        <v>26.37455469</v>
      </c>
      <c r="BC33" s="40">
        <f t="shared" si="26"/>
        <v>0.3875898438</v>
      </c>
      <c r="BD33" s="8">
        <f>BD$2*(Underlying*EXP(-DividendYield*TimeToExpiration)*_xlfn.NORM.DIST(BD$2*(LN(Underlying/$H33)+(RiskFreeRate-DividendYield+0.5*BC33^2)*TimeToExpiration)/(BC33*TimeToExpiration^0.5), 0, 1, TRUE) - 
       $H33*EXP(-RiskFreeRate*TimeToExpiration)*_xlfn.NORM.DIST(BD$2*(LN(Underlying/$H33)+(RiskFreeRate-DividendYield-0.5*BC33^2)*TimeToExpiration)/(BC33*TimeToExpiration^0.5), 0, 1, TRUE)
)</f>
        <v>26.27464375</v>
      </c>
      <c r="BE33" s="40">
        <f t="shared" si="27"/>
        <v>0.375875</v>
      </c>
      <c r="BF33" s="40">
        <f t="shared" si="28"/>
        <v>0.3875898438</v>
      </c>
      <c r="BG33" s="7">
        <f>BG$2*(Underlying*EXP(-DividendYield*TimeToExpiration)*_xlfn.NORM.DIST(BG$2*(LN(Underlying/$H33)+(RiskFreeRate-DividendYield+0.5*BE33^2)*TimeToExpiration)/(BE33*TimeToExpiration^0.5), 0, 1, TRUE) - 
       $H33*EXP(-RiskFreeRate*TimeToExpiration)*_xlfn.NORM.DIST(BG$2*(LN(Underlying/$H33)+(RiskFreeRate-DividendYield-0.5*BE33^2)*TimeToExpiration)/(BE33*TimeToExpiration^0.5), 0, 1, TRUE)
)</f>
        <v>26.17985014</v>
      </c>
      <c r="BH33" s="7">
        <f>BH$2*(Underlying*EXP(-DividendYield*TimeToExpiration)*_xlfn.NORM.DIST(BH$2*(LN(Underlying/$H33)+(RiskFreeRate-DividendYield+0.5*BF33^2)*TimeToExpiration)/(BF33*TimeToExpiration^0.5), 0, 1, TRUE) - 
       $H33*EXP(-RiskFreeRate*TimeToExpiration)*_xlfn.NORM.DIST(BH$2*(LN(Underlying/$H33)+(RiskFreeRate-DividendYield-0.5*BF33^2)*TimeToExpiration)/(BF33*TimeToExpiration^0.5), 0, 1, TRUE)
)</f>
        <v>26.27464375</v>
      </c>
      <c r="BI33" s="40">
        <f t="shared" si="29"/>
        <v>0.3817324219</v>
      </c>
      <c r="BJ33" s="8">
        <f>BJ$2*(Underlying*EXP(-DividendYield*TimeToExpiration)*_xlfn.NORM.DIST(BJ$2*(LN(Underlying/$H33)+(RiskFreeRate-DividendYield+0.5*BI33^2)*TimeToExpiration)/(BI33*TimeToExpiration^0.5), 0, 1, TRUE) - 
       $H33*EXP(-RiskFreeRate*TimeToExpiration)*_xlfn.NORM.DIST(BJ$2*(LN(Underlying/$H33)+(RiskFreeRate-DividendYield-0.5*BI33^2)*TimeToExpiration)/(BI33*TimeToExpiration^0.5), 0, 1, TRUE)
)</f>
        <v>26.2265951</v>
      </c>
      <c r="BK33" s="40">
        <f t="shared" si="30"/>
        <v>0.375875</v>
      </c>
      <c r="BL33" s="40">
        <f t="shared" si="31"/>
        <v>0.3817324219</v>
      </c>
      <c r="BM33" s="7">
        <f>BM$2*(Underlying*EXP(-DividendYield*TimeToExpiration)*_xlfn.NORM.DIST(BM$2*(LN(Underlying/$H33)+(RiskFreeRate-DividendYield+0.5*BK33^2)*TimeToExpiration)/(BK33*TimeToExpiration^0.5), 0, 1, TRUE) - 
       $H33*EXP(-RiskFreeRate*TimeToExpiration)*_xlfn.NORM.DIST(BM$2*(LN(Underlying/$H33)+(RiskFreeRate-DividendYield-0.5*BK33^2)*TimeToExpiration)/(BK33*TimeToExpiration^0.5), 0, 1, TRUE)
)</f>
        <v>26.17985014</v>
      </c>
      <c r="BN33" s="7">
        <f>BN$2*(Underlying*EXP(-DividendYield*TimeToExpiration)*_xlfn.NORM.DIST(BN$2*(LN(Underlying/$H33)+(RiskFreeRate-DividendYield+0.5*BL33^2)*TimeToExpiration)/(BL33*TimeToExpiration^0.5), 0, 1, TRUE) - 
       $H33*EXP(-RiskFreeRate*TimeToExpiration)*_xlfn.NORM.DIST(BN$2*(LN(Underlying/$H33)+(RiskFreeRate-DividendYield-0.5*BL33^2)*TimeToExpiration)/(BL33*TimeToExpiration^0.5), 0, 1, TRUE)
)</f>
        <v>26.2265951</v>
      </c>
      <c r="BO33" s="40">
        <f t="shared" si="32"/>
        <v>0.3788037109</v>
      </c>
      <c r="BP33" s="8">
        <f>BP$2*(Underlying*EXP(-DividendYield*TimeToExpiration)*_xlfn.NORM.DIST(BP$2*(LN(Underlying/$H33)+(RiskFreeRate-DividendYield+0.5*BO33^2)*TimeToExpiration)/(BO33*TimeToExpiration^0.5), 0, 1, TRUE) - 
       $H33*EXP(-RiskFreeRate*TimeToExpiration)*_xlfn.NORM.DIST(BP$2*(LN(Underlying/$H33)+(RiskFreeRate-DividendYield-0.5*BO33^2)*TimeToExpiration)/(BO33*TimeToExpiration^0.5), 0, 1, TRUE)
)</f>
        <v>26.20305815</v>
      </c>
      <c r="BQ33" s="40">
        <f t="shared" si="33"/>
        <v>0.375875</v>
      </c>
      <c r="BR33" s="40">
        <f t="shared" si="34"/>
        <v>0.3788037109</v>
      </c>
      <c r="BS33" s="7">
        <f>BS$2*(Underlying*EXP(-DividendYield*TimeToExpiration)*_xlfn.NORM.DIST(BS$2*(LN(Underlying/$H33)+(RiskFreeRate-DividendYield+0.5*BQ33^2)*TimeToExpiration)/(BQ33*TimeToExpiration^0.5), 0, 1, TRUE) - 
       $H33*EXP(-RiskFreeRate*TimeToExpiration)*_xlfn.NORM.DIST(BS$2*(LN(Underlying/$H33)+(RiskFreeRate-DividendYield-0.5*BQ33^2)*TimeToExpiration)/(BQ33*TimeToExpiration^0.5), 0, 1, TRUE)
)</f>
        <v>26.17985014</v>
      </c>
      <c r="BT33" s="7">
        <f>BT$2*(Underlying*EXP(-DividendYield*TimeToExpiration)*_xlfn.NORM.DIST(BT$2*(LN(Underlying/$H33)+(RiskFreeRate-DividendYield+0.5*BR33^2)*TimeToExpiration)/(BR33*TimeToExpiration^0.5), 0, 1, TRUE) - 
       $H33*EXP(-RiskFreeRate*TimeToExpiration)*_xlfn.NORM.DIST(BT$2*(LN(Underlying/$H33)+(RiskFreeRate-DividendYield-0.5*BR33^2)*TimeToExpiration)/(BR33*TimeToExpiration^0.5), 0, 1, TRUE)
)</f>
        <v>26.20305815</v>
      </c>
      <c r="BU33" s="40">
        <f t="shared" si="35"/>
        <v>0.3773393555</v>
      </c>
      <c r="BV33" s="8">
        <f>BV$2*(Underlying*EXP(-DividendYield*TimeToExpiration)*_xlfn.NORM.DIST(BV$2*(LN(Underlying/$H33)+(RiskFreeRate-DividendYield+0.5*BU33^2)*TimeToExpiration)/(BU33*TimeToExpiration^0.5), 0, 1, TRUE) - 
       $H33*EXP(-RiskFreeRate*TimeToExpiration)*_xlfn.NORM.DIST(BV$2*(LN(Underlying/$H33)+(RiskFreeRate-DividendYield-0.5*BU33^2)*TimeToExpiration)/(BU33*TimeToExpiration^0.5), 0, 1, TRUE)
)</f>
        <v>26.19141284</v>
      </c>
      <c r="BW33" s="40">
        <f t="shared" si="36"/>
        <v>0.3773393555</v>
      </c>
      <c r="BX33" s="40">
        <f t="shared" si="37"/>
        <v>0.3788037109</v>
      </c>
      <c r="BY33" s="7">
        <f>BY$2*(Underlying*EXP(-DividendYield*TimeToExpiration)*_xlfn.NORM.DIST(BY$2*(LN(Underlying/$H33)+(RiskFreeRate-DividendYield+0.5*BW33^2)*TimeToExpiration)/(BW33*TimeToExpiration^0.5), 0, 1, TRUE) - 
       $H33*EXP(-RiskFreeRate*TimeToExpiration)*_xlfn.NORM.DIST(BY$2*(LN(Underlying/$H33)+(RiskFreeRate-DividendYield-0.5*BW33^2)*TimeToExpiration)/(BW33*TimeToExpiration^0.5), 0, 1, TRUE)
)</f>
        <v>26.19141284</v>
      </c>
      <c r="BZ33" s="7">
        <f>BZ$2*(Underlying*EXP(-DividendYield*TimeToExpiration)*_xlfn.NORM.DIST(BZ$2*(LN(Underlying/$H33)+(RiskFreeRate-DividendYield+0.5*BX33^2)*TimeToExpiration)/(BX33*TimeToExpiration^0.5), 0, 1, TRUE) - 
       $H33*EXP(-RiskFreeRate*TimeToExpiration)*_xlfn.NORM.DIST(BZ$2*(LN(Underlying/$H33)+(RiskFreeRate-DividendYield-0.5*BX33^2)*TimeToExpiration)/(BX33*TimeToExpiration^0.5), 0, 1, TRUE)
)</f>
        <v>26.20305815</v>
      </c>
      <c r="CA33" s="40">
        <f t="shared" si="38"/>
        <v>0.3780715332</v>
      </c>
      <c r="CB33" s="8">
        <f>CB$2*(Underlying*EXP(-DividendYield*TimeToExpiration)*_xlfn.NORM.DIST(CB$2*(LN(Underlying/$H33)+(RiskFreeRate-DividendYield+0.5*CA33^2)*TimeToExpiration)/(CA33*TimeToExpiration^0.5), 0, 1, TRUE) - 
       $H33*EXP(-RiskFreeRate*TimeToExpiration)*_xlfn.NORM.DIST(CB$2*(LN(Underlying/$H33)+(RiskFreeRate-DividendYield-0.5*CA33^2)*TimeToExpiration)/(CA33*TimeToExpiration^0.5), 0, 1, TRUE)
)</f>
        <v>26.19722519</v>
      </c>
      <c r="CC33" s="40">
        <f t="shared" si="39"/>
        <v>0.3780715332</v>
      </c>
      <c r="CD33" s="40">
        <f t="shared" si="40"/>
        <v>0.3788037109</v>
      </c>
      <c r="CE33" s="7">
        <f>CE$2*(Underlying*EXP(-DividendYield*TimeToExpiration)*_xlfn.NORM.DIST(CE$2*(LN(Underlying/$H33)+(RiskFreeRate-DividendYield+0.5*CC33^2)*TimeToExpiration)/(CC33*TimeToExpiration^0.5), 0, 1, TRUE) - 
       $H33*EXP(-RiskFreeRate*TimeToExpiration)*_xlfn.NORM.DIST(CE$2*(LN(Underlying/$H33)+(RiskFreeRate-DividendYield-0.5*CC33^2)*TimeToExpiration)/(CC33*TimeToExpiration^0.5), 0, 1, TRUE)
)</f>
        <v>26.19722519</v>
      </c>
      <c r="CF33" s="7">
        <f>CF$2*(Underlying*EXP(-DividendYield*TimeToExpiration)*_xlfn.NORM.DIST(CF$2*(LN(Underlying/$H33)+(RiskFreeRate-DividendYield+0.5*CD33^2)*TimeToExpiration)/(CD33*TimeToExpiration^0.5), 0, 1, TRUE) - 
       $H33*EXP(-RiskFreeRate*TimeToExpiration)*_xlfn.NORM.DIST(CF$2*(LN(Underlying/$H33)+(RiskFreeRate-DividendYield-0.5*CD33^2)*TimeToExpiration)/(CD33*TimeToExpiration^0.5), 0, 1, TRUE)
)</f>
        <v>26.20305815</v>
      </c>
      <c r="CG33" s="40">
        <f t="shared" si="41"/>
        <v>0.3784376221</v>
      </c>
      <c r="CH33" s="8">
        <f>CH$2*(Underlying*EXP(-DividendYield*TimeToExpiration)*_xlfn.NORM.DIST(CH$2*(LN(Underlying/$H33)+(RiskFreeRate-DividendYield+0.5*CG33^2)*TimeToExpiration)/(CG33*TimeToExpiration^0.5), 0, 1, TRUE) - 
       $H33*EXP(-RiskFreeRate*TimeToExpiration)*_xlfn.NORM.DIST(CH$2*(LN(Underlying/$H33)+(RiskFreeRate-DividendYield-0.5*CG33^2)*TimeToExpiration)/(CG33*TimeToExpiration^0.5), 0, 1, TRUE)
)</f>
        <v>26.2001391</v>
      </c>
      <c r="CI33" s="40">
        <f t="shared" si="42"/>
        <v>0.3780715332</v>
      </c>
      <c r="CJ33" s="40">
        <f t="shared" si="43"/>
        <v>0.3784376221</v>
      </c>
      <c r="CK33" s="7">
        <f>CK$2*(Underlying*EXP(-DividendYield*TimeToExpiration)*_xlfn.NORM.DIST(CK$2*(LN(Underlying/$H33)+(RiskFreeRate-DividendYield+0.5*CI33^2)*TimeToExpiration)/(CI33*TimeToExpiration^0.5), 0, 1, TRUE) - 
       $H33*EXP(-RiskFreeRate*TimeToExpiration)*_xlfn.NORM.DIST(CK$2*(LN(Underlying/$H33)+(RiskFreeRate-DividendYield-0.5*CI33^2)*TimeToExpiration)/(CI33*TimeToExpiration^0.5), 0, 1, TRUE)
)</f>
        <v>26.19722519</v>
      </c>
      <c r="CL33" s="7">
        <f>CL$2*(Underlying*EXP(-DividendYield*TimeToExpiration)*_xlfn.NORM.DIST(CL$2*(LN(Underlying/$H33)+(RiskFreeRate-DividendYield+0.5*CJ33^2)*TimeToExpiration)/(CJ33*TimeToExpiration^0.5), 0, 1, TRUE) - 
       $H33*EXP(-RiskFreeRate*TimeToExpiration)*_xlfn.NORM.DIST(CL$2*(LN(Underlying/$H33)+(RiskFreeRate-DividendYield-0.5*CJ33^2)*TimeToExpiration)/(CJ33*TimeToExpiration^0.5), 0, 1, TRUE)
)</f>
        <v>26.2001391</v>
      </c>
      <c r="CM33" s="40">
        <f t="shared" si="44"/>
        <v>0.3782545776</v>
      </c>
      <c r="CN33" s="8">
        <f>CN$2*(Underlying*EXP(-DividendYield*TimeToExpiration)*_xlfn.NORM.DIST(CN$2*(LN(Underlying/$H33)+(RiskFreeRate-DividendYield+0.5*CM33^2)*TimeToExpiration)/(CM33*TimeToExpiration^0.5), 0, 1, TRUE) - 
       $H33*EXP(-RiskFreeRate*TimeToExpiration)*_xlfn.NORM.DIST(CN$2*(LN(Underlying/$H33)+(RiskFreeRate-DividendYield-0.5*CM33^2)*TimeToExpiration)/(CM33*TimeToExpiration^0.5), 0, 1, TRUE)
)</f>
        <v>26.1986815</v>
      </c>
      <c r="CO33" s="40">
        <f t="shared" si="45"/>
        <v>0.3782545776</v>
      </c>
      <c r="CP33" s="40">
        <f t="shared" si="46"/>
        <v>0.3784376221</v>
      </c>
      <c r="CQ33" s="7">
        <f>CQ$2*(Underlying*EXP(-DividendYield*TimeToExpiration)*_xlfn.NORM.DIST(CQ$2*(LN(Underlying/$H33)+(RiskFreeRate-DividendYield+0.5*CO33^2)*TimeToExpiration)/(CO33*TimeToExpiration^0.5), 0, 1, TRUE) - 
       $H33*EXP(-RiskFreeRate*TimeToExpiration)*_xlfn.NORM.DIST(CQ$2*(LN(Underlying/$H33)+(RiskFreeRate-DividendYield-0.5*CO33^2)*TimeToExpiration)/(CO33*TimeToExpiration^0.5), 0, 1, TRUE)
)</f>
        <v>26.1986815</v>
      </c>
      <c r="CR33" s="7">
        <f>CR$2*(Underlying*EXP(-DividendYield*TimeToExpiration)*_xlfn.NORM.DIST(CR$2*(LN(Underlying/$H33)+(RiskFreeRate-DividendYield+0.5*CP33^2)*TimeToExpiration)/(CP33*TimeToExpiration^0.5), 0, 1, TRUE) - 
       $H33*EXP(-RiskFreeRate*TimeToExpiration)*_xlfn.NORM.DIST(CR$2*(LN(Underlying/$H33)+(RiskFreeRate-DividendYield-0.5*CP33^2)*TimeToExpiration)/(CP33*TimeToExpiration^0.5), 0, 1, TRUE)
)</f>
        <v>26.2001391</v>
      </c>
      <c r="CS33" s="40">
        <f t="shared" si="47"/>
        <v>0.3783460999</v>
      </c>
      <c r="CT33" s="8">
        <f>CT$2*(Underlying*EXP(-DividendYield*TimeToExpiration)*_xlfn.NORM.DIST(CT$2*(LN(Underlying/$H33)+(RiskFreeRate-DividendYield+0.5*CS33^2)*TimeToExpiration)/(CS33*TimeToExpiration^0.5), 0, 1, TRUE) - 
       $H33*EXP(-RiskFreeRate*TimeToExpiration)*_xlfn.NORM.DIST(CT$2*(LN(Underlying/$H33)+(RiskFreeRate-DividendYield-0.5*CS33^2)*TimeToExpiration)/(CS33*TimeToExpiration^0.5), 0, 1, TRUE)
)</f>
        <v>26.19941014</v>
      </c>
      <c r="CU33" s="40">
        <f t="shared" si="48"/>
        <v>0.3783460999</v>
      </c>
      <c r="CV33" s="40">
        <f t="shared" si="49"/>
        <v>0.3784376221</v>
      </c>
      <c r="CW33" s="7">
        <f>CW$2*(Underlying*EXP(-DividendYield*TimeToExpiration)*_xlfn.NORM.DIST(CW$2*(LN(Underlying/$H33)+(RiskFreeRate-DividendYield+0.5*CU33^2)*TimeToExpiration)/(CU33*TimeToExpiration^0.5), 0, 1, TRUE) - 
       $H33*EXP(-RiskFreeRate*TimeToExpiration)*_xlfn.NORM.DIST(CW$2*(LN(Underlying/$H33)+(RiskFreeRate-DividendYield-0.5*CU33^2)*TimeToExpiration)/(CU33*TimeToExpiration^0.5), 0, 1, TRUE)
)</f>
        <v>26.19941014</v>
      </c>
      <c r="CX33" s="7">
        <f>CX$2*(Underlying*EXP(-DividendYield*TimeToExpiration)*_xlfn.NORM.DIST(CX$2*(LN(Underlying/$H33)+(RiskFreeRate-DividendYield+0.5*CV33^2)*TimeToExpiration)/(CV33*TimeToExpiration^0.5), 0, 1, TRUE) - 
       $H33*EXP(-RiskFreeRate*TimeToExpiration)*_xlfn.NORM.DIST(CX$2*(LN(Underlying/$H33)+(RiskFreeRate-DividendYield-0.5*CV33^2)*TimeToExpiration)/(CV33*TimeToExpiration^0.5), 0, 1, TRUE)
)</f>
        <v>26.2001391</v>
      </c>
      <c r="CY33" s="40">
        <f t="shared" si="50"/>
        <v>0.378391861</v>
      </c>
      <c r="CZ33" s="8">
        <f>CZ$2*(Underlying*EXP(-DividendYield*TimeToExpiration)*_xlfn.NORM.DIST(CZ$2*(LN(Underlying/$H33)+(RiskFreeRate-DividendYield+0.5*CY33^2)*TimeToExpiration)/(CY33*TimeToExpiration^0.5), 0, 1, TRUE) - 
       $H33*EXP(-RiskFreeRate*TimeToExpiration)*_xlfn.NORM.DIST(CZ$2*(LN(Underlying/$H33)+(RiskFreeRate-DividendYield-0.5*CY33^2)*TimeToExpiration)/(CY33*TimeToExpiration^0.5), 0, 1, TRUE)
)</f>
        <v>26.19977458</v>
      </c>
      <c r="DA33" s="40">
        <f t="shared" si="51"/>
        <v>0.378391861</v>
      </c>
      <c r="DB33" s="40">
        <f t="shared" si="52"/>
        <v>0.3784376221</v>
      </c>
      <c r="DC33" s="7">
        <f>DC$2*(Underlying*EXP(-DividendYield*TimeToExpiration)*_xlfn.NORM.DIST(DC$2*(LN(Underlying/$H33)+(RiskFreeRate-DividendYield+0.5*DA33^2)*TimeToExpiration)/(DA33*TimeToExpiration^0.5), 0, 1, TRUE) - 
       $H33*EXP(-RiskFreeRate*TimeToExpiration)*_xlfn.NORM.DIST(DC$2*(LN(Underlying/$H33)+(RiskFreeRate-DividendYield-0.5*DA33^2)*TimeToExpiration)/(DA33*TimeToExpiration^0.5), 0, 1, TRUE)
)</f>
        <v>26.19977458</v>
      </c>
      <c r="DD33" s="7">
        <f>DD$2*(Underlying*EXP(-DividendYield*TimeToExpiration)*_xlfn.NORM.DIST(DD$2*(LN(Underlying/$H33)+(RiskFreeRate-DividendYield+0.5*DB33^2)*TimeToExpiration)/(DB33*TimeToExpiration^0.5), 0, 1, TRUE) - 
       $H33*EXP(-RiskFreeRate*TimeToExpiration)*_xlfn.NORM.DIST(DD$2*(LN(Underlying/$H33)+(RiskFreeRate-DividendYield-0.5*DB33^2)*TimeToExpiration)/(DB33*TimeToExpiration^0.5), 0, 1, TRUE)
)</f>
        <v>26.2001391</v>
      </c>
      <c r="DE33" s="40">
        <f t="shared" si="53"/>
        <v>0.3784147415</v>
      </c>
      <c r="DF33" s="8">
        <f>DF$2*(Underlying*EXP(-DividendYield*TimeToExpiration)*_xlfn.NORM.DIST(DF$2*(LN(Underlying/$H33)+(RiskFreeRate-DividendYield+0.5*DE33^2)*TimeToExpiration)/(DE33*TimeToExpiration^0.5), 0, 1, TRUE) - 
       $H33*EXP(-RiskFreeRate*TimeToExpiration)*_xlfn.NORM.DIST(DF$2*(LN(Underlying/$H33)+(RiskFreeRate-DividendYield-0.5*DE33^2)*TimeToExpiration)/(DE33*TimeToExpiration^0.5), 0, 1, TRUE)
)</f>
        <v>26.19995683</v>
      </c>
    </row>
    <row r="34">
      <c r="A34" s="20">
        <f>'Option Mkt Data'!A34</f>
        <v>367.5</v>
      </c>
      <c r="B34" s="35">
        <f t="shared" ref="B34:C34" si="81">DE34</f>
        <v>0.3039614182</v>
      </c>
      <c r="C34" s="7">
        <f t="shared" si="81"/>
        <v>28.12497787</v>
      </c>
      <c r="D34" s="7">
        <f t="shared" si="3"/>
        <v>0.00002213355407</v>
      </c>
      <c r="E34" s="9">
        <f t="shared" si="4"/>
        <v>0.0000007869708113</v>
      </c>
      <c r="F34" s="36">
        <f>D34/'Option Mkt Data'!M34</f>
        <v>0.0000142798247</v>
      </c>
      <c r="G34" s="5">
        <f>'Option Mkt Data'!K34</f>
        <v>28.125</v>
      </c>
      <c r="H34" s="33">
        <f>'Option Mkt Data'!A34</f>
        <v>367.5</v>
      </c>
      <c r="I34" s="37">
        <f>MinSolverVola</f>
        <v>0.001</v>
      </c>
      <c r="J34" s="38">
        <f>MaxSolverVola</f>
        <v>3</v>
      </c>
      <c r="K34" s="39">
        <f>K$2*(Underlying*EXP(-DividendYield*TimeToExpiration)*_xlfn.NORM.DIST(K$2*(LN(Underlying/$H34)+(RiskFreeRate-DividendYield+0.5*I34^2)*TimeToExpiration)/(I34*TimeToExpiration^0.5), 0, 1, TRUE) - 
       $H34*EXP(-RiskFreeRate*TimeToExpiration)*_xlfn.NORM.DIST(K$2*(LN(Underlying/$H34)+(RiskFreeRate-DividendYield-0.5*I34^2)*TimeToExpiration)/(I34*TimeToExpiration^0.5), 0, 1, TRUE)
)</f>
        <v>27.9295637</v>
      </c>
      <c r="L34" s="7">
        <f>L$2*(Underlying*EXP(-DividendYield*TimeToExpiration)*_xlfn.NORM.DIST(L$2*(LN(Underlying/$H34)+(RiskFreeRate-DividendYield+0.5*J34^2)*TimeToExpiration)/(J34*TimeToExpiration^0.5), 0, 1, TRUE) - 
       $H34*EXP(-RiskFreeRate*TimeToExpiration)*_xlfn.NORM.DIST(L$2*(LN(Underlying/$H34)+(RiskFreeRate-DividendYield-0.5*J34^2)*TimeToExpiration)/(J34*TimeToExpiration^0.5), 0, 1, TRUE)
)</f>
        <v>74.31336192</v>
      </c>
      <c r="M34" s="40">
        <f t="shared" si="5"/>
        <v>1.5005</v>
      </c>
      <c r="N34" s="8">
        <f>N$2*(Underlying*EXP(-DividendYield*TimeToExpiration)*_xlfn.NORM.DIST(N$2*(LN(Underlying/$H34)+(RiskFreeRate-DividendYield+0.5*M34^2)*TimeToExpiration)/(M34*TimeToExpiration^0.5), 0, 1, TRUE) - 
       $H34*EXP(-RiskFreeRate*TimeToExpiration)*_xlfn.NORM.DIST(N$2*(LN(Underlying/$H34)+(RiskFreeRate-DividendYield-0.5*M34^2)*TimeToExpiration)/(M34*TimeToExpiration^0.5), 0, 1, TRUE)
)</f>
        <v>45.85093823</v>
      </c>
      <c r="O34" s="41">
        <f t="shared" si="6"/>
        <v>0.001</v>
      </c>
      <c r="P34" s="40">
        <f t="shared" si="7"/>
        <v>1.5005</v>
      </c>
      <c r="Q34" s="7">
        <f>Q$2*(Underlying*EXP(-DividendYield*TimeToExpiration)*_xlfn.NORM.DIST(Q$2*(LN(Underlying/$H34)+(RiskFreeRate-DividendYield+0.5*O34^2)*TimeToExpiration)/(O34*TimeToExpiration^0.5), 0, 1, TRUE) - 
       $H34*EXP(-RiskFreeRate*TimeToExpiration)*_xlfn.NORM.DIST(Q$2*(LN(Underlying/$H34)+(RiskFreeRate-DividendYield-0.5*O34^2)*TimeToExpiration)/(O34*TimeToExpiration^0.5), 0, 1, TRUE)
)</f>
        <v>27.9295637</v>
      </c>
      <c r="R34" s="7">
        <f>R$2*(Underlying*EXP(-DividendYield*TimeToExpiration)*_xlfn.NORM.DIST(R$2*(LN(Underlying/$H34)+(RiskFreeRate-DividendYield+0.5*P34^2)*TimeToExpiration)/(P34*TimeToExpiration^0.5), 0, 1, TRUE) - 
       $H34*EXP(-RiskFreeRate*TimeToExpiration)*_xlfn.NORM.DIST(R$2*(LN(Underlying/$H34)+(RiskFreeRate-DividendYield-0.5*P34^2)*TimeToExpiration)/(P34*TimeToExpiration^0.5), 0, 1, TRUE)
)</f>
        <v>45.85093823</v>
      </c>
      <c r="S34" s="40">
        <f t="shared" si="8"/>
        <v>0.75075</v>
      </c>
      <c r="T34" s="8">
        <f>T$2*(Underlying*EXP(-DividendYield*TimeToExpiration)*_xlfn.NORM.DIST(T$2*(LN(Underlying/$H34)+(RiskFreeRate-DividendYield+0.5*S34^2)*TimeToExpiration)/(S34*TimeToExpiration^0.5), 0, 1, TRUE) - 
       $H34*EXP(-RiskFreeRate*TimeToExpiration)*_xlfn.NORM.DIST(T$2*(LN(Underlying/$H34)+(RiskFreeRate-DividendYield-0.5*S34^2)*TimeToExpiration)/(S34*TimeToExpiration^0.5), 0, 1, TRUE)
)</f>
        <v>32.88146446</v>
      </c>
      <c r="U34" s="41">
        <f t="shared" si="9"/>
        <v>0.001</v>
      </c>
      <c r="V34" s="40">
        <f t="shared" si="10"/>
        <v>0.75075</v>
      </c>
      <c r="W34" s="7">
        <f>W$2*(Underlying*EXP(-DividendYield*TimeToExpiration)*_xlfn.NORM.DIST(W$2*(LN(Underlying/$H34)+(RiskFreeRate-DividendYield+0.5*U34^2)*TimeToExpiration)/(U34*TimeToExpiration^0.5), 0, 1, TRUE) - 
       $H34*EXP(-RiskFreeRate*TimeToExpiration)*_xlfn.NORM.DIST(W$2*(LN(Underlying/$H34)+(RiskFreeRate-DividendYield-0.5*U34^2)*TimeToExpiration)/(U34*TimeToExpiration^0.5), 0, 1, TRUE)
)</f>
        <v>27.9295637</v>
      </c>
      <c r="X34" s="7">
        <f>X$2*(Underlying*EXP(-DividendYield*TimeToExpiration)*_xlfn.NORM.DIST(X$2*(LN(Underlying/$H34)+(RiskFreeRate-DividendYield+0.5*V34^2)*TimeToExpiration)/(V34*TimeToExpiration^0.5), 0, 1, TRUE) - 
       $H34*EXP(-RiskFreeRate*TimeToExpiration)*_xlfn.NORM.DIST(X$2*(LN(Underlying/$H34)+(RiskFreeRate-DividendYield-0.5*V34^2)*TimeToExpiration)/(V34*TimeToExpiration^0.5), 0, 1, TRUE)
)</f>
        <v>32.88146446</v>
      </c>
      <c r="Y34" s="40">
        <f t="shared" si="11"/>
        <v>0.375875</v>
      </c>
      <c r="Z34" s="8">
        <f>Z$2*(Underlying*EXP(-DividendYield*TimeToExpiration)*_xlfn.NORM.DIST(Z$2*(LN(Underlying/$H34)+(RiskFreeRate-DividendYield+0.5*Y34^2)*TimeToExpiration)/(Y34*TimeToExpiration^0.5), 0, 1, TRUE) - 
       $H34*EXP(-RiskFreeRate*TimeToExpiration)*_xlfn.NORM.DIST(Z$2*(LN(Underlying/$H34)+(RiskFreeRate-DividendYield-0.5*Y34^2)*TimeToExpiration)/(Y34*TimeToExpiration^0.5), 0, 1, TRUE)
)</f>
        <v>28.49394696</v>
      </c>
      <c r="AA34" s="41">
        <f t="shared" si="12"/>
        <v>0.001</v>
      </c>
      <c r="AB34" s="40">
        <f t="shared" si="13"/>
        <v>0.375875</v>
      </c>
      <c r="AC34" s="7">
        <f>AC$2*(Underlying*EXP(-DividendYield*TimeToExpiration)*_xlfn.NORM.DIST(AC$2*(LN(Underlying/$H34)+(RiskFreeRate-DividendYield+0.5*AA34^2)*TimeToExpiration)/(AA34*TimeToExpiration^0.5), 0, 1, TRUE) - 
       $H34*EXP(-RiskFreeRate*TimeToExpiration)*_xlfn.NORM.DIST(AC$2*(LN(Underlying/$H34)+(RiskFreeRate-DividendYield-0.5*AA34^2)*TimeToExpiration)/(AA34*TimeToExpiration^0.5), 0, 1, TRUE)
)</f>
        <v>27.9295637</v>
      </c>
      <c r="AD34" s="7">
        <f>AD$2*(Underlying*EXP(-DividendYield*TimeToExpiration)*_xlfn.NORM.DIST(AD$2*(LN(Underlying/$H34)+(RiskFreeRate-DividendYield+0.5*AB34^2)*TimeToExpiration)/(AB34*TimeToExpiration^0.5), 0, 1, TRUE) - 
       $H34*EXP(-RiskFreeRate*TimeToExpiration)*_xlfn.NORM.DIST(AD$2*(LN(Underlying/$H34)+(RiskFreeRate-DividendYield-0.5*AB34^2)*TimeToExpiration)/(AB34*TimeToExpiration^0.5), 0, 1, TRUE)
)</f>
        <v>28.49394696</v>
      </c>
      <c r="AE34" s="40">
        <f t="shared" si="14"/>
        <v>0.1884375</v>
      </c>
      <c r="AF34" s="8">
        <f>AF$2*(Underlying*EXP(-DividendYield*TimeToExpiration)*_xlfn.NORM.DIST(AF$2*(LN(Underlying/$H34)+(RiskFreeRate-DividendYield+0.5*AE34^2)*TimeToExpiration)/(AE34*TimeToExpiration^0.5), 0, 1, TRUE) - 
       $H34*EXP(-RiskFreeRate*TimeToExpiration)*_xlfn.NORM.DIST(AF$2*(LN(Underlying/$H34)+(RiskFreeRate-DividendYield-0.5*AE34^2)*TimeToExpiration)/(AE34*TimeToExpiration^0.5), 0, 1, TRUE)
)</f>
        <v>27.93357371</v>
      </c>
      <c r="AG34" s="40">
        <f t="shared" si="15"/>
        <v>0.1884375</v>
      </c>
      <c r="AH34" s="40">
        <f t="shared" si="16"/>
        <v>0.375875</v>
      </c>
      <c r="AI34" s="7">
        <f>AI$2*(Underlying*EXP(-DividendYield*TimeToExpiration)*_xlfn.NORM.DIST(AI$2*(LN(Underlying/$H34)+(RiskFreeRate-DividendYield+0.5*AG34^2)*TimeToExpiration)/(AG34*TimeToExpiration^0.5), 0, 1, TRUE) - 
       $H34*EXP(-RiskFreeRate*TimeToExpiration)*_xlfn.NORM.DIST(AI$2*(LN(Underlying/$H34)+(RiskFreeRate-DividendYield-0.5*AG34^2)*TimeToExpiration)/(AG34*TimeToExpiration^0.5), 0, 1, TRUE)
)</f>
        <v>27.93357371</v>
      </c>
      <c r="AJ34" s="7">
        <f>AJ$2*(Underlying*EXP(-DividendYield*TimeToExpiration)*_xlfn.NORM.DIST(AJ$2*(LN(Underlying/$H34)+(RiskFreeRate-DividendYield+0.5*AH34^2)*TimeToExpiration)/(AH34*TimeToExpiration^0.5), 0, 1, TRUE) - 
       $H34*EXP(-RiskFreeRate*TimeToExpiration)*_xlfn.NORM.DIST(AJ$2*(LN(Underlying/$H34)+(RiskFreeRate-DividendYield-0.5*AH34^2)*TimeToExpiration)/(AH34*TimeToExpiration^0.5), 0, 1, TRUE)
)</f>
        <v>28.49394696</v>
      </c>
      <c r="AK34" s="40">
        <f t="shared" si="17"/>
        <v>0.28215625</v>
      </c>
      <c r="AL34" s="8">
        <f>AL$2*(Underlying*EXP(-DividendYield*TimeToExpiration)*_xlfn.NORM.DIST(AL$2*(LN(Underlying/$H34)+(RiskFreeRate-DividendYield+0.5*AK34^2)*TimeToExpiration)/(AK34*TimeToExpiration^0.5), 0, 1, TRUE) - 
       $H34*EXP(-RiskFreeRate*TimeToExpiration)*_xlfn.NORM.DIST(AL$2*(LN(Underlying/$H34)+(RiskFreeRate-DividendYield-0.5*AK34^2)*TimeToExpiration)/(AK34*TimeToExpiration^0.5), 0, 1, TRUE)
)</f>
        <v>28.0547563</v>
      </c>
      <c r="AM34" s="40">
        <f t="shared" si="18"/>
        <v>0.28215625</v>
      </c>
      <c r="AN34" s="40">
        <f t="shared" si="19"/>
        <v>0.375875</v>
      </c>
      <c r="AO34" s="7">
        <f>AO$2*(Underlying*EXP(-DividendYield*TimeToExpiration)*_xlfn.NORM.DIST(AO$2*(LN(Underlying/$H34)+(RiskFreeRate-DividendYield+0.5*AM34^2)*TimeToExpiration)/(AM34*TimeToExpiration^0.5), 0, 1, TRUE) - 
       $H34*EXP(-RiskFreeRate*TimeToExpiration)*_xlfn.NORM.DIST(AO$2*(LN(Underlying/$H34)+(RiskFreeRate-DividendYield-0.5*AM34^2)*TimeToExpiration)/(AM34*TimeToExpiration^0.5), 0, 1, TRUE)
)</f>
        <v>28.0547563</v>
      </c>
      <c r="AP34" s="7">
        <f>AP$2*(Underlying*EXP(-DividendYield*TimeToExpiration)*_xlfn.NORM.DIST(AP$2*(LN(Underlying/$H34)+(RiskFreeRate-DividendYield+0.5*AN34^2)*TimeToExpiration)/(AN34*TimeToExpiration^0.5), 0, 1, TRUE) - 
       $H34*EXP(-RiskFreeRate*TimeToExpiration)*_xlfn.NORM.DIST(AP$2*(LN(Underlying/$H34)+(RiskFreeRate-DividendYield-0.5*AN34^2)*TimeToExpiration)/(AN34*TimeToExpiration^0.5), 0, 1, TRUE)
)</f>
        <v>28.49394696</v>
      </c>
      <c r="AQ34" s="40">
        <f t="shared" si="20"/>
        <v>0.329015625</v>
      </c>
      <c r="AR34" s="8">
        <f>AR$2*(Underlying*EXP(-DividendYield*TimeToExpiration)*_xlfn.NORM.DIST(AR$2*(LN(Underlying/$H34)+(RiskFreeRate-DividendYield+0.5*AQ34^2)*TimeToExpiration)/(AQ34*TimeToExpiration^0.5), 0, 1, TRUE) - 
       $H34*EXP(-RiskFreeRate*TimeToExpiration)*_xlfn.NORM.DIST(AR$2*(LN(Underlying/$H34)+(RiskFreeRate-DividendYield-0.5*AQ34^2)*TimeToExpiration)/(AQ34*TimeToExpiration^0.5), 0, 1, TRUE)
)</f>
        <v>28.22954946</v>
      </c>
      <c r="AS34" s="40">
        <f t="shared" si="21"/>
        <v>0.28215625</v>
      </c>
      <c r="AT34" s="40">
        <f t="shared" si="22"/>
        <v>0.329015625</v>
      </c>
      <c r="AU34" s="7">
        <f>AU$2*(Underlying*EXP(-DividendYield*TimeToExpiration)*_xlfn.NORM.DIST(AU$2*(LN(Underlying/$H34)+(RiskFreeRate-DividendYield+0.5*AS34^2)*TimeToExpiration)/(AS34*TimeToExpiration^0.5), 0, 1, TRUE) - 
       $H34*EXP(-RiskFreeRate*TimeToExpiration)*_xlfn.NORM.DIST(AU$2*(LN(Underlying/$H34)+(RiskFreeRate-DividendYield-0.5*AS34^2)*TimeToExpiration)/(AS34*TimeToExpiration^0.5), 0, 1, TRUE)
)</f>
        <v>28.0547563</v>
      </c>
      <c r="AV34" s="7">
        <f>AV$2*(Underlying*EXP(-DividendYield*TimeToExpiration)*_xlfn.NORM.DIST(AV$2*(LN(Underlying/$H34)+(RiskFreeRate-DividendYield+0.5*AT34^2)*TimeToExpiration)/(AT34*TimeToExpiration^0.5), 0, 1, TRUE) - 
       $H34*EXP(-RiskFreeRate*TimeToExpiration)*_xlfn.NORM.DIST(AV$2*(LN(Underlying/$H34)+(RiskFreeRate-DividendYield-0.5*AT34^2)*TimeToExpiration)/(AT34*TimeToExpiration^0.5), 0, 1, TRUE)
)</f>
        <v>28.22954946</v>
      </c>
      <c r="AW34" s="40">
        <f t="shared" si="23"/>
        <v>0.3055859375</v>
      </c>
      <c r="AX34" s="8">
        <f>AX$2*(Underlying*EXP(-DividendYield*TimeToExpiration)*_xlfn.NORM.DIST(AX$2*(LN(Underlying/$H34)+(RiskFreeRate-DividendYield+0.5*AW34^2)*TimeToExpiration)/(AW34*TimeToExpiration^0.5), 0, 1, TRUE) - 
       $H34*EXP(-RiskFreeRate*TimeToExpiration)*_xlfn.NORM.DIST(AX$2*(LN(Underlying/$H34)+(RiskFreeRate-DividendYield-0.5*AW34^2)*TimeToExpiration)/(AW34*TimeToExpiration^0.5), 0, 1, TRUE)
)</f>
        <v>28.13097659</v>
      </c>
      <c r="AY34" s="40">
        <f t="shared" si="24"/>
        <v>0.28215625</v>
      </c>
      <c r="AZ34" s="40">
        <f t="shared" si="25"/>
        <v>0.3055859375</v>
      </c>
      <c r="BA34" s="7">
        <f>BA$2*(Underlying*EXP(-DividendYield*TimeToExpiration)*_xlfn.NORM.DIST(BA$2*(LN(Underlying/$H34)+(RiskFreeRate-DividendYield+0.5*AY34^2)*TimeToExpiration)/(AY34*TimeToExpiration^0.5), 0, 1, TRUE) - 
       $H34*EXP(-RiskFreeRate*TimeToExpiration)*_xlfn.NORM.DIST(BA$2*(LN(Underlying/$H34)+(RiskFreeRate-DividendYield-0.5*AY34^2)*TimeToExpiration)/(AY34*TimeToExpiration^0.5), 0, 1, TRUE)
)</f>
        <v>28.0547563</v>
      </c>
      <c r="BB34" s="7">
        <f>BB$2*(Underlying*EXP(-DividendYield*TimeToExpiration)*_xlfn.NORM.DIST(BB$2*(LN(Underlying/$H34)+(RiskFreeRate-DividendYield+0.5*AZ34^2)*TimeToExpiration)/(AZ34*TimeToExpiration^0.5), 0, 1, TRUE) - 
       $H34*EXP(-RiskFreeRate*TimeToExpiration)*_xlfn.NORM.DIST(BB$2*(LN(Underlying/$H34)+(RiskFreeRate-DividendYield-0.5*AZ34^2)*TimeToExpiration)/(AZ34*TimeToExpiration^0.5), 0, 1, TRUE)
)</f>
        <v>28.13097659</v>
      </c>
      <c r="BC34" s="40">
        <f t="shared" si="26"/>
        <v>0.2938710938</v>
      </c>
      <c r="BD34" s="8">
        <f>BD$2*(Underlying*EXP(-DividendYield*TimeToExpiration)*_xlfn.NORM.DIST(BD$2*(LN(Underlying/$H34)+(RiskFreeRate-DividendYield+0.5*BC34^2)*TimeToExpiration)/(BC34*TimeToExpiration^0.5), 0, 1, TRUE) - 
       $H34*EXP(-RiskFreeRate*TimeToExpiration)*_xlfn.NORM.DIST(BD$2*(LN(Underlying/$H34)+(RiskFreeRate-DividendYield-0.5*BC34^2)*TimeToExpiration)/(BC34*TimeToExpiration^0.5), 0, 1, TRUE)
)</f>
        <v>28.09011824</v>
      </c>
      <c r="BE34" s="40">
        <f t="shared" si="27"/>
        <v>0.2938710938</v>
      </c>
      <c r="BF34" s="40">
        <f t="shared" si="28"/>
        <v>0.3055859375</v>
      </c>
      <c r="BG34" s="7">
        <f>BG$2*(Underlying*EXP(-DividendYield*TimeToExpiration)*_xlfn.NORM.DIST(BG$2*(LN(Underlying/$H34)+(RiskFreeRate-DividendYield+0.5*BE34^2)*TimeToExpiration)/(BE34*TimeToExpiration^0.5), 0, 1, TRUE) - 
       $H34*EXP(-RiskFreeRate*TimeToExpiration)*_xlfn.NORM.DIST(BG$2*(LN(Underlying/$H34)+(RiskFreeRate-DividendYield-0.5*BE34^2)*TimeToExpiration)/(BE34*TimeToExpiration^0.5), 0, 1, TRUE)
)</f>
        <v>28.09011824</v>
      </c>
      <c r="BH34" s="7">
        <f>BH$2*(Underlying*EXP(-DividendYield*TimeToExpiration)*_xlfn.NORM.DIST(BH$2*(LN(Underlying/$H34)+(RiskFreeRate-DividendYield+0.5*BF34^2)*TimeToExpiration)/(BF34*TimeToExpiration^0.5), 0, 1, TRUE) - 
       $H34*EXP(-RiskFreeRate*TimeToExpiration)*_xlfn.NORM.DIST(BH$2*(LN(Underlying/$H34)+(RiskFreeRate-DividendYield-0.5*BF34^2)*TimeToExpiration)/(BF34*TimeToExpiration^0.5), 0, 1, TRUE)
)</f>
        <v>28.13097659</v>
      </c>
      <c r="BI34" s="40">
        <f t="shared" si="29"/>
        <v>0.2997285156</v>
      </c>
      <c r="BJ34" s="8">
        <f>BJ$2*(Underlying*EXP(-DividendYield*TimeToExpiration)*_xlfn.NORM.DIST(BJ$2*(LN(Underlying/$H34)+(RiskFreeRate-DividendYield+0.5*BI34^2)*TimeToExpiration)/(BI34*TimeToExpiration^0.5), 0, 1, TRUE) - 
       $H34*EXP(-RiskFreeRate*TimeToExpiration)*_xlfn.NORM.DIST(BJ$2*(LN(Underlying/$H34)+(RiskFreeRate-DividendYield-0.5*BI34^2)*TimeToExpiration)/(BI34*TimeToExpiration^0.5), 0, 1, TRUE)
)</f>
        <v>28.1098523</v>
      </c>
      <c r="BK34" s="40">
        <f t="shared" si="30"/>
        <v>0.2997285156</v>
      </c>
      <c r="BL34" s="40">
        <f t="shared" si="31"/>
        <v>0.3055859375</v>
      </c>
      <c r="BM34" s="7">
        <f>BM$2*(Underlying*EXP(-DividendYield*TimeToExpiration)*_xlfn.NORM.DIST(BM$2*(LN(Underlying/$H34)+(RiskFreeRate-DividendYield+0.5*BK34^2)*TimeToExpiration)/(BK34*TimeToExpiration^0.5), 0, 1, TRUE) - 
       $H34*EXP(-RiskFreeRate*TimeToExpiration)*_xlfn.NORM.DIST(BM$2*(LN(Underlying/$H34)+(RiskFreeRate-DividendYield-0.5*BK34^2)*TimeToExpiration)/(BK34*TimeToExpiration^0.5), 0, 1, TRUE)
)</f>
        <v>28.1098523</v>
      </c>
      <c r="BN34" s="7">
        <f>BN$2*(Underlying*EXP(-DividendYield*TimeToExpiration)*_xlfn.NORM.DIST(BN$2*(LN(Underlying/$H34)+(RiskFreeRate-DividendYield+0.5*BL34^2)*TimeToExpiration)/(BL34*TimeToExpiration^0.5), 0, 1, TRUE) - 
       $H34*EXP(-RiskFreeRate*TimeToExpiration)*_xlfn.NORM.DIST(BN$2*(LN(Underlying/$H34)+(RiskFreeRate-DividendYield-0.5*BL34^2)*TimeToExpiration)/(BL34*TimeToExpiration^0.5), 0, 1, TRUE)
)</f>
        <v>28.13097659</v>
      </c>
      <c r="BO34" s="40">
        <f t="shared" si="32"/>
        <v>0.3026572266</v>
      </c>
      <c r="BP34" s="8">
        <f>BP$2*(Underlying*EXP(-DividendYield*TimeToExpiration)*_xlfn.NORM.DIST(BP$2*(LN(Underlying/$H34)+(RiskFreeRate-DividendYield+0.5*BO34^2)*TimeToExpiration)/(BO34*TimeToExpiration^0.5), 0, 1, TRUE) - 
       $H34*EXP(-RiskFreeRate*TimeToExpiration)*_xlfn.NORM.DIST(BP$2*(LN(Underlying/$H34)+(RiskFreeRate-DividendYield-0.5*BO34^2)*TimeToExpiration)/(BO34*TimeToExpiration^0.5), 0, 1, TRUE)
)</f>
        <v>28.12023988</v>
      </c>
      <c r="BQ34" s="40">
        <f t="shared" si="33"/>
        <v>0.3026572266</v>
      </c>
      <c r="BR34" s="40">
        <f t="shared" si="34"/>
        <v>0.3055859375</v>
      </c>
      <c r="BS34" s="7">
        <f>BS$2*(Underlying*EXP(-DividendYield*TimeToExpiration)*_xlfn.NORM.DIST(BS$2*(LN(Underlying/$H34)+(RiskFreeRate-DividendYield+0.5*BQ34^2)*TimeToExpiration)/(BQ34*TimeToExpiration^0.5), 0, 1, TRUE) - 
       $H34*EXP(-RiskFreeRate*TimeToExpiration)*_xlfn.NORM.DIST(BS$2*(LN(Underlying/$H34)+(RiskFreeRate-DividendYield-0.5*BQ34^2)*TimeToExpiration)/(BQ34*TimeToExpiration^0.5), 0, 1, TRUE)
)</f>
        <v>28.12023988</v>
      </c>
      <c r="BT34" s="7">
        <f>BT$2*(Underlying*EXP(-DividendYield*TimeToExpiration)*_xlfn.NORM.DIST(BT$2*(LN(Underlying/$H34)+(RiskFreeRate-DividendYield+0.5*BR34^2)*TimeToExpiration)/(BR34*TimeToExpiration^0.5), 0, 1, TRUE) - 
       $H34*EXP(-RiskFreeRate*TimeToExpiration)*_xlfn.NORM.DIST(BT$2*(LN(Underlying/$H34)+(RiskFreeRate-DividendYield-0.5*BR34^2)*TimeToExpiration)/(BR34*TimeToExpiration^0.5), 0, 1, TRUE)
)</f>
        <v>28.13097659</v>
      </c>
      <c r="BU34" s="40">
        <f t="shared" si="35"/>
        <v>0.304121582</v>
      </c>
      <c r="BV34" s="8">
        <f>BV$2*(Underlying*EXP(-DividendYield*TimeToExpiration)*_xlfn.NORM.DIST(BV$2*(LN(Underlying/$H34)+(RiskFreeRate-DividendYield+0.5*BU34^2)*TimeToExpiration)/(BU34*TimeToExpiration^0.5), 0, 1, TRUE) - 
       $H34*EXP(-RiskFreeRate*TimeToExpiration)*_xlfn.NORM.DIST(BV$2*(LN(Underlying/$H34)+(RiskFreeRate-DividendYield-0.5*BU34^2)*TimeToExpiration)/(BU34*TimeToExpiration^0.5), 0, 1, TRUE)
)</f>
        <v>28.1255645</v>
      </c>
      <c r="BW34" s="40">
        <f t="shared" si="36"/>
        <v>0.3026572266</v>
      </c>
      <c r="BX34" s="40">
        <f t="shared" si="37"/>
        <v>0.304121582</v>
      </c>
      <c r="BY34" s="7">
        <f>BY$2*(Underlying*EXP(-DividendYield*TimeToExpiration)*_xlfn.NORM.DIST(BY$2*(LN(Underlying/$H34)+(RiskFreeRate-DividendYield+0.5*BW34^2)*TimeToExpiration)/(BW34*TimeToExpiration^0.5), 0, 1, TRUE) - 
       $H34*EXP(-RiskFreeRate*TimeToExpiration)*_xlfn.NORM.DIST(BY$2*(LN(Underlying/$H34)+(RiskFreeRate-DividendYield-0.5*BW34^2)*TimeToExpiration)/(BW34*TimeToExpiration^0.5), 0, 1, TRUE)
)</f>
        <v>28.12023988</v>
      </c>
      <c r="BZ34" s="7">
        <f>BZ$2*(Underlying*EXP(-DividendYield*TimeToExpiration)*_xlfn.NORM.DIST(BZ$2*(LN(Underlying/$H34)+(RiskFreeRate-DividendYield+0.5*BX34^2)*TimeToExpiration)/(BX34*TimeToExpiration^0.5), 0, 1, TRUE) - 
       $H34*EXP(-RiskFreeRate*TimeToExpiration)*_xlfn.NORM.DIST(BZ$2*(LN(Underlying/$H34)+(RiskFreeRate-DividendYield-0.5*BX34^2)*TimeToExpiration)/(BX34*TimeToExpiration^0.5), 0, 1, TRUE)
)</f>
        <v>28.1255645</v>
      </c>
      <c r="CA34" s="40">
        <f t="shared" si="38"/>
        <v>0.3033894043</v>
      </c>
      <c r="CB34" s="8">
        <f>CB$2*(Underlying*EXP(-DividendYield*TimeToExpiration)*_xlfn.NORM.DIST(CB$2*(LN(Underlying/$H34)+(RiskFreeRate-DividendYield+0.5*CA34^2)*TimeToExpiration)/(CA34*TimeToExpiration^0.5), 0, 1, TRUE) - 
       $H34*EXP(-RiskFreeRate*TimeToExpiration)*_xlfn.NORM.DIST(CB$2*(LN(Underlying/$H34)+(RiskFreeRate-DividendYield-0.5*CA34^2)*TimeToExpiration)/(CA34*TimeToExpiration^0.5), 0, 1, TRUE)
)</f>
        <v>28.12289127</v>
      </c>
      <c r="CC34" s="40">
        <f t="shared" si="39"/>
        <v>0.3033894043</v>
      </c>
      <c r="CD34" s="40">
        <f t="shared" si="40"/>
        <v>0.304121582</v>
      </c>
      <c r="CE34" s="7">
        <f>CE$2*(Underlying*EXP(-DividendYield*TimeToExpiration)*_xlfn.NORM.DIST(CE$2*(LN(Underlying/$H34)+(RiskFreeRate-DividendYield+0.5*CC34^2)*TimeToExpiration)/(CC34*TimeToExpiration^0.5), 0, 1, TRUE) - 
       $H34*EXP(-RiskFreeRate*TimeToExpiration)*_xlfn.NORM.DIST(CE$2*(LN(Underlying/$H34)+(RiskFreeRate-DividendYield-0.5*CC34^2)*TimeToExpiration)/(CC34*TimeToExpiration^0.5), 0, 1, TRUE)
)</f>
        <v>28.12289127</v>
      </c>
      <c r="CF34" s="7">
        <f>CF$2*(Underlying*EXP(-DividendYield*TimeToExpiration)*_xlfn.NORM.DIST(CF$2*(LN(Underlying/$H34)+(RiskFreeRate-DividendYield+0.5*CD34^2)*TimeToExpiration)/(CD34*TimeToExpiration^0.5), 0, 1, TRUE) - 
       $H34*EXP(-RiskFreeRate*TimeToExpiration)*_xlfn.NORM.DIST(CF$2*(LN(Underlying/$H34)+(RiskFreeRate-DividendYield-0.5*CD34^2)*TimeToExpiration)/(CD34*TimeToExpiration^0.5), 0, 1, TRUE)
)</f>
        <v>28.1255645</v>
      </c>
      <c r="CG34" s="40">
        <f t="shared" si="41"/>
        <v>0.3037554932</v>
      </c>
      <c r="CH34" s="8">
        <f>CH$2*(Underlying*EXP(-DividendYield*TimeToExpiration)*_xlfn.NORM.DIST(CH$2*(LN(Underlying/$H34)+(RiskFreeRate-DividendYield+0.5*CG34^2)*TimeToExpiration)/(CG34*TimeToExpiration^0.5), 0, 1, TRUE) - 
       $H34*EXP(-RiskFreeRate*TimeToExpiration)*_xlfn.NORM.DIST(CH$2*(LN(Underlying/$H34)+(RiskFreeRate-DividendYield-0.5*CG34^2)*TimeToExpiration)/(CG34*TimeToExpiration^0.5), 0, 1, TRUE)
)</f>
        <v>28.12422515</v>
      </c>
      <c r="CI34" s="40">
        <f t="shared" si="42"/>
        <v>0.3037554932</v>
      </c>
      <c r="CJ34" s="40">
        <f t="shared" si="43"/>
        <v>0.304121582</v>
      </c>
      <c r="CK34" s="7">
        <f>CK$2*(Underlying*EXP(-DividendYield*TimeToExpiration)*_xlfn.NORM.DIST(CK$2*(LN(Underlying/$H34)+(RiskFreeRate-DividendYield+0.5*CI34^2)*TimeToExpiration)/(CI34*TimeToExpiration^0.5), 0, 1, TRUE) - 
       $H34*EXP(-RiskFreeRate*TimeToExpiration)*_xlfn.NORM.DIST(CK$2*(LN(Underlying/$H34)+(RiskFreeRate-DividendYield-0.5*CI34^2)*TimeToExpiration)/(CI34*TimeToExpiration^0.5), 0, 1, TRUE)
)</f>
        <v>28.12422515</v>
      </c>
      <c r="CL34" s="7">
        <f>CL$2*(Underlying*EXP(-DividendYield*TimeToExpiration)*_xlfn.NORM.DIST(CL$2*(LN(Underlying/$H34)+(RiskFreeRate-DividendYield+0.5*CJ34^2)*TimeToExpiration)/(CJ34*TimeToExpiration^0.5), 0, 1, TRUE) - 
       $H34*EXP(-RiskFreeRate*TimeToExpiration)*_xlfn.NORM.DIST(CL$2*(LN(Underlying/$H34)+(RiskFreeRate-DividendYield-0.5*CJ34^2)*TimeToExpiration)/(CJ34*TimeToExpiration^0.5), 0, 1, TRUE)
)</f>
        <v>28.1255645</v>
      </c>
      <c r="CM34" s="40">
        <f t="shared" si="44"/>
        <v>0.3039385376</v>
      </c>
      <c r="CN34" s="8">
        <f>CN$2*(Underlying*EXP(-DividendYield*TimeToExpiration)*_xlfn.NORM.DIST(CN$2*(LN(Underlying/$H34)+(RiskFreeRate-DividendYield+0.5*CM34^2)*TimeToExpiration)/(CM34*TimeToExpiration^0.5), 0, 1, TRUE) - 
       $H34*EXP(-RiskFreeRate*TimeToExpiration)*_xlfn.NORM.DIST(CN$2*(LN(Underlying/$H34)+(RiskFreeRate-DividendYield-0.5*CM34^2)*TimeToExpiration)/(CM34*TimeToExpiration^0.5), 0, 1, TRUE)
)</f>
        <v>28.12489415</v>
      </c>
      <c r="CO34" s="40">
        <f t="shared" si="45"/>
        <v>0.3039385376</v>
      </c>
      <c r="CP34" s="40">
        <f t="shared" si="46"/>
        <v>0.304121582</v>
      </c>
      <c r="CQ34" s="7">
        <f>CQ$2*(Underlying*EXP(-DividendYield*TimeToExpiration)*_xlfn.NORM.DIST(CQ$2*(LN(Underlying/$H34)+(RiskFreeRate-DividendYield+0.5*CO34^2)*TimeToExpiration)/(CO34*TimeToExpiration^0.5), 0, 1, TRUE) - 
       $H34*EXP(-RiskFreeRate*TimeToExpiration)*_xlfn.NORM.DIST(CQ$2*(LN(Underlying/$H34)+(RiskFreeRate-DividendYield-0.5*CO34^2)*TimeToExpiration)/(CO34*TimeToExpiration^0.5), 0, 1, TRUE)
)</f>
        <v>28.12489415</v>
      </c>
      <c r="CR34" s="7">
        <f>CR$2*(Underlying*EXP(-DividendYield*TimeToExpiration)*_xlfn.NORM.DIST(CR$2*(LN(Underlying/$H34)+(RiskFreeRate-DividendYield+0.5*CP34^2)*TimeToExpiration)/(CP34*TimeToExpiration^0.5), 0, 1, TRUE) - 
       $H34*EXP(-RiskFreeRate*TimeToExpiration)*_xlfn.NORM.DIST(CR$2*(LN(Underlying/$H34)+(RiskFreeRate-DividendYield-0.5*CP34^2)*TimeToExpiration)/(CP34*TimeToExpiration^0.5), 0, 1, TRUE)
)</f>
        <v>28.1255645</v>
      </c>
      <c r="CS34" s="40">
        <f t="shared" si="47"/>
        <v>0.3040300598</v>
      </c>
      <c r="CT34" s="8">
        <f>CT$2*(Underlying*EXP(-DividendYield*TimeToExpiration)*_xlfn.NORM.DIST(CT$2*(LN(Underlying/$H34)+(RiskFreeRate-DividendYield+0.5*CS34^2)*TimeToExpiration)/(CS34*TimeToExpiration^0.5), 0, 1, TRUE) - 
       $H34*EXP(-RiskFreeRate*TimeToExpiration)*_xlfn.NORM.DIST(CT$2*(LN(Underlying/$H34)+(RiskFreeRate-DividendYield-0.5*CS34^2)*TimeToExpiration)/(CS34*TimeToExpiration^0.5), 0, 1, TRUE)
)</f>
        <v>28.12522915</v>
      </c>
      <c r="CU34" s="40">
        <f t="shared" si="48"/>
        <v>0.3039385376</v>
      </c>
      <c r="CV34" s="40">
        <f t="shared" si="49"/>
        <v>0.3040300598</v>
      </c>
      <c r="CW34" s="7">
        <f>CW$2*(Underlying*EXP(-DividendYield*TimeToExpiration)*_xlfn.NORM.DIST(CW$2*(LN(Underlying/$H34)+(RiskFreeRate-DividendYield+0.5*CU34^2)*TimeToExpiration)/(CU34*TimeToExpiration^0.5), 0, 1, TRUE) - 
       $H34*EXP(-RiskFreeRate*TimeToExpiration)*_xlfn.NORM.DIST(CW$2*(LN(Underlying/$H34)+(RiskFreeRate-DividendYield-0.5*CU34^2)*TimeToExpiration)/(CU34*TimeToExpiration^0.5), 0, 1, TRUE)
)</f>
        <v>28.12489415</v>
      </c>
      <c r="CX34" s="7">
        <f>CX$2*(Underlying*EXP(-DividendYield*TimeToExpiration)*_xlfn.NORM.DIST(CX$2*(LN(Underlying/$H34)+(RiskFreeRate-DividendYield+0.5*CV34^2)*TimeToExpiration)/(CV34*TimeToExpiration^0.5), 0, 1, TRUE) - 
       $H34*EXP(-RiskFreeRate*TimeToExpiration)*_xlfn.NORM.DIST(CX$2*(LN(Underlying/$H34)+(RiskFreeRate-DividendYield-0.5*CV34^2)*TimeToExpiration)/(CV34*TimeToExpiration^0.5), 0, 1, TRUE)
)</f>
        <v>28.12522915</v>
      </c>
      <c r="CY34" s="40">
        <f t="shared" si="50"/>
        <v>0.3039842987</v>
      </c>
      <c r="CZ34" s="8">
        <f>CZ$2*(Underlying*EXP(-DividendYield*TimeToExpiration)*_xlfn.NORM.DIST(CZ$2*(LN(Underlying/$H34)+(RiskFreeRate-DividendYield+0.5*CY34^2)*TimeToExpiration)/(CY34*TimeToExpiration^0.5), 0, 1, TRUE) - 
       $H34*EXP(-RiskFreeRate*TimeToExpiration)*_xlfn.NORM.DIST(CZ$2*(LN(Underlying/$H34)+(RiskFreeRate-DividendYield-0.5*CY34^2)*TimeToExpiration)/(CY34*TimeToExpiration^0.5), 0, 1, TRUE)
)</f>
        <v>28.12506161</v>
      </c>
      <c r="DA34" s="40">
        <f t="shared" si="51"/>
        <v>0.3039385376</v>
      </c>
      <c r="DB34" s="40">
        <f t="shared" si="52"/>
        <v>0.3039842987</v>
      </c>
      <c r="DC34" s="7">
        <f>DC$2*(Underlying*EXP(-DividendYield*TimeToExpiration)*_xlfn.NORM.DIST(DC$2*(LN(Underlying/$H34)+(RiskFreeRate-DividendYield+0.5*DA34^2)*TimeToExpiration)/(DA34*TimeToExpiration^0.5), 0, 1, TRUE) - 
       $H34*EXP(-RiskFreeRate*TimeToExpiration)*_xlfn.NORM.DIST(DC$2*(LN(Underlying/$H34)+(RiskFreeRate-DividendYield-0.5*DA34^2)*TimeToExpiration)/(DA34*TimeToExpiration^0.5), 0, 1, TRUE)
)</f>
        <v>28.12489415</v>
      </c>
      <c r="DD34" s="7">
        <f>DD$2*(Underlying*EXP(-DividendYield*TimeToExpiration)*_xlfn.NORM.DIST(DD$2*(LN(Underlying/$H34)+(RiskFreeRate-DividendYield+0.5*DB34^2)*TimeToExpiration)/(DB34*TimeToExpiration^0.5), 0, 1, TRUE) - 
       $H34*EXP(-RiskFreeRate*TimeToExpiration)*_xlfn.NORM.DIST(DD$2*(LN(Underlying/$H34)+(RiskFreeRate-DividendYield-0.5*DB34^2)*TimeToExpiration)/(DB34*TimeToExpiration^0.5), 0, 1, TRUE)
)</f>
        <v>28.12506161</v>
      </c>
      <c r="DE34" s="40">
        <f t="shared" si="53"/>
        <v>0.3039614182</v>
      </c>
      <c r="DF34" s="8">
        <f>DF$2*(Underlying*EXP(-DividendYield*TimeToExpiration)*_xlfn.NORM.DIST(DF$2*(LN(Underlying/$H34)+(RiskFreeRate-DividendYield+0.5*DE34^2)*TimeToExpiration)/(DE34*TimeToExpiration^0.5), 0, 1, TRUE) - 
       $H34*EXP(-RiskFreeRate*TimeToExpiration)*_xlfn.NORM.DIST(DF$2*(LN(Underlying/$H34)+(RiskFreeRate-DividendYield-0.5*DE34^2)*TimeToExpiration)/(DE34*TimeToExpiration^0.5), 0, 1, TRUE)
)</f>
        <v>28.12497787</v>
      </c>
    </row>
    <row r="35">
      <c r="A35" s="20">
        <f>'Option Mkt Data'!A35</f>
        <v>370</v>
      </c>
      <c r="B35" s="35">
        <f t="shared" ref="B35:C35" si="82">DE35</f>
        <v>0.4092577286</v>
      </c>
      <c r="C35" s="7">
        <f t="shared" si="82"/>
        <v>31.04994083</v>
      </c>
      <c r="D35" s="7">
        <f t="shared" si="3"/>
        <v>0.0000622209263</v>
      </c>
      <c r="E35" s="9">
        <f t="shared" si="4"/>
        <v>0.00000200389437</v>
      </c>
      <c r="F35" s="36">
        <f>D35/'Option Mkt Data'!M35</f>
        <v>0.0001555546879</v>
      </c>
      <c r="G35" s="5">
        <f>'Option Mkt Data'!K35</f>
        <v>31.05000305</v>
      </c>
      <c r="H35" s="33">
        <f>'Option Mkt Data'!A35</f>
        <v>370</v>
      </c>
      <c r="I35" s="37">
        <f>MinSolverVola</f>
        <v>0.001</v>
      </c>
      <c r="J35" s="38">
        <f>MaxSolverVola</f>
        <v>3</v>
      </c>
      <c r="K35" s="39">
        <f>K$2*(Underlying*EXP(-DividendYield*TimeToExpiration)*_xlfn.NORM.DIST(K$2*(LN(Underlying/$H35)+(RiskFreeRate-DividendYield+0.5*I35^2)*TimeToExpiration)/(I35*TimeToExpiration^0.5), 0, 1, TRUE) - 
       $H35*EXP(-RiskFreeRate*TimeToExpiration)*_xlfn.NORM.DIST(K$2*(LN(Underlying/$H35)+(RiskFreeRate-DividendYield-0.5*I35^2)*TimeToExpiration)/(I35*TimeToExpiration^0.5), 0, 1, TRUE)
)</f>
        <v>30.42738387</v>
      </c>
      <c r="L35" s="7">
        <f>L$2*(Underlying*EXP(-DividendYield*TimeToExpiration)*_xlfn.NORM.DIST(L$2*(LN(Underlying/$H35)+(RiskFreeRate-DividendYield+0.5*J35^2)*TimeToExpiration)/(J35*TimeToExpiration^0.5), 0, 1, TRUE) - 
       $H35*EXP(-RiskFreeRate*TimeToExpiration)*_xlfn.NORM.DIST(L$2*(LN(Underlying/$H35)+(RiskFreeRate-DividendYield-0.5*J35^2)*TimeToExpiration)/(J35*TimeToExpiration^0.5), 0, 1, TRUE)
)</f>
        <v>75.9565494</v>
      </c>
      <c r="M35" s="40">
        <f t="shared" si="5"/>
        <v>1.5005</v>
      </c>
      <c r="N35" s="8">
        <f>N$2*(Underlying*EXP(-DividendYield*TimeToExpiration)*_xlfn.NORM.DIST(N$2*(LN(Underlying/$H35)+(RiskFreeRate-DividendYield+0.5*M35^2)*TimeToExpiration)/(M35*TimeToExpiration^0.5), 0, 1, TRUE) - 
       $H35*EXP(-RiskFreeRate*TimeToExpiration)*_xlfn.NORM.DIST(N$2*(LN(Underlying/$H35)+(RiskFreeRate-DividendYield-0.5*M35^2)*TimeToExpiration)/(M35*TimeToExpiration^0.5), 0, 1, TRUE)
)</f>
        <v>47.57360341</v>
      </c>
      <c r="O35" s="41">
        <f t="shared" si="6"/>
        <v>0.001</v>
      </c>
      <c r="P35" s="40">
        <f t="shared" si="7"/>
        <v>1.5005</v>
      </c>
      <c r="Q35" s="7">
        <f>Q$2*(Underlying*EXP(-DividendYield*TimeToExpiration)*_xlfn.NORM.DIST(Q$2*(LN(Underlying/$H35)+(RiskFreeRate-DividendYield+0.5*O35^2)*TimeToExpiration)/(O35*TimeToExpiration^0.5), 0, 1, TRUE) - 
       $H35*EXP(-RiskFreeRate*TimeToExpiration)*_xlfn.NORM.DIST(Q$2*(LN(Underlying/$H35)+(RiskFreeRate-DividendYield-0.5*O35^2)*TimeToExpiration)/(O35*TimeToExpiration^0.5), 0, 1, TRUE)
)</f>
        <v>30.42738387</v>
      </c>
      <c r="R35" s="7">
        <f>R$2*(Underlying*EXP(-DividendYield*TimeToExpiration)*_xlfn.NORM.DIST(R$2*(LN(Underlying/$H35)+(RiskFreeRate-DividendYield+0.5*P35^2)*TimeToExpiration)/(P35*TimeToExpiration^0.5), 0, 1, TRUE) - 
       $H35*EXP(-RiskFreeRate*TimeToExpiration)*_xlfn.NORM.DIST(R$2*(LN(Underlying/$H35)+(RiskFreeRate-DividendYield-0.5*P35^2)*TimeToExpiration)/(P35*TimeToExpiration^0.5), 0, 1, TRUE)
)</f>
        <v>47.57360341</v>
      </c>
      <c r="S35" s="40">
        <f t="shared" si="8"/>
        <v>0.75075</v>
      </c>
      <c r="T35" s="8">
        <f>T$2*(Underlying*EXP(-DividendYield*TimeToExpiration)*_xlfn.NORM.DIST(T$2*(LN(Underlying/$H35)+(RiskFreeRate-DividendYield+0.5*S35^2)*TimeToExpiration)/(S35*TimeToExpiration^0.5), 0, 1, TRUE) - 
       $H35*EXP(-RiskFreeRate*TimeToExpiration)*_xlfn.NORM.DIST(T$2*(LN(Underlying/$H35)+(RiskFreeRate-DividendYield-0.5*S35^2)*TimeToExpiration)/(S35*TimeToExpiration^0.5), 0, 1, TRUE)
)</f>
        <v>34.87161766</v>
      </c>
      <c r="U35" s="41">
        <f t="shared" si="9"/>
        <v>0.001</v>
      </c>
      <c r="V35" s="40">
        <f t="shared" si="10"/>
        <v>0.75075</v>
      </c>
      <c r="W35" s="7">
        <f>W$2*(Underlying*EXP(-DividendYield*TimeToExpiration)*_xlfn.NORM.DIST(W$2*(LN(Underlying/$H35)+(RiskFreeRate-DividendYield+0.5*U35^2)*TimeToExpiration)/(U35*TimeToExpiration^0.5), 0, 1, TRUE) - 
       $H35*EXP(-RiskFreeRate*TimeToExpiration)*_xlfn.NORM.DIST(W$2*(LN(Underlying/$H35)+(RiskFreeRate-DividendYield-0.5*U35^2)*TimeToExpiration)/(U35*TimeToExpiration^0.5), 0, 1, TRUE)
)</f>
        <v>30.42738387</v>
      </c>
      <c r="X35" s="7">
        <f>X$2*(Underlying*EXP(-DividendYield*TimeToExpiration)*_xlfn.NORM.DIST(X$2*(LN(Underlying/$H35)+(RiskFreeRate-DividendYield+0.5*V35^2)*TimeToExpiration)/(V35*TimeToExpiration^0.5), 0, 1, TRUE) - 
       $H35*EXP(-RiskFreeRate*TimeToExpiration)*_xlfn.NORM.DIST(X$2*(LN(Underlying/$H35)+(RiskFreeRate-DividendYield-0.5*V35^2)*TimeToExpiration)/(V35*TimeToExpiration^0.5), 0, 1, TRUE)
)</f>
        <v>34.87161766</v>
      </c>
      <c r="Y35" s="40">
        <f t="shared" si="11"/>
        <v>0.375875</v>
      </c>
      <c r="Z35" s="8">
        <f>Z$2*(Underlying*EXP(-DividendYield*TimeToExpiration)*_xlfn.NORM.DIST(Z$2*(LN(Underlying/$H35)+(RiskFreeRate-DividendYield+0.5*Y35^2)*TimeToExpiration)/(Y35*TimeToExpiration^0.5), 0, 1, TRUE) - 
       $H35*EXP(-RiskFreeRate*TimeToExpiration)*_xlfn.NORM.DIST(Z$2*(LN(Underlying/$H35)+(RiskFreeRate-DividendYield-0.5*Y35^2)*TimeToExpiration)/(Y35*TimeToExpiration^0.5), 0, 1, TRUE)
)</f>
        <v>30.84860895</v>
      </c>
      <c r="AA35" s="40">
        <f t="shared" si="12"/>
        <v>0.375875</v>
      </c>
      <c r="AB35" s="40">
        <f t="shared" si="13"/>
        <v>0.75075</v>
      </c>
      <c r="AC35" s="7">
        <f>AC$2*(Underlying*EXP(-DividendYield*TimeToExpiration)*_xlfn.NORM.DIST(AC$2*(LN(Underlying/$H35)+(RiskFreeRate-DividendYield+0.5*AA35^2)*TimeToExpiration)/(AA35*TimeToExpiration^0.5), 0, 1, TRUE) - 
       $H35*EXP(-RiskFreeRate*TimeToExpiration)*_xlfn.NORM.DIST(AC$2*(LN(Underlying/$H35)+(RiskFreeRate-DividendYield-0.5*AA35^2)*TimeToExpiration)/(AA35*TimeToExpiration^0.5), 0, 1, TRUE)
)</f>
        <v>30.84860895</v>
      </c>
      <c r="AD35" s="7">
        <f>AD$2*(Underlying*EXP(-DividendYield*TimeToExpiration)*_xlfn.NORM.DIST(AD$2*(LN(Underlying/$H35)+(RiskFreeRate-DividendYield+0.5*AB35^2)*TimeToExpiration)/(AB35*TimeToExpiration^0.5), 0, 1, TRUE) - 
       $H35*EXP(-RiskFreeRate*TimeToExpiration)*_xlfn.NORM.DIST(AD$2*(LN(Underlying/$H35)+(RiskFreeRate-DividendYield-0.5*AB35^2)*TimeToExpiration)/(AB35*TimeToExpiration^0.5), 0, 1, TRUE)
)</f>
        <v>34.87161766</v>
      </c>
      <c r="AE35" s="40">
        <f t="shared" si="14"/>
        <v>0.5633125</v>
      </c>
      <c r="AF35" s="8">
        <f>AF$2*(Underlying*EXP(-DividendYield*TimeToExpiration)*_xlfn.NORM.DIST(AF$2*(LN(Underlying/$H35)+(RiskFreeRate-DividendYield+0.5*AE35^2)*TimeToExpiration)/(AE35*TimeToExpiration^0.5), 0, 1, TRUE) - 
       $H35*EXP(-RiskFreeRate*TimeToExpiration)*_xlfn.NORM.DIST(AF$2*(LN(Underlying/$H35)+(RiskFreeRate-DividendYield-0.5*AE35^2)*TimeToExpiration)/(AE35*TimeToExpiration^0.5), 0, 1, TRUE)
)</f>
        <v>32.44688884</v>
      </c>
      <c r="AG35" s="40">
        <f t="shared" si="15"/>
        <v>0.375875</v>
      </c>
      <c r="AH35" s="40">
        <f t="shared" si="16"/>
        <v>0.5633125</v>
      </c>
      <c r="AI35" s="7">
        <f>AI$2*(Underlying*EXP(-DividendYield*TimeToExpiration)*_xlfn.NORM.DIST(AI$2*(LN(Underlying/$H35)+(RiskFreeRate-DividendYield+0.5*AG35^2)*TimeToExpiration)/(AG35*TimeToExpiration^0.5), 0, 1, TRUE) - 
       $H35*EXP(-RiskFreeRate*TimeToExpiration)*_xlfn.NORM.DIST(AI$2*(LN(Underlying/$H35)+(RiskFreeRate-DividendYield-0.5*AG35^2)*TimeToExpiration)/(AG35*TimeToExpiration^0.5), 0, 1, TRUE)
)</f>
        <v>30.84860895</v>
      </c>
      <c r="AJ35" s="7">
        <f>AJ$2*(Underlying*EXP(-DividendYield*TimeToExpiration)*_xlfn.NORM.DIST(AJ$2*(LN(Underlying/$H35)+(RiskFreeRate-DividendYield+0.5*AH35^2)*TimeToExpiration)/(AH35*TimeToExpiration^0.5), 0, 1, TRUE) - 
       $H35*EXP(-RiskFreeRate*TimeToExpiration)*_xlfn.NORM.DIST(AJ$2*(LN(Underlying/$H35)+(RiskFreeRate-DividendYield-0.5*AH35^2)*TimeToExpiration)/(AH35*TimeToExpiration^0.5), 0, 1, TRUE)
)</f>
        <v>32.44688884</v>
      </c>
      <c r="AK35" s="40">
        <f t="shared" si="17"/>
        <v>0.46959375</v>
      </c>
      <c r="AL35" s="8">
        <f>AL$2*(Underlying*EXP(-DividendYield*TimeToExpiration)*_xlfn.NORM.DIST(AL$2*(LN(Underlying/$H35)+(RiskFreeRate-DividendYield+0.5*AK35^2)*TimeToExpiration)/(AK35*TimeToExpiration^0.5), 0, 1, TRUE) - 
       $H35*EXP(-RiskFreeRate*TimeToExpiration)*_xlfn.NORM.DIST(AL$2*(LN(Underlying/$H35)+(RiskFreeRate-DividendYield-0.5*AK35^2)*TimeToExpiration)/(AK35*TimeToExpiration^0.5), 0, 1, TRUE)
)</f>
        <v>31.51270687</v>
      </c>
      <c r="AM35" s="40">
        <f t="shared" si="18"/>
        <v>0.375875</v>
      </c>
      <c r="AN35" s="40">
        <f t="shared" si="19"/>
        <v>0.46959375</v>
      </c>
      <c r="AO35" s="7">
        <f>AO$2*(Underlying*EXP(-DividendYield*TimeToExpiration)*_xlfn.NORM.DIST(AO$2*(LN(Underlying/$H35)+(RiskFreeRate-DividendYield+0.5*AM35^2)*TimeToExpiration)/(AM35*TimeToExpiration^0.5), 0, 1, TRUE) - 
       $H35*EXP(-RiskFreeRate*TimeToExpiration)*_xlfn.NORM.DIST(AO$2*(LN(Underlying/$H35)+(RiskFreeRate-DividendYield-0.5*AM35^2)*TimeToExpiration)/(AM35*TimeToExpiration^0.5), 0, 1, TRUE)
)</f>
        <v>30.84860895</v>
      </c>
      <c r="AP35" s="7">
        <f>AP$2*(Underlying*EXP(-DividendYield*TimeToExpiration)*_xlfn.NORM.DIST(AP$2*(LN(Underlying/$H35)+(RiskFreeRate-DividendYield+0.5*AN35^2)*TimeToExpiration)/(AN35*TimeToExpiration^0.5), 0, 1, TRUE) - 
       $H35*EXP(-RiskFreeRate*TimeToExpiration)*_xlfn.NORM.DIST(AP$2*(LN(Underlying/$H35)+(RiskFreeRate-DividendYield-0.5*AN35^2)*TimeToExpiration)/(AN35*TimeToExpiration^0.5), 0, 1, TRUE)
)</f>
        <v>31.51270687</v>
      </c>
      <c r="AQ35" s="40">
        <f t="shared" si="20"/>
        <v>0.422734375</v>
      </c>
      <c r="AR35" s="8">
        <f>AR$2*(Underlying*EXP(-DividendYield*TimeToExpiration)*_xlfn.NORM.DIST(AR$2*(LN(Underlying/$H35)+(RiskFreeRate-DividendYield+0.5*AQ35^2)*TimeToExpiration)/(AQ35*TimeToExpiration^0.5), 0, 1, TRUE) - 
       $H35*EXP(-RiskFreeRate*TimeToExpiration)*_xlfn.NORM.DIST(AR$2*(LN(Underlying/$H35)+(RiskFreeRate-DividendYield-0.5*AQ35^2)*TimeToExpiration)/(AQ35*TimeToExpiration^0.5), 0, 1, TRUE)
)</f>
        <v>31.14262654</v>
      </c>
      <c r="AS35" s="40">
        <f t="shared" si="21"/>
        <v>0.375875</v>
      </c>
      <c r="AT35" s="40">
        <f t="shared" si="22"/>
        <v>0.422734375</v>
      </c>
      <c r="AU35" s="7">
        <f>AU$2*(Underlying*EXP(-DividendYield*TimeToExpiration)*_xlfn.NORM.DIST(AU$2*(LN(Underlying/$H35)+(RiskFreeRate-DividendYield+0.5*AS35^2)*TimeToExpiration)/(AS35*TimeToExpiration^0.5), 0, 1, TRUE) - 
       $H35*EXP(-RiskFreeRate*TimeToExpiration)*_xlfn.NORM.DIST(AU$2*(LN(Underlying/$H35)+(RiskFreeRate-DividendYield-0.5*AS35^2)*TimeToExpiration)/(AS35*TimeToExpiration^0.5), 0, 1, TRUE)
)</f>
        <v>30.84860895</v>
      </c>
      <c r="AV35" s="7">
        <f>AV$2*(Underlying*EXP(-DividendYield*TimeToExpiration)*_xlfn.NORM.DIST(AV$2*(LN(Underlying/$H35)+(RiskFreeRate-DividendYield+0.5*AT35^2)*TimeToExpiration)/(AT35*TimeToExpiration^0.5), 0, 1, TRUE) - 
       $H35*EXP(-RiskFreeRate*TimeToExpiration)*_xlfn.NORM.DIST(AV$2*(LN(Underlying/$H35)+(RiskFreeRate-DividendYield-0.5*AT35^2)*TimeToExpiration)/(AT35*TimeToExpiration^0.5), 0, 1, TRUE)
)</f>
        <v>31.14262654</v>
      </c>
      <c r="AW35" s="40">
        <f t="shared" si="23"/>
        <v>0.3993046875</v>
      </c>
      <c r="AX35" s="8">
        <f>AX$2*(Underlying*EXP(-DividendYield*TimeToExpiration)*_xlfn.NORM.DIST(AX$2*(LN(Underlying/$H35)+(RiskFreeRate-DividendYield+0.5*AW35^2)*TimeToExpiration)/(AW35*TimeToExpiration^0.5), 0, 1, TRUE) - 
       $H35*EXP(-RiskFreeRate*TimeToExpiration)*_xlfn.NORM.DIST(AX$2*(LN(Underlying/$H35)+(RiskFreeRate-DividendYield-0.5*AW35^2)*TimeToExpiration)/(AW35*TimeToExpiration^0.5), 0, 1, TRUE)
)</f>
        <v>30.98564287</v>
      </c>
      <c r="AY35" s="40">
        <f t="shared" si="24"/>
        <v>0.3993046875</v>
      </c>
      <c r="AZ35" s="40">
        <f t="shared" si="25"/>
        <v>0.422734375</v>
      </c>
      <c r="BA35" s="7">
        <f>BA$2*(Underlying*EXP(-DividendYield*TimeToExpiration)*_xlfn.NORM.DIST(BA$2*(LN(Underlying/$H35)+(RiskFreeRate-DividendYield+0.5*AY35^2)*TimeToExpiration)/(AY35*TimeToExpiration^0.5), 0, 1, TRUE) - 
       $H35*EXP(-RiskFreeRate*TimeToExpiration)*_xlfn.NORM.DIST(BA$2*(LN(Underlying/$H35)+(RiskFreeRate-DividendYield-0.5*AY35^2)*TimeToExpiration)/(AY35*TimeToExpiration^0.5), 0, 1, TRUE)
)</f>
        <v>30.98564287</v>
      </c>
      <c r="BB35" s="7">
        <f>BB$2*(Underlying*EXP(-DividendYield*TimeToExpiration)*_xlfn.NORM.DIST(BB$2*(LN(Underlying/$H35)+(RiskFreeRate-DividendYield+0.5*AZ35^2)*TimeToExpiration)/(AZ35*TimeToExpiration^0.5), 0, 1, TRUE) - 
       $H35*EXP(-RiskFreeRate*TimeToExpiration)*_xlfn.NORM.DIST(BB$2*(LN(Underlying/$H35)+(RiskFreeRate-DividendYield-0.5*AZ35^2)*TimeToExpiration)/(AZ35*TimeToExpiration^0.5), 0, 1, TRUE)
)</f>
        <v>31.14262654</v>
      </c>
      <c r="BC35" s="40">
        <f t="shared" si="26"/>
        <v>0.4110195313</v>
      </c>
      <c r="BD35" s="8">
        <f>BD$2*(Underlying*EXP(-DividendYield*TimeToExpiration)*_xlfn.NORM.DIST(BD$2*(LN(Underlying/$H35)+(RiskFreeRate-DividendYield+0.5*BC35^2)*TimeToExpiration)/(BC35*TimeToExpiration^0.5), 0, 1, TRUE) - 
       $H35*EXP(-RiskFreeRate*TimeToExpiration)*_xlfn.NORM.DIST(BD$2*(LN(Underlying/$H35)+(RiskFreeRate-DividendYield-0.5*BC35^2)*TimeToExpiration)/(BC35*TimeToExpiration^0.5), 0, 1, TRUE)
)</f>
        <v>31.06169281</v>
      </c>
      <c r="BE35" s="40">
        <f t="shared" si="27"/>
        <v>0.3993046875</v>
      </c>
      <c r="BF35" s="40">
        <f t="shared" si="28"/>
        <v>0.4110195313</v>
      </c>
      <c r="BG35" s="7">
        <f>BG$2*(Underlying*EXP(-DividendYield*TimeToExpiration)*_xlfn.NORM.DIST(BG$2*(LN(Underlying/$H35)+(RiskFreeRate-DividendYield+0.5*BE35^2)*TimeToExpiration)/(BE35*TimeToExpiration^0.5), 0, 1, TRUE) - 
       $H35*EXP(-RiskFreeRate*TimeToExpiration)*_xlfn.NORM.DIST(BG$2*(LN(Underlying/$H35)+(RiskFreeRate-DividendYield-0.5*BE35^2)*TimeToExpiration)/(BE35*TimeToExpiration^0.5), 0, 1, TRUE)
)</f>
        <v>30.98564287</v>
      </c>
      <c r="BH35" s="7">
        <f>BH$2*(Underlying*EXP(-DividendYield*TimeToExpiration)*_xlfn.NORM.DIST(BH$2*(LN(Underlying/$H35)+(RiskFreeRate-DividendYield+0.5*BF35^2)*TimeToExpiration)/(BF35*TimeToExpiration^0.5), 0, 1, TRUE) - 
       $H35*EXP(-RiskFreeRate*TimeToExpiration)*_xlfn.NORM.DIST(BH$2*(LN(Underlying/$H35)+(RiskFreeRate-DividendYield-0.5*BF35^2)*TimeToExpiration)/(BF35*TimeToExpiration^0.5), 0, 1, TRUE)
)</f>
        <v>31.06169281</v>
      </c>
      <c r="BI35" s="40">
        <f t="shared" si="29"/>
        <v>0.4051621094</v>
      </c>
      <c r="BJ35" s="8">
        <f>BJ$2*(Underlying*EXP(-DividendYield*TimeToExpiration)*_xlfn.NORM.DIST(BJ$2*(LN(Underlying/$H35)+(RiskFreeRate-DividendYield+0.5*BI35^2)*TimeToExpiration)/(BI35*TimeToExpiration^0.5), 0, 1, TRUE) - 
       $H35*EXP(-RiskFreeRate*TimeToExpiration)*_xlfn.NORM.DIST(BJ$2*(LN(Underlying/$H35)+(RiskFreeRate-DividendYield-0.5*BI35^2)*TimeToExpiration)/(BI35*TimeToExpiration^0.5), 0, 1, TRUE)
)</f>
        <v>31.02305035</v>
      </c>
      <c r="BK35" s="40">
        <f t="shared" si="30"/>
        <v>0.4051621094</v>
      </c>
      <c r="BL35" s="40">
        <f t="shared" si="31"/>
        <v>0.4110195313</v>
      </c>
      <c r="BM35" s="7">
        <f>BM$2*(Underlying*EXP(-DividendYield*TimeToExpiration)*_xlfn.NORM.DIST(BM$2*(LN(Underlying/$H35)+(RiskFreeRate-DividendYield+0.5*BK35^2)*TimeToExpiration)/(BK35*TimeToExpiration^0.5), 0, 1, TRUE) - 
       $H35*EXP(-RiskFreeRate*TimeToExpiration)*_xlfn.NORM.DIST(BM$2*(LN(Underlying/$H35)+(RiskFreeRate-DividendYield-0.5*BK35^2)*TimeToExpiration)/(BK35*TimeToExpiration^0.5), 0, 1, TRUE)
)</f>
        <v>31.02305035</v>
      </c>
      <c r="BN35" s="7">
        <f>BN$2*(Underlying*EXP(-DividendYield*TimeToExpiration)*_xlfn.NORM.DIST(BN$2*(LN(Underlying/$H35)+(RiskFreeRate-DividendYield+0.5*BL35^2)*TimeToExpiration)/(BL35*TimeToExpiration^0.5), 0, 1, TRUE) - 
       $H35*EXP(-RiskFreeRate*TimeToExpiration)*_xlfn.NORM.DIST(BN$2*(LN(Underlying/$H35)+(RiskFreeRate-DividendYield-0.5*BL35^2)*TimeToExpiration)/(BL35*TimeToExpiration^0.5), 0, 1, TRUE)
)</f>
        <v>31.06169281</v>
      </c>
      <c r="BO35" s="40">
        <f t="shared" si="32"/>
        <v>0.4080908203</v>
      </c>
      <c r="BP35" s="8">
        <f>BP$2*(Underlying*EXP(-DividendYield*TimeToExpiration)*_xlfn.NORM.DIST(BP$2*(LN(Underlying/$H35)+(RiskFreeRate-DividendYield+0.5*BO35^2)*TimeToExpiration)/(BO35*TimeToExpiration^0.5), 0, 1, TRUE) - 
       $H35*EXP(-RiskFreeRate*TimeToExpiration)*_xlfn.NORM.DIST(BP$2*(LN(Underlying/$H35)+(RiskFreeRate-DividendYield-0.5*BO35^2)*TimeToExpiration)/(BO35*TimeToExpiration^0.5), 0, 1, TRUE)
)</f>
        <v>31.04221806</v>
      </c>
      <c r="BQ35" s="40">
        <f t="shared" si="33"/>
        <v>0.4080908203</v>
      </c>
      <c r="BR35" s="40">
        <f t="shared" si="34"/>
        <v>0.4110195313</v>
      </c>
      <c r="BS35" s="7">
        <f>BS$2*(Underlying*EXP(-DividendYield*TimeToExpiration)*_xlfn.NORM.DIST(BS$2*(LN(Underlying/$H35)+(RiskFreeRate-DividendYield+0.5*BQ35^2)*TimeToExpiration)/(BQ35*TimeToExpiration^0.5), 0, 1, TRUE) - 
       $H35*EXP(-RiskFreeRate*TimeToExpiration)*_xlfn.NORM.DIST(BS$2*(LN(Underlying/$H35)+(RiskFreeRate-DividendYield-0.5*BQ35^2)*TimeToExpiration)/(BQ35*TimeToExpiration^0.5), 0, 1, TRUE)
)</f>
        <v>31.04221806</v>
      </c>
      <c r="BT35" s="7">
        <f>BT$2*(Underlying*EXP(-DividendYield*TimeToExpiration)*_xlfn.NORM.DIST(BT$2*(LN(Underlying/$H35)+(RiskFreeRate-DividendYield+0.5*BR35^2)*TimeToExpiration)/(BR35*TimeToExpiration^0.5), 0, 1, TRUE) - 
       $H35*EXP(-RiskFreeRate*TimeToExpiration)*_xlfn.NORM.DIST(BT$2*(LN(Underlying/$H35)+(RiskFreeRate-DividendYield-0.5*BR35^2)*TimeToExpiration)/(BR35*TimeToExpiration^0.5), 0, 1, TRUE)
)</f>
        <v>31.06169281</v>
      </c>
      <c r="BU35" s="40">
        <f t="shared" si="35"/>
        <v>0.4095551758</v>
      </c>
      <c r="BV35" s="8">
        <f>BV$2*(Underlying*EXP(-DividendYield*TimeToExpiration)*_xlfn.NORM.DIST(BV$2*(LN(Underlying/$H35)+(RiskFreeRate-DividendYield+0.5*BU35^2)*TimeToExpiration)/(BU35*TimeToExpiration^0.5), 0, 1, TRUE) - 
       $H35*EXP(-RiskFreeRate*TimeToExpiration)*_xlfn.NORM.DIST(BV$2*(LN(Underlying/$H35)+(RiskFreeRate-DividendYield-0.5*BU35^2)*TimeToExpiration)/(BU35*TimeToExpiration^0.5), 0, 1, TRUE)
)</f>
        <v>31.05191716</v>
      </c>
      <c r="BW35" s="40">
        <f t="shared" si="36"/>
        <v>0.4080908203</v>
      </c>
      <c r="BX35" s="40">
        <f t="shared" si="37"/>
        <v>0.4095551758</v>
      </c>
      <c r="BY35" s="7">
        <f>BY$2*(Underlying*EXP(-DividendYield*TimeToExpiration)*_xlfn.NORM.DIST(BY$2*(LN(Underlying/$H35)+(RiskFreeRate-DividendYield+0.5*BW35^2)*TimeToExpiration)/(BW35*TimeToExpiration^0.5), 0, 1, TRUE) - 
       $H35*EXP(-RiskFreeRate*TimeToExpiration)*_xlfn.NORM.DIST(BY$2*(LN(Underlying/$H35)+(RiskFreeRate-DividendYield-0.5*BW35^2)*TimeToExpiration)/(BW35*TimeToExpiration^0.5), 0, 1, TRUE)
)</f>
        <v>31.04221806</v>
      </c>
      <c r="BZ35" s="7">
        <f>BZ$2*(Underlying*EXP(-DividendYield*TimeToExpiration)*_xlfn.NORM.DIST(BZ$2*(LN(Underlying/$H35)+(RiskFreeRate-DividendYield+0.5*BX35^2)*TimeToExpiration)/(BX35*TimeToExpiration^0.5), 0, 1, TRUE) - 
       $H35*EXP(-RiskFreeRate*TimeToExpiration)*_xlfn.NORM.DIST(BZ$2*(LN(Underlying/$H35)+(RiskFreeRate-DividendYield-0.5*BX35^2)*TimeToExpiration)/(BX35*TimeToExpiration^0.5), 0, 1, TRUE)
)</f>
        <v>31.05191716</v>
      </c>
      <c r="CA35" s="40">
        <f t="shared" si="38"/>
        <v>0.408822998</v>
      </c>
      <c r="CB35" s="8">
        <f>CB$2*(Underlying*EXP(-DividendYield*TimeToExpiration)*_xlfn.NORM.DIST(CB$2*(LN(Underlying/$H35)+(RiskFreeRate-DividendYield+0.5*CA35^2)*TimeToExpiration)/(CA35*TimeToExpiration^0.5), 0, 1, TRUE) - 
       $H35*EXP(-RiskFreeRate*TimeToExpiration)*_xlfn.NORM.DIST(CB$2*(LN(Underlying/$H35)+(RiskFreeRate-DividendYield-0.5*CA35^2)*TimeToExpiration)/(CA35*TimeToExpiration^0.5), 0, 1, TRUE)
)</f>
        <v>31.04705803</v>
      </c>
      <c r="CC35" s="40">
        <f t="shared" si="39"/>
        <v>0.408822998</v>
      </c>
      <c r="CD35" s="40">
        <f t="shared" si="40"/>
        <v>0.4095551758</v>
      </c>
      <c r="CE35" s="7">
        <f>CE$2*(Underlying*EXP(-DividendYield*TimeToExpiration)*_xlfn.NORM.DIST(CE$2*(LN(Underlying/$H35)+(RiskFreeRate-DividendYield+0.5*CC35^2)*TimeToExpiration)/(CC35*TimeToExpiration^0.5), 0, 1, TRUE) - 
       $H35*EXP(-RiskFreeRate*TimeToExpiration)*_xlfn.NORM.DIST(CE$2*(LN(Underlying/$H35)+(RiskFreeRate-DividendYield-0.5*CC35^2)*TimeToExpiration)/(CC35*TimeToExpiration^0.5), 0, 1, TRUE)
)</f>
        <v>31.04705803</v>
      </c>
      <c r="CF35" s="7">
        <f>CF$2*(Underlying*EXP(-DividendYield*TimeToExpiration)*_xlfn.NORM.DIST(CF$2*(LN(Underlying/$H35)+(RiskFreeRate-DividendYield+0.5*CD35^2)*TimeToExpiration)/(CD35*TimeToExpiration^0.5), 0, 1, TRUE) - 
       $H35*EXP(-RiskFreeRate*TimeToExpiration)*_xlfn.NORM.DIST(CF$2*(LN(Underlying/$H35)+(RiskFreeRate-DividendYield-0.5*CD35^2)*TimeToExpiration)/(CD35*TimeToExpiration^0.5), 0, 1, TRUE)
)</f>
        <v>31.05191716</v>
      </c>
      <c r="CG35" s="40">
        <f t="shared" si="41"/>
        <v>0.4091890869</v>
      </c>
      <c r="CH35" s="8">
        <f>CH$2*(Underlying*EXP(-DividendYield*TimeToExpiration)*_xlfn.NORM.DIST(CH$2*(LN(Underlying/$H35)+(RiskFreeRate-DividendYield+0.5*CG35^2)*TimeToExpiration)/(CG35*TimeToExpiration^0.5), 0, 1, TRUE) - 
       $H35*EXP(-RiskFreeRate*TimeToExpiration)*_xlfn.NORM.DIST(CH$2*(LN(Underlying/$H35)+(RiskFreeRate-DividendYield-0.5*CG35^2)*TimeToExpiration)/(CG35*TimeToExpiration^0.5), 0, 1, TRUE)
)</f>
        <v>31.0494852</v>
      </c>
      <c r="CI35" s="40">
        <f t="shared" si="42"/>
        <v>0.4091890869</v>
      </c>
      <c r="CJ35" s="40">
        <f t="shared" si="43"/>
        <v>0.4095551758</v>
      </c>
      <c r="CK35" s="7">
        <f>CK$2*(Underlying*EXP(-DividendYield*TimeToExpiration)*_xlfn.NORM.DIST(CK$2*(LN(Underlying/$H35)+(RiskFreeRate-DividendYield+0.5*CI35^2)*TimeToExpiration)/(CI35*TimeToExpiration^0.5), 0, 1, TRUE) - 
       $H35*EXP(-RiskFreeRate*TimeToExpiration)*_xlfn.NORM.DIST(CK$2*(LN(Underlying/$H35)+(RiskFreeRate-DividendYield-0.5*CI35^2)*TimeToExpiration)/(CI35*TimeToExpiration^0.5), 0, 1, TRUE)
)</f>
        <v>31.0494852</v>
      </c>
      <c r="CL35" s="7">
        <f>CL$2*(Underlying*EXP(-DividendYield*TimeToExpiration)*_xlfn.NORM.DIST(CL$2*(LN(Underlying/$H35)+(RiskFreeRate-DividendYield+0.5*CJ35^2)*TimeToExpiration)/(CJ35*TimeToExpiration^0.5), 0, 1, TRUE) - 
       $H35*EXP(-RiskFreeRate*TimeToExpiration)*_xlfn.NORM.DIST(CL$2*(LN(Underlying/$H35)+(RiskFreeRate-DividendYield-0.5*CJ35^2)*TimeToExpiration)/(CJ35*TimeToExpiration^0.5), 0, 1, TRUE)
)</f>
        <v>31.05191716</v>
      </c>
      <c r="CM35" s="40">
        <f t="shared" si="44"/>
        <v>0.4093721313</v>
      </c>
      <c r="CN35" s="8">
        <f>CN$2*(Underlying*EXP(-DividendYield*TimeToExpiration)*_xlfn.NORM.DIST(CN$2*(LN(Underlying/$H35)+(RiskFreeRate-DividendYield+0.5*CM35^2)*TimeToExpiration)/(CM35*TimeToExpiration^0.5), 0, 1, TRUE) - 
       $H35*EXP(-RiskFreeRate*TimeToExpiration)*_xlfn.NORM.DIST(CN$2*(LN(Underlying/$H35)+(RiskFreeRate-DividendYield-0.5*CM35^2)*TimeToExpiration)/(CM35*TimeToExpiration^0.5), 0, 1, TRUE)
)</f>
        <v>31.05070058</v>
      </c>
      <c r="CO35" s="40">
        <f t="shared" si="45"/>
        <v>0.4091890869</v>
      </c>
      <c r="CP35" s="40">
        <f t="shared" si="46"/>
        <v>0.4093721313</v>
      </c>
      <c r="CQ35" s="7">
        <f>CQ$2*(Underlying*EXP(-DividendYield*TimeToExpiration)*_xlfn.NORM.DIST(CQ$2*(LN(Underlying/$H35)+(RiskFreeRate-DividendYield+0.5*CO35^2)*TimeToExpiration)/(CO35*TimeToExpiration^0.5), 0, 1, TRUE) - 
       $H35*EXP(-RiskFreeRate*TimeToExpiration)*_xlfn.NORM.DIST(CQ$2*(LN(Underlying/$H35)+(RiskFreeRate-DividendYield-0.5*CO35^2)*TimeToExpiration)/(CO35*TimeToExpiration^0.5), 0, 1, TRUE)
)</f>
        <v>31.0494852</v>
      </c>
      <c r="CR35" s="7">
        <f>CR$2*(Underlying*EXP(-DividendYield*TimeToExpiration)*_xlfn.NORM.DIST(CR$2*(LN(Underlying/$H35)+(RiskFreeRate-DividendYield+0.5*CP35^2)*TimeToExpiration)/(CP35*TimeToExpiration^0.5), 0, 1, TRUE) - 
       $H35*EXP(-RiskFreeRate*TimeToExpiration)*_xlfn.NORM.DIST(CR$2*(LN(Underlying/$H35)+(RiskFreeRate-DividendYield-0.5*CP35^2)*TimeToExpiration)/(CP35*TimeToExpiration^0.5), 0, 1, TRUE)
)</f>
        <v>31.05070058</v>
      </c>
      <c r="CS35" s="40">
        <f t="shared" si="47"/>
        <v>0.4092806091</v>
      </c>
      <c r="CT35" s="8">
        <f>CT$2*(Underlying*EXP(-DividendYield*TimeToExpiration)*_xlfn.NORM.DIST(CT$2*(LN(Underlying/$H35)+(RiskFreeRate-DividendYield+0.5*CS35^2)*TimeToExpiration)/(CS35*TimeToExpiration^0.5), 0, 1, TRUE) - 
       $H35*EXP(-RiskFreeRate*TimeToExpiration)*_xlfn.NORM.DIST(CT$2*(LN(Underlying/$H35)+(RiskFreeRate-DividendYield-0.5*CS35^2)*TimeToExpiration)/(CS35*TimeToExpiration^0.5), 0, 1, TRUE)
)</f>
        <v>31.05009274</v>
      </c>
      <c r="CU35" s="40">
        <f t="shared" si="48"/>
        <v>0.4091890869</v>
      </c>
      <c r="CV35" s="40">
        <f t="shared" si="49"/>
        <v>0.4092806091</v>
      </c>
      <c r="CW35" s="7">
        <f>CW$2*(Underlying*EXP(-DividendYield*TimeToExpiration)*_xlfn.NORM.DIST(CW$2*(LN(Underlying/$H35)+(RiskFreeRate-DividendYield+0.5*CU35^2)*TimeToExpiration)/(CU35*TimeToExpiration^0.5), 0, 1, TRUE) - 
       $H35*EXP(-RiskFreeRate*TimeToExpiration)*_xlfn.NORM.DIST(CW$2*(LN(Underlying/$H35)+(RiskFreeRate-DividendYield-0.5*CU35^2)*TimeToExpiration)/(CU35*TimeToExpiration^0.5), 0, 1, TRUE)
)</f>
        <v>31.0494852</v>
      </c>
      <c r="CX35" s="7">
        <f>CX$2*(Underlying*EXP(-DividendYield*TimeToExpiration)*_xlfn.NORM.DIST(CX$2*(LN(Underlying/$H35)+(RiskFreeRate-DividendYield+0.5*CV35^2)*TimeToExpiration)/(CV35*TimeToExpiration^0.5), 0, 1, TRUE) - 
       $H35*EXP(-RiskFreeRate*TimeToExpiration)*_xlfn.NORM.DIST(CX$2*(LN(Underlying/$H35)+(RiskFreeRate-DividendYield-0.5*CV35^2)*TimeToExpiration)/(CV35*TimeToExpiration^0.5), 0, 1, TRUE)
)</f>
        <v>31.05009274</v>
      </c>
      <c r="CY35" s="40">
        <f t="shared" si="50"/>
        <v>0.409234848</v>
      </c>
      <c r="CZ35" s="8">
        <f>CZ$2*(Underlying*EXP(-DividendYield*TimeToExpiration)*_xlfn.NORM.DIST(CZ$2*(LN(Underlying/$H35)+(RiskFreeRate-DividendYield+0.5*CY35^2)*TimeToExpiration)/(CY35*TimeToExpiration^0.5), 0, 1, TRUE) - 
       $H35*EXP(-RiskFreeRate*TimeToExpiration)*_xlfn.NORM.DIST(CZ$2*(LN(Underlying/$H35)+(RiskFreeRate-DividendYield-0.5*CY35^2)*TimeToExpiration)/(CY35*TimeToExpiration^0.5), 0, 1, TRUE)
)</f>
        <v>31.04978893</v>
      </c>
      <c r="DA35" s="40">
        <f t="shared" si="51"/>
        <v>0.409234848</v>
      </c>
      <c r="DB35" s="40">
        <f t="shared" si="52"/>
        <v>0.4092806091</v>
      </c>
      <c r="DC35" s="7">
        <f>DC$2*(Underlying*EXP(-DividendYield*TimeToExpiration)*_xlfn.NORM.DIST(DC$2*(LN(Underlying/$H35)+(RiskFreeRate-DividendYield+0.5*DA35^2)*TimeToExpiration)/(DA35*TimeToExpiration^0.5), 0, 1, TRUE) - 
       $H35*EXP(-RiskFreeRate*TimeToExpiration)*_xlfn.NORM.DIST(DC$2*(LN(Underlying/$H35)+(RiskFreeRate-DividendYield-0.5*DA35^2)*TimeToExpiration)/(DA35*TimeToExpiration^0.5), 0, 1, TRUE)
)</f>
        <v>31.04978893</v>
      </c>
      <c r="DD35" s="7">
        <f>DD$2*(Underlying*EXP(-DividendYield*TimeToExpiration)*_xlfn.NORM.DIST(DD$2*(LN(Underlying/$H35)+(RiskFreeRate-DividendYield+0.5*DB35^2)*TimeToExpiration)/(DB35*TimeToExpiration^0.5), 0, 1, TRUE) - 
       $H35*EXP(-RiskFreeRate*TimeToExpiration)*_xlfn.NORM.DIST(DD$2*(LN(Underlying/$H35)+(RiskFreeRate-DividendYield-0.5*DB35^2)*TimeToExpiration)/(DB35*TimeToExpiration^0.5), 0, 1, TRUE)
)</f>
        <v>31.05009274</v>
      </c>
      <c r="DE35" s="40">
        <f t="shared" si="53"/>
        <v>0.4092577286</v>
      </c>
      <c r="DF35" s="8">
        <f>DF$2*(Underlying*EXP(-DividendYield*TimeToExpiration)*_xlfn.NORM.DIST(DF$2*(LN(Underlying/$H35)+(RiskFreeRate-DividendYield+0.5*DE35^2)*TimeToExpiration)/(DE35*TimeToExpiration^0.5), 0, 1, TRUE) - 
       $H35*EXP(-RiskFreeRate*TimeToExpiration)*_xlfn.NORM.DIST(DF$2*(LN(Underlying/$H35)+(RiskFreeRate-DividendYield-0.5*DE35^2)*TimeToExpiration)/(DE35*TimeToExpiration^0.5), 0, 1, TRUE)
)</f>
        <v>31.04994083</v>
      </c>
    </row>
    <row r="36">
      <c r="A36" s="20">
        <f>'Option Mkt Data'!A36</f>
        <v>372.5</v>
      </c>
      <c r="B36" s="42">
        <f t="shared" ref="B36:C36" si="83">DE36</f>
        <v>0.001022880554</v>
      </c>
      <c r="C36" s="7">
        <f t="shared" si="83"/>
        <v>32.92520403</v>
      </c>
      <c r="D36" s="7">
        <f t="shared" si="3"/>
        <v>0.7752025014</v>
      </c>
      <c r="E36" s="9">
        <f t="shared" si="4"/>
        <v>0.02411205178</v>
      </c>
      <c r="F36" s="36">
        <f>D36/'Option Mkt Data'!M36</f>
        <v>0.2500660611</v>
      </c>
      <c r="G36" s="5">
        <f>'Option Mkt Data'!K36</f>
        <v>32.15000153</v>
      </c>
      <c r="H36" s="33">
        <f>'Option Mkt Data'!A36</f>
        <v>372.5</v>
      </c>
      <c r="I36" s="37">
        <f>MinSolverVola</f>
        <v>0.001</v>
      </c>
      <c r="J36" s="38">
        <f>MaxSolverVola</f>
        <v>3</v>
      </c>
      <c r="K36" s="39">
        <f>K$2*(Underlying*EXP(-DividendYield*TimeToExpiration)*_xlfn.NORM.DIST(K$2*(LN(Underlying/$H36)+(RiskFreeRate-DividendYield+0.5*I36^2)*TimeToExpiration)/(I36*TimeToExpiration^0.5), 0, 1, TRUE) - 
       $H36*EXP(-RiskFreeRate*TimeToExpiration)*_xlfn.NORM.DIST(K$2*(LN(Underlying/$H36)+(RiskFreeRate-DividendYield-0.5*I36^2)*TimeToExpiration)/(I36*TimeToExpiration^0.5), 0, 1, TRUE)
)</f>
        <v>32.92520403</v>
      </c>
      <c r="L36" s="7">
        <f>L$2*(Underlying*EXP(-DividendYield*TimeToExpiration)*_xlfn.NORM.DIST(L$2*(LN(Underlying/$H36)+(RiskFreeRate-DividendYield+0.5*J36^2)*TimeToExpiration)/(J36*TimeToExpiration^0.5), 0, 1, TRUE) - 
       $H36*EXP(-RiskFreeRate*TimeToExpiration)*_xlfn.NORM.DIST(L$2*(LN(Underlying/$H36)+(RiskFreeRate-DividendYield-0.5*J36^2)*TimeToExpiration)/(J36*TimeToExpiration^0.5), 0, 1, TRUE)
)</f>
        <v>77.61430056</v>
      </c>
      <c r="M36" s="40">
        <f t="shared" si="5"/>
        <v>1.5005</v>
      </c>
      <c r="N36" s="8">
        <f>N$2*(Underlying*EXP(-DividendYield*TimeToExpiration)*_xlfn.NORM.DIST(N$2*(LN(Underlying/$H36)+(RiskFreeRate-DividendYield+0.5*M36^2)*TimeToExpiration)/(M36*TimeToExpiration^0.5), 0, 1, TRUE) - 
       $H36*EXP(-RiskFreeRate*TimeToExpiration)*_xlfn.NORM.DIST(N$2*(LN(Underlying/$H36)+(RiskFreeRate-DividendYield-0.5*M36^2)*TimeToExpiration)/(M36*TimeToExpiration^0.5), 0, 1, TRUE)
)</f>
        <v>49.32411641</v>
      </c>
      <c r="O36" s="41">
        <f t="shared" si="6"/>
        <v>0.001</v>
      </c>
      <c r="P36" s="40">
        <f t="shared" si="7"/>
        <v>1.5005</v>
      </c>
      <c r="Q36" s="7">
        <f>Q$2*(Underlying*EXP(-DividendYield*TimeToExpiration)*_xlfn.NORM.DIST(Q$2*(LN(Underlying/$H36)+(RiskFreeRate-DividendYield+0.5*O36^2)*TimeToExpiration)/(O36*TimeToExpiration^0.5), 0, 1, TRUE) - 
       $H36*EXP(-RiskFreeRate*TimeToExpiration)*_xlfn.NORM.DIST(Q$2*(LN(Underlying/$H36)+(RiskFreeRate-DividendYield-0.5*O36^2)*TimeToExpiration)/(O36*TimeToExpiration^0.5), 0, 1, TRUE)
)</f>
        <v>32.92520403</v>
      </c>
      <c r="R36" s="7">
        <f>R$2*(Underlying*EXP(-DividendYield*TimeToExpiration)*_xlfn.NORM.DIST(R$2*(LN(Underlying/$H36)+(RiskFreeRate-DividendYield+0.5*P36^2)*TimeToExpiration)/(P36*TimeToExpiration^0.5), 0, 1, TRUE) - 
       $H36*EXP(-RiskFreeRate*TimeToExpiration)*_xlfn.NORM.DIST(R$2*(LN(Underlying/$H36)+(RiskFreeRate-DividendYield-0.5*P36^2)*TimeToExpiration)/(P36*TimeToExpiration^0.5), 0, 1, TRUE)
)</f>
        <v>49.32411641</v>
      </c>
      <c r="S36" s="40">
        <f t="shared" si="8"/>
        <v>0.75075</v>
      </c>
      <c r="T36" s="8">
        <f>T$2*(Underlying*EXP(-DividendYield*TimeToExpiration)*_xlfn.NORM.DIST(T$2*(LN(Underlying/$H36)+(RiskFreeRate-DividendYield+0.5*S36^2)*TimeToExpiration)/(S36*TimeToExpiration^0.5), 0, 1, TRUE) - 
       $H36*EXP(-RiskFreeRate*TimeToExpiration)*_xlfn.NORM.DIST(T$2*(LN(Underlying/$H36)+(RiskFreeRate-DividendYield-0.5*S36^2)*TimeToExpiration)/(S36*TimeToExpiration^0.5), 0, 1, TRUE)
)</f>
        <v>36.9055059</v>
      </c>
      <c r="U36" s="41">
        <f t="shared" si="9"/>
        <v>0.001</v>
      </c>
      <c r="V36" s="40">
        <f t="shared" si="10"/>
        <v>0.75075</v>
      </c>
      <c r="W36" s="7">
        <f>W$2*(Underlying*EXP(-DividendYield*TimeToExpiration)*_xlfn.NORM.DIST(W$2*(LN(Underlying/$H36)+(RiskFreeRate-DividendYield+0.5*U36^2)*TimeToExpiration)/(U36*TimeToExpiration^0.5), 0, 1, TRUE) - 
       $H36*EXP(-RiskFreeRate*TimeToExpiration)*_xlfn.NORM.DIST(W$2*(LN(Underlying/$H36)+(RiskFreeRate-DividendYield-0.5*U36^2)*TimeToExpiration)/(U36*TimeToExpiration^0.5), 0, 1, TRUE)
)</f>
        <v>32.92520403</v>
      </c>
      <c r="X36" s="7">
        <f>X$2*(Underlying*EXP(-DividendYield*TimeToExpiration)*_xlfn.NORM.DIST(X$2*(LN(Underlying/$H36)+(RiskFreeRate-DividendYield+0.5*V36^2)*TimeToExpiration)/(V36*TimeToExpiration^0.5), 0, 1, TRUE) - 
       $H36*EXP(-RiskFreeRate*TimeToExpiration)*_xlfn.NORM.DIST(X$2*(LN(Underlying/$H36)+(RiskFreeRate-DividendYield-0.5*V36^2)*TimeToExpiration)/(V36*TimeToExpiration^0.5), 0, 1, TRUE)
)</f>
        <v>36.9055059</v>
      </c>
      <c r="Y36" s="40">
        <f t="shared" si="11"/>
        <v>0.375875</v>
      </c>
      <c r="Z36" s="8">
        <f>Z$2*(Underlying*EXP(-DividendYield*TimeToExpiration)*_xlfn.NORM.DIST(Z$2*(LN(Underlying/$H36)+(RiskFreeRate-DividendYield+0.5*Y36^2)*TimeToExpiration)/(Y36*TimeToExpiration^0.5), 0, 1, TRUE) - 
       $H36*EXP(-RiskFreeRate*TimeToExpiration)*_xlfn.NORM.DIST(Z$2*(LN(Underlying/$H36)+(RiskFreeRate-DividendYield-0.5*Y36^2)*TimeToExpiration)/(Y36*TimeToExpiration^0.5), 0, 1, TRUE)
)</f>
        <v>33.23623135</v>
      </c>
      <c r="AA36" s="41">
        <f t="shared" si="12"/>
        <v>0.001</v>
      </c>
      <c r="AB36" s="40">
        <f t="shared" si="13"/>
        <v>0.375875</v>
      </c>
      <c r="AC36" s="7">
        <f>AC$2*(Underlying*EXP(-DividendYield*TimeToExpiration)*_xlfn.NORM.DIST(AC$2*(LN(Underlying/$H36)+(RiskFreeRate-DividendYield+0.5*AA36^2)*TimeToExpiration)/(AA36*TimeToExpiration^0.5), 0, 1, TRUE) - 
       $H36*EXP(-RiskFreeRate*TimeToExpiration)*_xlfn.NORM.DIST(AC$2*(LN(Underlying/$H36)+(RiskFreeRate-DividendYield-0.5*AA36^2)*TimeToExpiration)/(AA36*TimeToExpiration^0.5), 0, 1, TRUE)
)</f>
        <v>32.92520403</v>
      </c>
      <c r="AD36" s="7">
        <f>AD$2*(Underlying*EXP(-DividendYield*TimeToExpiration)*_xlfn.NORM.DIST(AD$2*(LN(Underlying/$H36)+(RiskFreeRate-DividendYield+0.5*AB36^2)*TimeToExpiration)/(AB36*TimeToExpiration^0.5), 0, 1, TRUE) - 
       $H36*EXP(-RiskFreeRate*TimeToExpiration)*_xlfn.NORM.DIST(AD$2*(LN(Underlying/$H36)+(RiskFreeRate-DividendYield-0.5*AB36^2)*TimeToExpiration)/(AB36*TimeToExpiration^0.5), 0, 1, TRUE)
)</f>
        <v>33.23623135</v>
      </c>
      <c r="AE36" s="40">
        <f t="shared" si="14"/>
        <v>0.1884375</v>
      </c>
      <c r="AF36" s="8">
        <f>AF$2*(Underlying*EXP(-DividendYield*TimeToExpiration)*_xlfn.NORM.DIST(AF$2*(LN(Underlying/$H36)+(RiskFreeRate-DividendYield+0.5*AE36^2)*TimeToExpiration)/(AE36*TimeToExpiration^0.5), 0, 1, TRUE) - 
       $H36*EXP(-RiskFreeRate*TimeToExpiration)*_xlfn.NORM.DIST(AF$2*(LN(Underlying/$H36)+(RiskFreeRate-DividendYield-0.5*AE36^2)*TimeToExpiration)/(AE36*TimeToExpiration^0.5), 0, 1, TRUE)
)</f>
        <v>32.92581307</v>
      </c>
      <c r="AG36" s="41">
        <f t="shared" si="15"/>
        <v>0.001</v>
      </c>
      <c r="AH36" s="40">
        <f t="shared" si="16"/>
        <v>0.1884375</v>
      </c>
      <c r="AI36" s="7">
        <f>AI$2*(Underlying*EXP(-DividendYield*TimeToExpiration)*_xlfn.NORM.DIST(AI$2*(LN(Underlying/$H36)+(RiskFreeRate-DividendYield+0.5*AG36^2)*TimeToExpiration)/(AG36*TimeToExpiration^0.5), 0, 1, TRUE) - 
       $H36*EXP(-RiskFreeRate*TimeToExpiration)*_xlfn.NORM.DIST(AI$2*(LN(Underlying/$H36)+(RiskFreeRate-DividendYield-0.5*AG36^2)*TimeToExpiration)/(AG36*TimeToExpiration^0.5), 0, 1, TRUE)
)</f>
        <v>32.92520403</v>
      </c>
      <c r="AJ36" s="7">
        <f>AJ$2*(Underlying*EXP(-DividendYield*TimeToExpiration)*_xlfn.NORM.DIST(AJ$2*(LN(Underlying/$H36)+(RiskFreeRate-DividendYield+0.5*AH36^2)*TimeToExpiration)/(AH36*TimeToExpiration^0.5), 0, 1, TRUE) - 
       $H36*EXP(-RiskFreeRate*TimeToExpiration)*_xlfn.NORM.DIST(AJ$2*(LN(Underlying/$H36)+(RiskFreeRate-DividendYield-0.5*AH36^2)*TimeToExpiration)/(AH36*TimeToExpiration^0.5), 0, 1, TRUE)
)</f>
        <v>32.92581307</v>
      </c>
      <c r="AK36" s="40">
        <f t="shared" si="17"/>
        <v>0.09471875</v>
      </c>
      <c r="AL36" s="8">
        <f>AL$2*(Underlying*EXP(-DividendYield*TimeToExpiration)*_xlfn.NORM.DIST(AL$2*(LN(Underlying/$H36)+(RiskFreeRate-DividendYield+0.5*AK36^2)*TimeToExpiration)/(AK36*TimeToExpiration^0.5), 0, 1, TRUE) - 
       $H36*EXP(-RiskFreeRate*TimeToExpiration)*_xlfn.NORM.DIST(AL$2*(LN(Underlying/$H36)+(RiskFreeRate-DividendYield-0.5*AK36^2)*TimeToExpiration)/(AK36*TimeToExpiration^0.5), 0, 1, TRUE)
)</f>
        <v>32.92520403</v>
      </c>
      <c r="AM36" s="41">
        <f t="shared" si="18"/>
        <v>0.001</v>
      </c>
      <c r="AN36" s="40">
        <f t="shared" si="19"/>
        <v>0.09471875</v>
      </c>
      <c r="AO36" s="7">
        <f>AO$2*(Underlying*EXP(-DividendYield*TimeToExpiration)*_xlfn.NORM.DIST(AO$2*(LN(Underlying/$H36)+(RiskFreeRate-DividendYield+0.5*AM36^2)*TimeToExpiration)/(AM36*TimeToExpiration^0.5), 0, 1, TRUE) - 
       $H36*EXP(-RiskFreeRate*TimeToExpiration)*_xlfn.NORM.DIST(AO$2*(LN(Underlying/$H36)+(RiskFreeRate-DividendYield-0.5*AM36^2)*TimeToExpiration)/(AM36*TimeToExpiration^0.5), 0, 1, TRUE)
)</f>
        <v>32.92520403</v>
      </c>
      <c r="AP36" s="7">
        <f>AP$2*(Underlying*EXP(-DividendYield*TimeToExpiration)*_xlfn.NORM.DIST(AP$2*(LN(Underlying/$H36)+(RiskFreeRate-DividendYield+0.5*AN36^2)*TimeToExpiration)/(AN36*TimeToExpiration^0.5), 0, 1, TRUE) - 
       $H36*EXP(-RiskFreeRate*TimeToExpiration)*_xlfn.NORM.DIST(AP$2*(LN(Underlying/$H36)+(RiskFreeRate-DividendYield-0.5*AN36^2)*TimeToExpiration)/(AN36*TimeToExpiration^0.5), 0, 1, TRUE)
)</f>
        <v>32.92520403</v>
      </c>
      <c r="AQ36" s="40">
        <f t="shared" si="20"/>
        <v>0.047859375</v>
      </c>
      <c r="AR36" s="8">
        <f>AR$2*(Underlying*EXP(-DividendYield*TimeToExpiration)*_xlfn.NORM.DIST(AR$2*(LN(Underlying/$H36)+(RiskFreeRate-DividendYield+0.5*AQ36^2)*TimeToExpiration)/(AQ36*TimeToExpiration^0.5), 0, 1, TRUE) - 
       $H36*EXP(-RiskFreeRate*TimeToExpiration)*_xlfn.NORM.DIST(AR$2*(LN(Underlying/$H36)+(RiskFreeRate-DividendYield-0.5*AQ36^2)*TimeToExpiration)/(AQ36*TimeToExpiration^0.5), 0, 1, TRUE)
)</f>
        <v>32.92520403</v>
      </c>
      <c r="AS36" s="41">
        <f t="shared" si="21"/>
        <v>0.001</v>
      </c>
      <c r="AT36" s="40">
        <f t="shared" si="22"/>
        <v>0.047859375</v>
      </c>
      <c r="AU36" s="7">
        <f>AU$2*(Underlying*EXP(-DividendYield*TimeToExpiration)*_xlfn.NORM.DIST(AU$2*(LN(Underlying/$H36)+(RiskFreeRate-DividendYield+0.5*AS36^2)*TimeToExpiration)/(AS36*TimeToExpiration^0.5), 0, 1, TRUE) - 
       $H36*EXP(-RiskFreeRate*TimeToExpiration)*_xlfn.NORM.DIST(AU$2*(LN(Underlying/$H36)+(RiskFreeRate-DividendYield-0.5*AS36^2)*TimeToExpiration)/(AS36*TimeToExpiration^0.5), 0, 1, TRUE)
)</f>
        <v>32.92520403</v>
      </c>
      <c r="AV36" s="7">
        <f>AV$2*(Underlying*EXP(-DividendYield*TimeToExpiration)*_xlfn.NORM.DIST(AV$2*(LN(Underlying/$H36)+(RiskFreeRate-DividendYield+0.5*AT36^2)*TimeToExpiration)/(AT36*TimeToExpiration^0.5), 0, 1, TRUE) - 
       $H36*EXP(-RiskFreeRate*TimeToExpiration)*_xlfn.NORM.DIST(AV$2*(LN(Underlying/$H36)+(RiskFreeRate-DividendYield-0.5*AT36^2)*TimeToExpiration)/(AT36*TimeToExpiration^0.5), 0, 1, TRUE)
)</f>
        <v>32.92520403</v>
      </c>
      <c r="AW36" s="40">
        <f t="shared" si="23"/>
        <v>0.0244296875</v>
      </c>
      <c r="AX36" s="8">
        <f>AX$2*(Underlying*EXP(-DividendYield*TimeToExpiration)*_xlfn.NORM.DIST(AX$2*(LN(Underlying/$H36)+(RiskFreeRate-DividendYield+0.5*AW36^2)*TimeToExpiration)/(AW36*TimeToExpiration^0.5), 0, 1, TRUE) - 
       $H36*EXP(-RiskFreeRate*TimeToExpiration)*_xlfn.NORM.DIST(AX$2*(LN(Underlying/$H36)+(RiskFreeRate-DividendYield-0.5*AW36^2)*TimeToExpiration)/(AW36*TimeToExpiration^0.5), 0, 1, TRUE)
)</f>
        <v>32.92520403</v>
      </c>
      <c r="AY36" s="41">
        <f t="shared" si="24"/>
        <v>0.001</v>
      </c>
      <c r="AZ36" s="40">
        <f t="shared" si="25"/>
        <v>0.0244296875</v>
      </c>
      <c r="BA36" s="7">
        <f>BA$2*(Underlying*EXP(-DividendYield*TimeToExpiration)*_xlfn.NORM.DIST(BA$2*(LN(Underlying/$H36)+(RiskFreeRate-DividendYield+0.5*AY36^2)*TimeToExpiration)/(AY36*TimeToExpiration^0.5), 0, 1, TRUE) - 
       $H36*EXP(-RiskFreeRate*TimeToExpiration)*_xlfn.NORM.DIST(BA$2*(LN(Underlying/$H36)+(RiskFreeRate-DividendYield-0.5*AY36^2)*TimeToExpiration)/(AY36*TimeToExpiration^0.5), 0, 1, TRUE)
)</f>
        <v>32.92520403</v>
      </c>
      <c r="BB36" s="7">
        <f>BB$2*(Underlying*EXP(-DividendYield*TimeToExpiration)*_xlfn.NORM.DIST(BB$2*(LN(Underlying/$H36)+(RiskFreeRate-DividendYield+0.5*AZ36^2)*TimeToExpiration)/(AZ36*TimeToExpiration^0.5), 0, 1, TRUE) - 
       $H36*EXP(-RiskFreeRate*TimeToExpiration)*_xlfn.NORM.DIST(BB$2*(LN(Underlying/$H36)+(RiskFreeRate-DividendYield-0.5*AZ36^2)*TimeToExpiration)/(AZ36*TimeToExpiration^0.5), 0, 1, TRUE)
)</f>
        <v>32.92520403</v>
      </c>
      <c r="BC36" s="40">
        <f t="shared" si="26"/>
        <v>0.01271484375</v>
      </c>
      <c r="BD36" s="8">
        <f>BD$2*(Underlying*EXP(-DividendYield*TimeToExpiration)*_xlfn.NORM.DIST(BD$2*(LN(Underlying/$H36)+(RiskFreeRate-DividendYield+0.5*BC36^2)*TimeToExpiration)/(BC36*TimeToExpiration^0.5), 0, 1, TRUE) - 
       $H36*EXP(-RiskFreeRate*TimeToExpiration)*_xlfn.NORM.DIST(BD$2*(LN(Underlying/$H36)+(RiskFreeRate-DividendYield-0.5*BC36^2)*TimeToExpiration)/(BC36*TimeToExpiration^0.5), 0, 1, TRUE)
)</f>
        <v>32.92520403</v>
      </c>
      <c r="BE36" s="41">
        <f t="shared" si="27"/>
        <v>0.001</v>
      </c>
      <c r="BF36" s="40">
        <f t="shared" si="28"/>
        <v>0.01271484375</v>
      </c>
      <c r="BG36" s="7">
        <f>BG$2*(Underlying*EXP(-DividendYield*TimeToExpiration)*_xlfn.NORM.DIST(BG$2*(LN(Underlying/$H36)+(RiskFreeRate-DividendYield+0.5*BE36^2)*TimeToExpiration)/(BE36*TimeToExpiration^0.5), 0, 1, TRUE) - 
       $H36*EXP(-RiskFreeRate*TimeToExpiration)*_xlfn.NORM.DIST(BG$2*(LN(Underlying/$H36)+(RiskFreeRate-DividendYield-0.5*BE36^2)*TimeToExpiration)/(BE36*TimeToExpiration^0.5), 0, 1, TRUE)
)</f>
        <v>32.92520403</v>
      </c>
      <c r="BH36" s="7">
        <f>BH$2*(Underlying*EXP(-DividendYield*TimeToExpiration)*_xlfn.NORM.DIST(BH$2*(LN(Underlying/$H36)+(RiskFreeRate-DividendYield+0.5*BF36^2)*TimeToExpiration)/(BF36*TimeToExpiration^0.5), 0, 1, TRUE) - 
       $H36*EXP(-RiskFreeRate*TimeToExpiration)*_xlfn.NORM.DIST(BH$2*(LN(Underlying/$H36)+(RiskFreeRate-DividendYield-0.5*BF36^2)*TimeToExpiration)/(BF36*TimeToExpiration^0.5), 0, 1, TRUE)
)</f>
        <v>32.92520403</v>
      </c>
      <c r="BI36" s="40">
        <f t="shared" si="29"/>
        <v>0.006857421875</v>
      </c>
      <c r="BJ36" s="8">
        <f>BJ$2*(Underlying*EXP(-DividendYield*TimeToExpiration)*_xlfn.NORM.DIST(BJ$2*(LN(Underlying/$H36)+(RiskFreeRate-DividendYield+0.5*BI36^2)*TimeToExpiration)/(BI36*TimeToExpiration^0.5), 0, 1, TRUE) - 
       $H36*EXP(-RiskFreeRate*TimeToExpiration)*_xlfn.NORM.DIST(BJ$2*(LN(Underlying/$H36)+(RiskFreeRate-DividendYield-0.5*BI36^2)*TimeToExpiration)/(BI36*TimeToExpiration^0.5), 0, 1, TRUE)
)</f>
        <v>32.92520403</v>
      </c>
      <c r="BK36" s="41">
        <f t="shared" si="30"/>
        <v>0.001</v>
      </c>
      <c r="BL36" s="40">
        <f t="shared" si="31"/>
        <v>0.006857421875</v>
      </c>
      <c r="BM36" s="7">
        <f>BM$2*(Underlying*EXP(-DividendYield*TimeToExpiration)*_xlfn.NORM.DIST(BM$2*(LN(Underlying/$H36)+(RiskFreeRate-DividendYield+0.5*BK36^2)*TimeToExpiration)/(BK36*TimeToExpiration^0.5), 0, 1, TRUE) - 
       $H36*EXP(-RiskFreeRate*TimeToExpiration)*_xlfn.NORM.DIST(BM$2*(LN(Underlying/$H36)+(RiskFreeRate-DividendYield-0.5*BK36^2)*TimeToExpiration)/(BK36*TimeToExpiration^0.5), 0, 1, TRUE)
)</f>
        <v>32.92520403</v>
      </c>
      <c r="BN36" s="7">
        <f>BN$2*(Underlying*EXP(-DividendYield*TimeToExpiration)*_xlfn.NORM.DIST(BN$2*(LN(Underlying/$H36)+(RiskFreeRate-DividendYield+0.5*BL36^2)*TimeToExpiration)/(BL36*TimeToExpiration^0.5), 0, 1, TRUE) - 
       $H36*EXP(-RiskFreeRate*TimeToExpiration)*_xlfn.NORM.DIST(BN$2*(LN(Underlying/$H36)+(RiskFreeRate-DividendYield-0.5*BL36^2)*TimeToExpiration)/(BL36*TimeToExpiration^0.5), 0, 1, TRUE)
)</f>
        <v>32.92520403</v>
      </c>
      <c r="BO36" s="40">
        <f t="shared" si="32"/>
        <v>0.003928710938</v>
      </c>
      <c r="BP36" s="8">
        <f>BP$2*(Underlying*EXP(-DividendYield*TimeToExpiration)*_xlfn.NORM.DIST(BP$2*(LN(Underlying/$H36)+(RiskFreeRate-DividendYield+0.5*BO36^2)*TimeToExpiration)/(BO36*TimeToExpiration^0.5), 0, 1, TRUE) - 
       $H36*EXP(-RiskFreeRate*TimeToExpiration)*_xlfn.NORM.DIST(BP$2*(LN(Underlying/$H36)+(RiskFreeRate-DividendYield-0.5*BO36^2)*TimeToExpiration)/(BO36*TimeToExpiration^0.5), 0, 1, TRUE)
)</f>
        <v>32.92520403</v>
      </c>
      <c r="BQ36" s="41">
        <f t="shared" si="33"/>
        <v>0.001</v>
      </c>
      <c r="BR36" s="40">
        <f t="shared" si="34"/>
        <v>0.003928710938</v>
      </c>
      <c r="BS36" s="7">
        <f>BS$2*(Underlying*EXP(-DividendYield*TimeToExpiration)*_xlfn.NORM.DIST(BS$2*(LN(Underlying/$H36)+(RiskFreeRate-DividendYield+0.5*BQ36^2)*TimeToExpiration)/(BQ36*TimeToExpiration^0.5), 0, 1, TRUE) - 
       $H36*EXP(-RiskFreeRate*TimeToExpiration)*_xlfn.NORM.DIST(BS$2*(LN(Underlying/$H36)+(RiskFreeRate-DividendYield-0.5*BQ36^2)*TimeToExpiration)/(BQ36*TimeToExpiration^0.5), 0, 1, TRUE)
)</f>
        <v>32.92520403</v>
      </c>
      <c r="BT36" s="7">
        <f>BT$2*(Underlying*EXP(-DividendYield*TimeToExpiration)*_xlfn.NORM.DIST(BT$2*(LN(Underlying/$H36)+(RiskFreeRate-DividendYield+0.5*BR36^2)*TimeToExpiration)/(BR36*TimeToExpiration^0.5), 0, 1, TRUE) - 
       $H36*EXP(-RiskFreeRate*TimeToExpiration)*_xlfn.NORM.DIST(BT$2*(LN(Underlying/$H36)+(RiskFreeRate-DividendYield-0.5*BR36^2)*TimeToExpiration)/(BR36*TimeToExpiration^0.5), 0, 1, TRUE)
)</f>
        <v>32.92520403</v>
      </c>
      <c r="BU36" s="40">
        <f t="shared" si="35"/>
        <v>0.002464355469</v>
      </c>
      <c r="BV36" s="8">
        <f>BV$2*(Underlying*EXP(-DividendYield*TimeToExpiration)*_xlfn.NORM.DIST(BV$2*(LN(Underlying/$H36)+(RiskFreeRate-DividendYield+0.5*BU36^2)*TimeToExpiration)/(BU36*TimeToExpiration^0.5), 0, 1, TRUE) - 
       $H36*EXP(-RiskFreeRate*TimeToExpiration)*_xlfn.NORM.DIST(BV$2*(LN(Underlying/$H36)+(RiskFreeRate-DividendYield-0.5*BU36^2)*TimeToExpiration)/(BU36*TimeToExpiration^0.5), 0, 1, TRUE)
)</f>
        <v>32.92520403</v>
      </c>
      <c r="BW36" s="41">
        <f t="shared" si="36"/>
        <v>0.001</v>
      </c>
      <c r="BX36" s="40">
        <f t="shared" si="37"/>
        <v>0.002464355469</v>
      </c>
      <c r="BY36" s="7">
        <f>BY$2*(Underlying*EXP(-DividendYield*TimeToExpiration)*_xlfn.NORM.DIST(BY$2*(LN(Underlying/$H36)+(RiskFreeRate-DividendYield+0.5*BW36^2)*TimeToExpiration)/(BW36*TimeToExpiration^0.5), 0, 1, TRUE) - 
       $H36*EXP(-RiskFreeRate*TimeToExpiration)*_xlfn.NORM.DIST(BY$2*(LN(Underlying/$H36)+(RiskFreeRate-DividendYield-0.5*BW36^2)*TimeToExpiration)/(BW36*TimeToExpiration^0.5), 0, 1, TRUE)
)</f>
        <v>32.92520403</v>
      </c>
      <c r="BZ36" s="7">
        <f>BZ$2*(Underlying*EXP(-DividendYield*TimeToExpiration)*_xlfn.NORM.DIST(BZ$2*(LN(Underlying/$H36)+(RiskFreeRate-DividendYield+0.5*BX36^2)*TimeToExpiration)/(BX36*TimeToExpiration^0.5), 0, 1, TRUE) - 
       $H36*EXP(-RiskFreeRate*TimeToExpiration)*_xlfn.NORM.DIST(BZ$2*(LN(Underlying/$H36)+(RiskFreeRate-DividendYield-0.5*BX36^2)*TimeToExpiration)/(BX36*TimeToExpiration^0.5), 0, 1, TRUE)
)</f>
        <v>32.92520403</v>
      </c>
      <c r="CA36" s="40">
        <f t="shared" si="38"/>
        <v>0.001732177734</v>
      </c>
      <c r="CB36" s="8">
        <f>CB$2*(Underlying*EXP(-DividendYield*TimeToExpiration)*_xlfn.NORM.DIST(CB$2*(LN(Underlying/$H36)+(RiskFreeRate-DividendYield+0.5*CA36^2)*TimeToExpiration)/(CA36*TimeToExpiration^0.5), 0, 1, TRUE) - 
       $H36*EXP(-RiskFreeRate*TimeToExpiration)*_xlfn.NORM.DIST(CB$2*(LN(Underlying/$H36)+(RiskFreeRate-DividendYield-0.5*CA36^2)*TimeToExpiration)/(CA36*TimeToExpiration^0.5), 0, 1, TRUE)
)</f>
        <v>32.92520403</v>
      </c>
      <c r="CC36" s="41">
        <f t="shared" si="39"/>
        <v>0.001</v>
      </c>
      <c r="CD36" s="40">
        <f t="shared" si="40"/>
        <v>0.001732177734</v>
      </c>
      <c r="CE36" s="7">
        <f>CE$2*(Underlying*EXP(-DividendYield*TimeToExpiration)*_xlfn.NORM.DIST(CE$2*(LN(Underlying/$H36)+(RiskFreeRate-DividendYield+0.5*CC36^2)*TimeToExpiration)/(CC36*TimeToExpiration^0.5), 0, 1, TRUE) - 
       $H36*EXP(-RiskFreeRate*TimeToExpiration)*_xlfn.NORM.DIST(CE$2*(LN(Underlying/$H36)+(RiskFreeRate-DividendYield-0.5*CC36^2)*TimeToExpiration)/(CC36*TimeToExpiration^0.5), 0, 1, TRUE)
)</f>
        <v>32.92520403</v>
      </c>
      <c r="CF36" s="7">
        <f>CF$2*(Underlying*EXP(-DividendYield*TimeToExpiration)*_xlfn.NORM.DIST(CF$2*(LN(Underlying/$H36)+(RiskFreeRate-DividendYield+0.5*CD36^2)*TimeToExpiration)/(CD36*TimeToExpiration^0.5), 0, 1, TRUE) - 
       $H36*EXP(-RiskFreeRate*TimeToExpiration)*_xlfn.NORM.DIST(CF$2*(LN(Underlying/$H36)+(RiskFreeRate-DividendYield-0.5*CD36^2)*TimeToExpiration)/(CD36*TimeToExpiration^0.5), 0, 1, TRUE)
)</f>
        <v>32.92520403</v>
      </c>
      <c r="CG36" s="40">
        <f t="shared" si="41"/>
        <v>0.001366088867</v>
      </c>
      <c r="CH36" s="8">
        <f>CH$2*(Underlying*EXP(-DividendYield*TimeToExpiration)*_xlfn.NORM.DIST(CH$2*(LN(Underlying/$H36)+(RiskFreeRate-DividendYield+0.5*CG36^2)*TimeToExpiration)/(CG36*TimeToExpiration^0.5), 0, 1, TRUE) - 
       $H36*EXP(-RiskFreeRate*TimeToExpiration)*_xlfn.NORM.DIST(CH$2*(LN(Underlying/$H36)+(RiskFreeRate-DividendYield-0.5*CG36^2)*TimeToExpiration)/(CG36*TimeToExpiration^0.5), 0, 1, TRUE)
)</f>
        <v>32.92520403</v>
      </c>
      <c r="CI36" s="41">
        <f t="shared" si="42"/>
        <v>0.001</v>
      </c>
      <c r="CJ36" s="40">
        <f t="shared" si="43"/>
        <v>0.001366088867</v>
      </c>
      <c r="CK36" s="7">
        <f>CK$2*(Underlying*EXP(-DividendYield*TimeToExpiration)*_xlfn.NORM.DIST(CK$2*(LN(Underlying/$H36)+(RiskFreeRate-DividendYield+0.5*CI36^2)*TimeToExpiration)/(CI36*TimeToExpiration^0.5), 0, 1, TRUE) - 
       $H36*EXP(-RiskFreeRate*TimeToExpiration)*_xlfn.NORM.DIST(CK$2*(LN(Underlying/$H36)+(RiskFreeRate-DividendYield-0.5*CI36^2)*TimeToExpiration)/(CI36*TimeToExpiration^0.5), 0, 1, TRUE)
)</f>
        <v>32.92520403</v>
      </c>
      <c r="CL36" s="7">
        <f>CL$2*(Underlying*EXP(-DividendYield*TimeToExpiration)*_xlfn.NORM.DIST(CL$2*(LN(Underlying/$H36)+(RiskFreeRate-DividendYield+0.5*CJ36^2)*TimeToExpiration)/(CJ36*TimeToExpiration^0.5), 0, 1, TRUE) - 
       $H36*EXP(-RiskFreeRate*TimeToExpiration)*_xlfn.NORM.DIST(CL$2*(LN(Underlying/$H36)+(RiskFreeRate-DividendYield-0.5*CJ36^2)*TimeToExpiration)/(CJ36*TimeToExpiration^0.5), 0, 1, TRUE)
)</f>
        <v>32.92520403</v>
      </c>
      <c r="CM36" s="40">
        <f t="shared" si="44"/>
        <v>0.001183044434</v>
      </c>
      <c r="CN36" s="8">
        <f>CN$2*(Underlying*EXP(-DividendYield*TimeToExpiration)*_xlfn.NORM.DIST(CN$2*(LN(Underlying/$H36)+(RiskFreeRate-DividendYield+0.5*CM36^2)*TimeToExpiration)/(CM36*TimeToExpiration^0.5), 0, 1, TRUE) - 
       $H36*EXP(-RiskFreeRate*TimeToExpiration)*_xlfn.NORM.DIST(CN$2*(LN(Underlying/$H36)+(RiskFreeRate-DividendYield-0.5*CM36^2)*TimeToExpiration)/(CM36*TimeToExpiration^0.5), 0, 1, TRUE)
)</f>
        <v>32.92520403</v>
      </c>
      <c r="CO36" s="41">
        <f t="shared" si="45"/>
        <v>0.001</v>
      </c>
      <c r="CP36" s="40">
        <f t="shared" si="46"/>
        <v>0.001183044434</v>
      </c>
      <c r="CQ36" s="7">
        <f>CQ$2*(Underlying*EXP(-DividendYield*TimeToExpiration)*_xlfn.NORM.DIST(CQ$2*(LN(Underlying/$H36)+(RiskFreeRate-DividendYield+0.5*CO36^2)*TimeToExpiration)/(CO36*TimeToExpiration^0.5), 0, 1, TRUE) - 
       $H36*EXP(-RiskFreeRate*TimeToExpiration)*_xlfn.NORM.DIST(CQ$2*(LN(Underlying/$H36)+(RiskFreeRate-DividendYield-0.5*CO36^2)*TimeToExpiration)/(CO36*TimeToExpiration^0.5), 0, 1, TRUE)
)</f>
        <v>32.92520403</v>
      </c>
      <c r="CR36" s="7">
        <f>CR$2*(Underlying*EXP(-DividendYield*TimeToExpiration)*_xlfn.NORM.DIST(CR$2*(LN(Underlying/$H36)+(RiskFreeRate-DividendYield+0.5*CP36^2)*TimeToExpiration)/(CP36*TimeToExpiration^0.5), 0, 1, TRUE) - 
       $H36*EXP(-RiskFreeRate*TimeToExpiration)*_xlfn.NORM.DIST(CR$2*(LN(Underlying/$H36)+(RiskFreeRate-DividendYield-0.5*CP36^2)*TimeToExpiration)/(CP36*TimeToExpiration^0.5), 0, 1, TRUE)
)</f>
        <v>32.92520403</v>
      </c>
      <c r="CS36" s="40">
        <f t="shared" si="47"/>
        <v>0.001091522217</v>
      </c>
      <c r="CT36" s="8">
        <f>CT$2*(Underlying*EXP(-DividendYield*TimeToExpiration)*_xlfn.NORM.DIST(CT$2*(LN(Underlying/$H36)+(RiskFreeRate-DividendYield+0.5*CS36^2)*TimeToExpiration)/(CS36*TimeToExpiration^0.5), 0, 1, TRUE) - 
       $H36*EXP(-RiskFreeRate*TimeToExpiration)*_xlfn.NORM.DIST(CT$2*(LN(Underlying/$H36)+(RiskFreeRate-DividendYield-0.5*CS36^2)*TimeToExpiration)/(CS36*TimeToExpiration^0.5), 0, 1, TRUE)
)</f>
        <v>32.92520403</v>
      </c>
      <c r="CU36" s="41">
        <f t="shared" si="48"/>
        <v>0.001</v>
      </c>
      <c r="CV36" s="40">
        <f t="shared" si="49"/>
        <v>0.001091522217</v>
      </c>
      <c r="CW36" s="7">
        <f>CW$2*(Underlying*EXP(-DividendYield*TimeToExpiration)*_xlfn.NORM.DIST(CW$2*(LN(Underlying/$H36)+(RiskFreeRate-DividendYield+0.5*CU36^2)*TimeToExpiration)/(CU36*TimeToExpiration^0.5), 0, 1, TRUE) - 
       $H36*EXP(-RiskFreeRate*TimeToExpiration)*_xlfn.NORM.DIST(CW$2*(LN(Underlying/$H36)+(RiskFreeRate-DividendYield-0.5*CU36^2)*TimeToExpiration)/(CU36*TimeToExpiration^0.5), 0, 1, TRUE)
)</f>
        <v>32.92520403</v>
      </c>
      <c r="CX36" s="7">
        <f>CX$2*(Underlying*EXP(-DividendYield*TimeToExpiration)*_xlfn.NORM.DIST(CX$2*(LN(Underlying/$H36)+(RiskFreeRate-DividendYield+0.5*CV36^2)*TimeToExpiration)/(CV36*TimeToExpiration^0.5), 0, 1, TRUE) - 
       $H36*EXP(-RiskFreeRate*TimeToExpiration)*_xlfn.NORM.DIST(CX$2*(LN(Underlying/$H36)+(RiskFreeRate-DividendYield-0.5*CV36^2)*TimeToExpiration)/(CV36*TimeToExpiration^0.5), 0, 1, TRUE)
)</f>
        <v>32.92520403</v>
      </c>
      <c r="CY36" s="40">
        <f t="shared" si="50"/>
        <v>0.001045761108</v>
      </c>
      <c r="CZ36" s="8">
        <f>CZ$2*(Underlying*EXP(-DividendYield*TimeToExpiration)*_xlfn.NORM.DIST(CZ$2*(LN(Underlying/$H36)+(RiskFreeRate-DividendYield+0.5*CY36^2)*TimeToExpiration)/(CY36*TimeToExpiration^0.5), 0, 1, TRUE) - 
       $H36*EXP(-RiskFreeRate*TimeToExpiration)*_xlfn.NORM.DIST(CZ$2*(LN(Underlying/$H36)+(RiskFreeRate-DividendYield-0.5*CY36^2)*TimeToExpiration)/(CY36*TimeToExpiration^0.5), 0, 1, TRUE)
)</f>
        <v>32.92520403</v>
      </c>
      <c r="DA36" s="41">
        <f t="shared" si="51"/>
        <v>0.001</v>
      </c>
      <c r="DB36" s="40">
        <f t="shared" si="52"/>
        <v>0.001045761108</v>
      </c>
      <c r="DC36" s="7">
        <f>DC$2*(Underlying*EXP(-DividendYield*TimeToExpiration)*_xlfn.NORM.DIST(DC$2*(LN(Underlying/$H36)+(RiskFreeRate-DividendYield+0.5*DA36^2)*TimeToExpiration)/(DA36*TimeToExpiration^0.5), 0, 1, TRUE) - 
       $H36*EXP(-RiskFreeRate*TimeToExpiration)*_xlfn.NORM.DIST(DC$2*(LN(Underlying/$H36)+(RiskFreeRate-DividendYield-0.5*DA36^2)*TimeToExpiration)/(DA36*TimeToExpiration^0.5), 0, 1, TRUE)
)</f>
        <v>32.92520403</v>
      </c>
      <c r="DD36" s="7">
        <f>DD$2*(Underlying*EXP(-DividendYield*TimeToExpiration)*_xlfn.NORM.DIST(DD$2*(LN(Underlying/$H36)+(RiskFreeRate-DividendYield+0.5*DB36^2)*TimeToExpiration)/(DB36*TimeToExpiration^0.5), 0, 1, TRUE) - 
       $H36*EXP(-RiskFreeRate*TimeToExpiration)*_xlfn.NORM.DIST(DD$2*(LN(Underlying/$H36)+(RiskFreeRate-DividendYield-0.5*DB36^2)*TimeToExpiration)/(DB36*TimeToExpiration^0.5), 0, 1, TRUE)
)</f>
        <v>32.92520403</v>
      </c>
      <c r="DE36" s="40">
        <f t="shared" si="53"/>
        <v>0.001022880554</v>
      </c>
      <c r="DF36" s="8">
        <f>DF$2*(Underlying*EXP(-DividendYield*TimeToExpiration)*_xlfn.NORM.DIST(DF$2*(LN(Underlying/$H36)+(RiskFreeRate-DividendYield+0.5*DE36^2)*TimeToExpiration)/(DE36*TimeToExpiration^0.5), 0, 1, TRUE) - 
       $H36*EXP(-RiskFreeRate*TimeToExpiration)*_xlfn.NORM.DIST(DF$2*(LN(Underlying/$H36)+(RiskFreeRate-DividendYield-0.5*DE36^2)*TimeToExpiration)/(DE36*TimeToExpiration^0.5), 0, 1, TRUE)
)</f>
        <v>32.92520403</v>
      </c>
    </row>
    <row r="37">
      <c r="A37" s="20">
        <f>'Option Mkt Data'!A37</f>
        <v>375</v>
      </c>
      <c r="B37" s="35">
        <f t="shared" ref="B37:C37" si="84">DE37</f>
        <v>0.3517817764</v>
      </c>
      <c r="C37" s="7">
        <f t="shared" si="84"/>
        <v>35.57502504</v>
      </c>
      <c r="D37" s="7">
        <f t="shared" si="3"/>
        <v>0.0000204565407</v>
      </c>
      <c r="E37" s="9">
        <f t="shared" si="4"/>
        <v>0.0000005750256658</v>
      </c>
      <c r="F37" s="36">
        <f>D37/'Option Mkt Data'!M37</f>
        <v>0.00001778815457</v>
      </c>
      <c r="G37" s="5">
        <f>'Option Mkt Data'!K37</f>
        <v>35.57500458</v>
      </c>
      <c r="H37" s="33">
        <f>'Option Mkt Data'!A37</f>
        <v>375</v>
      </c>
      <c r="I37" s="37">
        <f>MinSolverVola</f>
        <v>0.001</v>
      </c>
      <c r="J37" s="38">
        <f>MaxSolverVola</f>
        <v>3</v>
      </c>
      <c r="K37" s="39">
        <f>K$2*(Underlying*EXP(-DividendYield*TimeToExpiration)*_xlfn.NORM.DIST(K$2*(LN(Underlying/$H37)+(RiskFreeRate-DividendYield+0.5*I37^2)*TimeToExpiration)/(I37*TimeToExpiration^0.5), 0, 1, TRUE) - 
       $H37*EXP(-RiskFreeRate*TimeToExpiration)*_xlfn.NORM.DIST(K$2*(LN(Underlying/$H37)+(RiskFreeRate-DividendYield-0.5*I37^2)*TimeToExpiration)/(I37*TimeToExpiration^0.5), 0, 1, TRUE)
)</f>
        <v>35.42302419</v>
      </c>
      <c r="L37" s="7">
        <f>L$2*(Underlying*EXP(-DividendYield*TimeToExpiration)*_xlfn.NORM.DIST(L$2*(LN(Underlying/$H37)+(RiskFreeRate-DividendYield+0.5*J37^2)*TimeToExpiration)/(J37*TimeToExpiration^0.5), 0, 1, TRUE) - 
       $H37*EXP(-RiskFreeRate*TimeToExpiration)*_xlfn.NORM.DIST(L$2*(LN(Underlying/$H37)+(RiskFreeRate-DividendYield-0.5*J37^2)*TimeToExpiration)/(J37*TimeToExpiration^0.5), 0, 1, TRUE)
)</f>
        <v>79.28642099</v>
      </c>
      <c r="M37" s="40">
        <f t="shared" si="5"/>
        <v>1.5005</v>
      </c>
      <c r="N37" s="8">
        <f>N$2*(Underlying*EXP(-DividendYield*TimeToExpiration)*_xlfn.NORM.DIST(N$2*(LN(Underlying/$H37)+(RiskFreeRate-DividendYield+0.5*M37^2)*TimeToExpiration)/(M37*TimeToExpiration^0.5), 0, 1, TRUE) - 
       $H37*EXP(-RiskFreeRate*TimeToExpiration)*_xlfn.NORM.DIST(N$2*(LN(Underlying/$H37)+(RiskFreeRate-DividendYield-0.5*M37^2)*TimeToExpiration)/(M37*TimeToExpiration^0.5), 0, 1, TRUE)
)</f>
        <v>51.1018319</v>
      </c>
      <c r="O37" s="41">
        <f t="shared" si="6"/>
        <v>0.001</v>
      </c>
      <c r="P37" s="40">
        <f t="shared" si="7"/>
        <v>1.5005</v>
      </c>
      <c r="Q37" s="7">
        <f>Q$2*(Underlying*EXP(-DividendYield*TimeToExpiration)*_xlfn.NORM.DIST(Q$2*(LN(Underlying/$H37)+(RiskFreeRate-DividendYield+0.5*O37^2)*TimeToExpiration)/(O37*TimeToExpiration^0.5), 0, 1, TRUE) - 
       $H37*EXP(-RiskFreeRate*TimeToExpiration)*_xlfn.NORM.DIST(Q$2*(LN(Underlying/$H37)+(RiskFreeRate-DividendYield-0.5*O37^2)*TimeToExpiration)/(O37*TimeToExpiration^0.5), 0, 1, TRUE)
)</f>
        <v>35.42302419</v>
      </c>
      <c r="R37" s="7">
        <f>R$2*(Underlying*EXP(-DividendYield*TimeToExpiration)*_xlfn.NORM.DIST(R$2*(LN(Underlying/$H37)+(RiskFreeRate-DividendYield+0.5*P37^2)*TimeToExpiration)/(P37*TimeToExpiration^0.5), 0, 1, TRUE) - 
       $H37*EXP(-RiskFreeRate*TimeToExpiration)*_xlfn.NORM.DIST(R$2*(LN(Underlying/$H37)+(RiskFreeRate-DividendYield-0.5*P37^2)*TimeToExpiration)/(P37*TimeToExpiration^0.5), 0, 1, TRUE)
)</f>
        <v>51.1018319</v>
      </c>
      <c r="S37" s="40">
        <f t="shared" si="8"/>
        <v>0.75075</v>
      </c>
      <c r="T37" s="8">
        <f>T$2*(Underlying*EXP(-DividendYield*TimeToExpiration)*_xlfn.NORM.DIST(T$2*(LN(Underlying/$H37)+(RiskFreeRate-DividendYield+0.5*S37^2)*TimeToExpiration)/(S37*TimeToExpiration^0.5), 0, 1, TRUE) - 
       $H37*EXP(-RiskFreeRate*TimeToExpiration)*_xlfn.NORM.DIST(T$2*(LN(Underlying/$H37)+(RiskFreeRate-DividendYield-0.5*S37^2)*TimeToExpiration)/(S37*TimeToExpiration^0.5), 0, 1, TRUE)
)</f>
        <v>38.98044308</v>
      </c>
      <c r="U37" s="41">
        <f t="shared" si="9"/>
        <v>0.001</v>
      </c>
      <c r="V37" s="40">
        <f t="shared" si="10"/>
        <v>0.75075</v>
      </c>
      <c r="W37" s="7">
        <f>W$2*(Underlying*EXP(-DividendYield*TimeToExpiration)*_xlfn.NORM.DIST(W$2*(LN(Underlying/$H37)+(RiskFreeRate-DividendYield+0.5*U37^2)*TimeToExpiration)/(U37*TimeToExpiration^0.5), 0, 1, TRUE) - 
       $H37*EXP(-RiskFreeRate*TimeToExpiration)*_xlfn.NORM.DIST(W$2*(LN(Underlying/$H37)+(RiskFreeRate-DividendYield-0.5*U37^2)*TimeToExpiration)/(U37*TimeToExpiration^0.5), 0, 1, TRUE)
)</f>
        <v>35.42302419</v>
      </c>
      <c r="X37" s="7">
        <f>X$2*(Underlying*EXP(-DividendYield*TimeToExpiration)*_xlfn.NORM.DIST(X$2*(LN(Underlying/$H37)+(RiskFreeRate-DividendYield+0.5*V37^2)*TimeToExpiration)/(V37*TimeToExpiration^0.5), 0, 1, TRUE) - 
       $H37*EXP(-RiskFreeRate*TimeToExpiration)*_xlfn.NORM.DIST(X$2*(LN(Underlying/$H37)+(RiskFreeRate-DividendYield-0.5*V37^2)*TimeToExpiration)/(V37*TimeToExpiration^0.5), 0, 1, TRUE)
)</f>
        <v>38.98044308</v>
      </c>
      <c r="Y37" s="40">
        <f t="shared" si="11"/>
        <v>0.375875</v>
      </c>
      <c r="Z37" s="8">
        <f>Z$2*(Underlying*EXP(-DividendYield*TimeToExpiration)*_xlfn.NORM.DIST(Z$2*(LN(Underlying/$H37)+(RiskFreeRate-DividendYield+0.5*Y37^2)*TimeToExpiration)/(Y37*TimeToExpiration^0.5), 0, 1, TRUE) - 
       $H37*EXP(-RiskFreeRate*TimeToExpiration)*_xlfn.NORM.DIST(Z$2*(LN(Underlying/$H37)+(RiskFreeRate-DividendYield-0.5*Y37^2)*TimeToExpiration)/(Y37*TimeToExpiration^0.5), 0, 1, TRUE)
)</f>
        <v>35.65024481</v>
      </c>
      <c r="AA37" s="41">
        <f t="shared" si="12"/>
        <v>0.001</v>
      </c>
      <c r="AB37" s="40">
        <f t="shared" si="13"/>
        <v>0.375875</v>
      </c>
      <c r="AC37" s="7">
        <f>AC$2*(Underlying*EXP(-DividendYield*TimeToExpiration)*_xlfn.NORM.DIST(AC$2*(LN(Underlying/$H37)+(RiskFreeRate-DividendYield+0.5*AA37^2)*TimeToExpiration)/(AA37*TimeToExpiration^0.5), 0, 1, TRUE) - 
       $H37*EXP(-RiskFreeRate*TimeToExpiration)*_xlfn.NORM.DIST(AC$2*(LN(Underlying/$H37)+(RiskFreeRate-DividendYield-0.5*AA37^2)*TimeToExpiration)/(AA37*TimeToExpiration^0.5), 0, 1, TRUE)
)</f>
        <v>35.42302419</v>
      </c>
      <c r="AD37" s="7">
        <f>AD$2*(Underlying*EXP(-DividendYield*TimeToExpiration)*_xlfn.NORM.DIST(AD$2*(LN(Underlying/$H37)+(RiskFreeRate-DividendYield+0.5*AB37^2)*TimeToExpiration)/(AB37*TimeToExpiration^0.5), 0, 1, TRUE) - 
       $H37*EXP(-RiskFreeRate*TimeToExpiration)*_xlfn.NORM.DIST(AD$2*(LN(Underlying/$H37)+(RiskFreeRate-DividendYield-0.5*AB37^2)*TimeToExpiration)/(AB37*TimeToExpiration^0.5), 0, 1, TRUE)
)</f>
        <v>35.65024481</v>
      </c>
      <c r="AE37" s="40">
        <f t="shared" si="14"/>
        <v>0.1884375</v>
      </c>
      <c r="AF37" s="8">
        <f>AF$2*(Underlying*EXP(-DividendYield*TimeToExpiration)*_xlfn.NORM.DIST(AF$2*(LN(Underlying/$H37)+(RiskFreeRate-DividendYield+0.5*AE37^2)*TimeToExpiration)/(AE37*TimeToExpiration^0.5), 0, 1, TRUE) - 
       $H37*EXP(-RiskFreeRate*TimeToExpiration)*_xlfn.NORM.DIST(AF$2*(LN(Underlying/$H37)+(RiskFreeRate-DividendYield-0.5*AE37^2)*TimeToExpiration)/(AE37*TimeToExpiration^0.5), 0, 1, TRUE)
)</f>
        <v>35.4232442</v>
      </c>
      <c r="AG37" s="40">
        <f t="shared" si="15"/>
        <v>0.1884375</v>
      </c>
      <c r="AH37" s="40">
        <f t="shared" si="16"/>
        <v>0.375875</v>
      </c>
      <c r="AI37" s="7">
        <f>AI$2*(Underlying*EXP(-DividendYield*TimeToExpiration)*_xlfn.NORM.DIST(AI$2*(LN(Underlying/$H37)+(RiskFreeRate-DividendYield+0.5*AG37^2)*TimeToExpiration)/(AG37*TimeToExpiration^0.5), 0, 1, TRUE) - 
       $H37*EXP(-RiskFreeRate*TimeToExpiration)*_xlfn.NORM.DIST(AI$2*(LN(Underlying/$H37)+(RiskFreeRate-DividendYield-0.5*AG37^2)*TimeToExpiration)/(AG37*TimeToExpiration^0.5), 0, 1, TRUE)
)</f>
        <v>35.4232442</v>
      </c>
      <c r="AJ37" s="7">
        <f>AJ$2*(Underlying*EXP(-DividendYield*TimeToExpiration)*_xlfn.NORM.DIST(AJ$2*(LN(Underlying/$H37)+(RiskFreeRate-DividendYield+0.5*AH37^2)*TimeToExpiration)/(AH37*TimeToExpiration^0.5), 0, 1, TRUE) - 
       $H37*EXP(-RiskFreeRate*TimeToExpiration)*_xlfn.NORM.DIST(AJ$2*(LN(Underlying/$H37)+(RiskFreeRate-DividendYield-0.5*AH37^2)*TimeToExpiration)/(AH37*TimeToExpiration^0.5), 0, 1, TRUE)
)</f>
        <v>35.65024481</v>
      </c>
      <c r="AK37" s="40">
        <f t="shared" si="17"/>
        <v>0.28215625</v>
      </c>
      <c r="AL37" s="8">
        <f>AL$2*(Underlying*EXP(-DividendYield*TimeToExpiration)*_xlfn.NORM.DIST(AL$2*(LN(Underlying/$H37)+(RiskFreeRate-DividendYield+0.5*AK37^2)*TimeToExpiration)/(AK37*TimeToExpiration^0.5), 0, 1, TRUE) - 
       $H37*EXP(-RiskFreeRate*TimeToExpiration)*_xlfn.NORM.DIST(AL$2*(LN(Underlying/$H37)+(RiskFreeRate-DividendYield-0.5*AK37^2)*TimeToExpiration)/(AK37*TimeToExpiration^0.5), 0, 1, TRUE)
)</f>
        <v>35.45250977</v>
      </c>
      <c r="AM37" s="40">
        <f t="shared" si="18"/>
        <v>0.28215625</v>
      </c>
      <c r="AN37" s="40">
        <f t="shared" si="19"/>
        <v>0.375875</v>
      </c>
      <c r="AO37" s="7">
        <f>AO$2*(Underlying*EXP(-DividendYield*TimeToExpiration)*_xlfn.NORM.DIST(AO$2*(LN(Underlying/$H37)+(RiskFreeRate-DividendYield+0.5*AM37^2)*TimeToExpiration)/(AM37*TimeToExpiration^0.5), 0, 1, TRUE) - 
       $H37*EXP(-RiskFreeRate*TimeToExpiration)*_xlfn.NORM.DIST(AO$2*(LN(Underlying/$H37)+(RiskFreeRate-DividendYield-0.5*AM37^2)*TimeToExpiration)/(AM37*TimeToExpiration^0.5), 0, 1, TRUE)
)</f>
        <v>35.45250977</v>
      </c>
      <c r="AP37" s="7">
        <f>AP$2*(Underlying*EXP(-DividendYield*TimeToExpiration)*_xlfn.NORM.DIST(AP$2*(LN(Underlying/$H37)+(RiskFreeRate-DividendYield+0.5*AN37^2)*TimeToExpiration)/(AN37*TimeToExpiration^0.5), 0, 1, TRUE) - 
       $H37*EXP(-RiskFreeRate*TimeToExpiration)*_xlfn.NORM.DIST(AP$2*(LN(Underlying/$H37)+(RiskFreeRate-DividendYield-0.5*AN37^2)*TimeToExpiration)/(AN37*TimeToExpiration^0.5), 0, 1, TRUE)
)</f>
        <v>35.65024481</v>
      </c>
      <c r="AQ37" s="40">
        <f t="shared" si="20"/>
        <v>0.329015625</v>
      </c>
      <c r="AR37" s="8">
        <f>AR$2*(Underlying*EXP(-DividendYield*TimeToExpiration)*_xlfn.NORM.DIST(AR$2*(LN(Underlying/$H37)+(RiskFreeRate-DividendYield+0.5*AQ37^2)*TimeToExpiration)/(AQ37*TimeToExpiration^0.5), 0, 1, TRUE) - 
       $H37*EXP(-RiskFreeRate*TimeToExpiration)*_xlfn.NORM.DIST(AR$2*(LN(Underlying/$H37)+(RiskFreeRate-DividendYield-0.5*AQ37^2)*TimeToExpiration)/(AQ37*TimeToExpiration^0.5), 0, 1, TRUE)
)</f>
        <v>35.52048127</v>
      </c>
      <c r="AS37" s="40">
        <f t="shared" si="21"/>
        <v>0.329015625</v>
      </c>
      <c r="AT37" s="40">
        <f t="shared" si="22"/>
        <v>0.375875</v>
      </c>
      <c r="AU37" s="7">
        <f>AU$2*(Underlying*EXP(-DividendYield*TimeToExpiration)*_xlfn.NORM.DIST(AU$2*(LN(Underlying/$H37)+(RiskFreeRate-DividendYield+0.5*AS37^2)*TimeToExpiration)/(AS37*TimeToExpiration^0.5), 0, 1, TRUE) - 
       $H37*EXP(-RiskFreeRate*TimeToExpiration)*_xlfn.NORM.DIST(AU$2*(LN(Underlying/$H37)+(RiskFreeRate-DividendYield-0.5*AS37^2)*TimeToExpiration)/(AS37*TimeToExpiration^0.5), 0, 1, TRUE)
)</f>
        <v>35.52048127</v>
      </c>
      <c r="AV37" s="7">
        <f>AV$2*(Underlying*EXP(-DividendYield*TimeToExpiration)*_xlfn.NORM.DIST(AV$2*(LN(Underlying/$H37)+(RiskFreeRate-DividendYield+0.5*AT37^2)*TimeToExpiration)/(AT37*TimeToExpiration^0.5), 0, 1, TRUE) - 
       $H37*EXP(-RiskFreeRate*TimeToExpiration)*_xlfn.NORM.DIST(AV$2*(LN(Underlying/$H37)+(RiskFreeRate-DividendYield-0.5*AT37^2)*TimeToExpiration)/(AT37*TimeToExpiration^0.5), 0, 1, TRUE)
)</f>
        <v>35.65024481</v>
      </c>
      <c r="AW37" s="40">
        <f t="shared" si="23"/>
        <v>0.3524453125</v>
      </c>
      <c r="AX37" s="8">
        <f>AX$2*(Underlying*EXP(-DividendYield*TimeToExpiration)*_xlfn.NORM.DIST(AX$2*(LN(Underlying/$H37)+(RiskFreeRate-DividendYield+0.5*AW37^2)*TimeToExpiration)/(AW37*TimeToExpiration^0.5), 0, 1, TRUE) - 
       $H37*EXP(-RiskFreeRate*TimeToExpiration)*_xlfn.NORM.DIST(AX$2*(LN(Underlying/$H37)+(RiskFreeRate-DividendYield-0.5*AW37^2)*TimeToExpiration)/(AW37*TimeToExpiration^0.5), 0, 1, TRUE)
)</f>
        <v>35.57685045</v>
      </c>
      <c r="AY37" s="40">
        <f t="shared" si="24"/>
        <v>0.329015625</v>
      </c>
      <c r="AZ37" s="40">
        <f t="shared" si="25"/>
        <v>0.3524453125</v>
      </c>
      <c r="BA37" s="7">
        <f>BA$2*(Underlying*EXP(-DividendYield*TimeToExpiration)*_xlfn.NORM.DIST(BA$2*(LN(Underlying/$H37)+(RiskFreeRate-DividendYield+0.5*AY37^2)*TimeToExpiration)/(AY37*TimeToExpiration^0.5), 0, 1, TRUE) - 
       $H37*EXP(-RiskFreeRate*TimeToExpiration)*_xlfn.NORM.DIST(BA$2*(LN(Underlying/$H37)+(RiskFreeRate-DividendYield-0.5*AY37^2)*TimeToExpiration)/(AY37*TimeToExpiration^0.5), 0, 1, TRUE)
)</f>
        <v>35.52048127</v>
      </c>
      <c r="BB37" s="7">
        <f>BB$2*(Underlying*EXP(-DividendYield*TimeToExpiration)*_xlfn.NORM.DIST(BB$2*(LN(Underlying/$H37)+(RiskFreeRate-DividendYield+0.5*AZ37^2)*TimeToExpiration)/(AZ37*TimeToExpiration^0.5), 0, 1, TRUE) - 
       $H37*EXP(-RiskFreeRate*TimeToExpiration)*_xlfn.NORM.DIST(BB$2*(LN(Underlying/$H37)+(RiskFreeRate-DividendYield-0.5*AZ37^2)*TimeToExpiration)/(AZ37*TimeToExpiration^0.5), 0, 1, TRUE)
)</f>
        <v>35.57685045</v>
      </c>
      <c r="BC37" s="40">
        <f t="shared" si="26"/>
        <v>0.3407304688</v>
      </c>
      <c r="BD37" s="8">
        <f>BD$2*(Underlying*EXP(-DividendYield*TimeToExpiration)*_xlfn.NORM.DIST(BD$2*(LN(Underlying/$H37)+(RiskFreeRate-DividendYield+0.5*BC37^2)*TimeToExpiration)/(BC37*TimeToExpiration^0.5), 0, 1, TRUE) - 
       $H37*EXP(-RiskFreeRate*TimeToExpiration)*_xlfn.NORM.DIST(BD$2*(LN(Underlying/$H37)+(RiskFreeRate-DividendYield-0.5*BC37^2)*TimeToExpiration)/(BC37*TimeToExpiration^0.5), 0, 1, TRUE)
)</f>
        <v>35.5466115</v>
      </c>
      <c r="BE37" s="40">
        <f t="shared" si="27"/>
        <v>0.3407304688</v>
      </c>
      <c r="BF37" s="40">
        <f t="shared" si="28"/>
        <v>0.3524453125</v>
      </c>
      <c r="BG37" s="7">
        <f>BG$2*(Underlying*EXP(-DividendYield*TimeToExpiration)*_xlfn.NORM.DIST(BG$2*(LN(Underlying/$H37)+(RiskFreeRate-DividendYield+0.5*BE37^2)*TimeToExpiration)/(BE37*TimeToExpiration^0.5), 0, 1, TRUE) - 
       $H37*EXP(-RiskFreeRate*TimeToExpiration)*_xlfn.NORM.DIST(BG$2*(LN(Underlying/$H37)+(RiskFreeRate-DividendYield-0.5*BE37^2)*TimeToExpiration)/(BE37*TimeToExpiration^0.5), 0, 1, TRUE)
)</f>
        <v>35.5466115</v>
      </c>
      <c r="BH37" s="7">
        <f>BH$2*(Underlying*EXP(-DividendYield*TimeToExpiration)*_xlfn.NORM.DIST(BH$2*(LN(Underlying/$H37)+(RiskFreeRate-DividendYield+0.5*BF37^2)*TimeToExpiration)/(BF37*TimeToExpiration^0.5), 0, 1, TRUE) - 
       $H37*EXP(-RiskFreeRate*TimeToExpiration)*_xlfn.NORM.DIST(BH$2*(LN(Underlying/$H37)+(RiskFreeRate-DividendYield-0.5*BF37^2)*TimeToExpiration)/(BF37*TimeToExpiration^0.5), 0, 1, TRUE)
)</f>
        <v>35.57685045</v>
      </c>
      <c r="BI37" s="40">
        <f t="shared" si="29"/>
        <v>0.3465878906</v>
      </c>
      <c r="BJ37" s="8">
        <f>BJ$2*(Underlying*EXP(-DividendYield*TimeToExpiration)*_xlfn.NORM.DIST(BJ$2*(LN(Underlying/$H37)+(RiskFreeRate-DividendYield+0.5*BI37^2)*TimeToExpiration)/(BI37*TimeToExpiration^0.5), 0, 1, TRUE) - 
       $H37*EXP(-RiskFreeRate*TimeToExpiration)*_xlfn.NORM.DIST(BJ$2*(LN(Underlying/$H37)+(RiskFreeRate-DividendYield-0.5*BI37^2)*TimeToExpiration)/(BI37*TimeToExpiration^0.5), 0, 1, TRUE)
)</f>
        <v>35.56120667</v>
      </c>
      <c r="BK37" s="40">
        <f t="shared" si="30"/>
        <v>0.3465878906</v>
      </c>
      <c r="BL37" s="40">
        <f t="shared" si="31"/>
        <v>0.3524453125</v>
      </c>
      <c r="BM37" s="7">
        <f>BM$2*(Underlying*EXP(-DividendYield*TimeToExpiration)*_xlfn.NORM.DIST(BM$2*(LN(Underlying/$H37)+(RiskFreeRate-DividendYield+0.5*BK37^2)*TimeToExpiration)/(BK37*TimeToExpiration^0.5), 0, 1, TRUE) - 
       $H37*EXP(-RiskFreeRate*TimeToExpiration)*_xlfn.NORM.DIST(BM$2*(LN(Underlying/$H37)+(RiskFreeRate-DividendYield-0.5*BK37^2)*TimeToExpiration)/(BK37*TimeToExpiration^0.5), 0, 1, TRUE)
)</f>
        <v>35.56120667</v>
      </c>
      <c r="BN37" s="7">
        <f>BN$2*(Underlying*EXP(-DividendYield*TimeToExpiration)*_xlfn.NORM.DIST(BN$2*(LN(Underlying/$H37)+(RiskFreeRate-DividendYield+0.5*BL37^2)*TimeToExpiration)/(BL37*TimeToExpiration^0.5), 0, 1, TRUE) - 
       $H37*EXP(-RiskFreeRate*TimeToExpiration)*_xlfn.NORM.DIST(BN$2*(LN(Underlying/$H37)+(RiskFreeRate-DividendYield-0.5*BL37^2)*TimeToExpiration)/(BL37*TimeToExpiration^0.5), 0, 1, TRUE)
)</f>
        <v>35.57685045</v>
      </c>
      <c r="BO37" s="40">
        <f t="shared" si="32"/>
        <v>0.3495166016</v>
      </c>
      <c r="BP37" s="8">
        <f>BP$2*(Underlying*EXP(-DividendYield*TimeToExpiration)*_xlfn.NORM.DIST(BP$2*(LN(Underlying/$H37)+(RiskFreeRate-DividendYield+0.5*BO37^2)*TimeToExpiration)/(BO37*TimeToExpiration^0.5), 0, 1, TRUE) - 
       $H37*EXP(-RiskFreeRate*TimeToExpiration)*_xlfn.NORM.DIST(BP$2*(LN(Underlying/$H37)+(RiskFreeRate-DividendYield-0.5*BO37^2)*TimeToExpiration)/(BO37*TimeToExpiration^0.5), 0, 1, TRUE)
)</f>
        <v>35.56889628</v>
      </c>
      <c r="BQ37" s="40">
        <f t="shared" si="33"/>
        <v>0.3495166016</v>
      </c>
      <c r="BR37" s="40">
        <f t="shared" si="34"/>
        <v>0.3524453125</v>
      </c>
      <c r="BS37" s="7">
        <f>BS$2*(Underlying*EXP(-DividendYield*TimeToExpiration)*_xlfn.NORM.DIST(BS$2*(LN(Underlying/$H37)+(RiskFreeRate-DividendYield+0.5*BQ37^2)*TimeToExpiration)/(BQ37*TimeToExpiration^0.5), 0, 1, TRUE) - 
       $H37*EXP(-RiskFreeRate*TimeToExpiration)*_xlfn.NORM.DIST(BS$2*(LN(Underlying/$H37)+(RiskFreeRate-DividendYield-0.5*BQ37^2)*TimeToExpiration)/(BQ37*TimeToExpiration^0.5), 0, 1, TRUE)
)</f>
        <v>35.56889628</v>
      </c>
      <c r="BT37" s="7">
        <f>BT$2*(Underlying*EXP(-DividendYield*TimeToExpiration)*_xlfn.NORM.DIST(BT$2*(LN(Underlying/$H37)+(RiskFreeRate-DividendYield+0.5*BR37^2)*TimeToExpiration)/(BR37*TimeToExpiration^0.5), 0, 1, TRUE) - 
       $H37*EXP(-RiskFreeRate*TimeToExpiration)*_xlfn.NORM.DIST(BT$2*(LN(Underlying/$H37)+(RiskFreeRate-DividendYield-0.5*BR37^2)*TimeToExpiration)/(BR37*TimeToExpiration^0.5), 0, 1, TRUE)
)</f>
        <v>35.57685045</v>
      </c>
      <c r="BU37" s="40">
        <f t="shared" si="35"/>
        <v>0.350980957</v>
      </c>
      <c r="BV37" s="8">
        <f>BV$2*(Underlying*EXP(-DividendYield*TimeToExpiration)*_xlfn.NORM.DIST(BV$2*(LN(Underlying/$H37)+(RiskFreeRate-DividendYield+0.5*BU37^2)*TimeToExpiration)/(BU37*TimeToExpiration^0.5), 0, 1, TRUE) - 
       $H37*EXP(-RiskFreeRate*TimeToExpiration)*_xlfn.NORM.DIST(BV$2*(LN(Underlying/$H37)+(RiskFreeRate-DividendYield-0.5*BU37^2)*TimeToExpiration)/(BU37*TimeToExpiration^0.5), 0, 1, TRUE)
)</f>
        <v>35.57284015</v>
      </c>
      <c r="BW37" s="40">
        <f t="shared" si="36"/>
        <v>0.350980957</v>
      </c>
      <c r="BX37" s="40">
        <f t="shared" si="37"/>
        <v>0.3524453125</v>
      </c>
      <c r="BY37" s="7">
        <f>BY$2*(Underlying*EXP(-DividendYield*TimeToExpiration)*_xlfn.NORM.DIST(BY$2*(LN(Underlying/$H37)+(RiskFreeRate-DividendYield+0.5*BW37^2)*TimeToExpiration)/(BW37*TimeToExpiration^0.5), 0, 1, TRUE) - 
       $H37*EXP(-RiskFreeRate*TimeToExpiration)*_xlfn.NORM.DIST(BY$2*(LN(Underlying/$H37)+(RiskFreeRate-DividendYield-0.5*BW37^2)*TimeToExpiration)/(BW37*TimeToExpiration^0.5), 0, 1, TRUE)
)</f>
        <v>35.57284015</v>
      </c>
      <c r="BZ37" s="7">
        <f>BZ$2*(Underlying*EXP(-DividendYield*TimeToExpiration)*_xlfn.NORM.DIST(BZ$2*(LN(Underlying/$H37)+(RiskFreeRate-DividendYield+0.5*BX37^2)*TimeToExpiration)/(BX37*TimeToExpiration^0.5), 0, 1, TRUE) - 
       $H37*EXP(-RiskFreeRate*TimeToExpiration)*_xlfn.NORM.DIST(BZ$2*(LN(Underlying/$H37)+(RiskFreeRate-DividendYield-0.5*BX37^2)*TimeToExpiration)/(BX37*TimeToExpiration^0.5), 0, 1, TRUE)
)</f>
        <v>35.57685045</v>
      </c>
      <c r="CA37" s="40">
        <f t="shared" si="38"/>
        <v>0.3517131348</v>
      </c>
      <c r="CB37" s="8">
        <f>CB$2*(Underlying*EXP(-DividendYield*TimeToExpiration)*_xlfn.NORM.DIST(CB$2*(LN(Underlying/$H37)+(RiskFreeRate-DividendYield+0.5*CA37^2)*TimeToExpiration)/(CA37*TimeToExpiration^0.5), 0, 1, TRUE) - 
       $H37*EXP(-RiskFreeRate*TimeToExpiration)*_xlfn.NORM.DIST(CB$2*(LN(Underlying/$H37)+(RiskFreeRate-DividendYield-0.5*CA37^2)*TimeToExpiration)/(CA37*TimeToExpiration^0.5), 0, 1, TRUE)
)</f>
        <v>35.57483698</v>
      </c>
      <c r="CC37" s="40">
        <f t="shared" si="39"/>
        <v>0.3517131348</v>
      </c>
      <c r="CD37" s="40">
        <f t="shared" si="40"/>
        <v>0.3524453125</v>
      </c>
      <c r="CE37" s="7">
        <f>CE$2*(Underlying*EXP(-DividendYield*TimeToExpiration)*_xlfn.NORM.DIST(CE$2*(LN(Underlying/$H37)+(RiskFreeRate-DividendYield+0.5*CC37^2)*TimeToExpiration)/(CC37*TimeToExpiration^0.5), 0, 1, TRUE) - 
       $H37*EXP(-RiskFreeRate*TimeToExpiration)*_xlfn.NORM.DIST(CE$2*(LN(Underlying/$H37)+(RiskFreeRate-DividendYield-0.5*CC37^2)*TimeToExpiration)/(CC37*TimeToExpiration^0.5), 0, 1, TRUE)
)</f>
        <v>35.57483698</v>
      </c>
      <c r="CF37" s="7">
        <f>CF$2*(Underlying*EXP(-DividendYield*TimeToExpiration)*_xlfn.NORM.DIST(CF$2*(LN(Underlying/$H37)+(RiskFreeRate-DividendYield+0.5*CD37^2)*TimeToExpiration)/(CD37*TimeToExpiration^0.5), 0, 1, TRUE) - 
       $H37*EXP(-RiskFreeRate*TimeToExpiration)*_xlfn.NORM.DIST(CF$2*(LN(Underlying/$H37)+(RiskFreeRate-DividendYield-0.5*CD37^2)*TimeToExpiration)/(CD37*TimeToExpiration^0.5), 0, 1, TRUE)
)</f>
        <v>35.57685045</v>
      </c>
      <c r="CG37" s="40">
        <f t="shared" si="41"/>
        <v>0.3520792236</v>
      </c>
      <c r="CH37" s="8">
        <f>CH$2*(Underlying*EXP(-DividendYield*TimeToExpiration)*_xlfn.NORM.DIST(CH$2*(LN(Underlying/$H37)+(RiskFreeRate-DividendYield+0.5*CG37^2)*TimeToExpiration)/(CG37*TimeToExpiration^0.5), 0, 1, TRUE) - 
       $H37*EXP(-RiskFreeRate*TimeToExpiration)*_xlfn.NORM.DIST(CH$2*(LN(Underlying/$H37)+(RiskFreeRate-DividendYield-0.5*CG37^2)*TimeToExpiration)/(CG37*TimeToExpiration^0.5), 0, 1, TRUE)
)</f>
        <v>35.57584163</v>
      </c>
      <c r="CI37" s="40">
        <f t="shared" si="42"/>
        <v>0.3517131348</v>
      </c>
      <c r="CJ37" s="40">
        <f t="shared" si="43"/>
        <v>0.3520792236</v>
      </c>
      <c r="CK37" s="7">
        <f>CK$2*(Underlying*EXP(-DividendYield*TimeToExpiration)*_xlfn.NORM.DIST(CK$2*(LN(Underlying/$H37)+(RiskFreeRate-DividendYield+0.5*CI37^2)*TimeToExpiration)/(CI37*TimeToExpiration^0.5), 0, 1, TRUE) - 
       $H37*EXP(-RiskFreeRate*TimeToExpiration)*_xlfn.NORM.DIST(CK$2*(LN(Underlying/$H37)+(RiskFreeRate-DividendYield-0.5*CI37^2)*TimeToExpiration)/(CI37*TimeToExpiration^0.5), 0, 1, TRUE)
)</f>
        <v>35.57483698</v>
      </c>
      <c r="CL37" s="7">
        <f>CL$2*(Underlying*EXP(-DividendYield*TimeToExpiration)*_xlfn.NORM.DIST(CL$2*(LN(Underlying/$H37)+(RiskFreeRate-DividendYield+0.5*CJ37^2)*TimeToExpiration)/(CJ37*TimeToExpiration^0.5), 0, 1, TRUE) - 
       $H37*EXP(-RiskFreeRate*TimeToExpiration)*_xlfn.NORM.DIST(CL$2*(LN(Underlying/$H37)+(RiskFreeRate-DividendYield-0.5*CJ37^2)*TimeToExpiration)/(CJ37*TimeToExpiration^0.5), 0, 1, TRUE)
)</f>
        <v>35.57584163</v>
      </c>
      <c r="CM37" s="40">
        <f t="shared" si="44"/>
        <v>0.3518961792</v>
      </c>
      <c r="CN37" s="8">
        <f>CN$2*(Underlying*EXP(-DividendYield*TimeToExpiration)*_xlfn.NORM.DIST(CN$2*(LN(Underlying/$H37)+(RiskFreeRate-DividendYield+0.5*CM37^2)*TimeToExpiration)/(CM37*TimeToExpiration^0.5), 0, 1, TRUE) - 
       $H37*EXP(-RiskFreeRate*TimeToExpiration)*_xlfn.NORM.DIST(CN$2*(LN(Underlying/$H37)+(RiskFreeRate-DividendYield-0.5*CM37^2)*TimeToExpiration)/(CM37*TimeToExpiration^0.5), 0, 1, TRUE)
)</f>
        <v>35.57533879</v>
      </c>
      <c r="CO37" s="40">
        <f t="shared" si="45"/>
        <v>0.3517131348</v>
      </c>
      <c r="CP37" s="40">
        <f t="shared" si="46"/>
        <v>0.3518961792</v>
      </c>
      <c r="CQ37" s="7">
        <f>CQ$2*(Underlying*EXP(-DividendYield*TimeToExpiration)*_xlfn.NORM.DIST(CQ$2*(LN(Underlying/$H37)+(RiskFreeRate-DividendYield+0.5*CO37^2)*TimeToExpiration)/(CO37*TimeToExpiration^0.5), 0, 1, TRUE) - 
       $H37*EXP(-RiskFreeRate*TimeToExpiration)*_xlfn.NORM.DIST(CQ$2*(LN(Underlying/$H37)+(RiskFreeRate-DividendYield-0.5*CO37^2)*TimeToExpiration)/(CO37*TimeToExpiration^0.5), 0, 1, TRUE)
)</f>
        <v>35.57483698</v>
      </c>
      <c r="CR37" s="7">
        <f>CR$2*(Underlying*EXP(-DividendYield*TimeToExpiration)*_xlfn.NORM.DIST(CR$2*(LN(Underlying/$H37)+(RiskFreeRate-DividendYield+0.5*CP37^2)*TimeToExpiration)/(CP37*TimeToExpiration^0.5), 0, 1, TRUE) - 
       $H37*EXP(-RiskFreeRate*TimeToExpiration)*_xlfn.NORM.DIST(CR$2*(LN(Underlying/$H37)+(RiskFreeRate-DividendYield-0.5*CP37^2)*TimeToExpiration)/(CP37*TimeToExpiration^0.5), 0, 1, TRUE)
)</f>
        <v>35.57533879</v>
      </c>
      <c r="CS37" s="40">
        <f t="shared" si="47"/>
        <v>0.351804657</v>
      </c>
      <c r="CT37" s="8">
        <f>CT$2*(Underlying*EXP(-DividendYield*TimeToExpiration)*_xlfn.NORM.DIST(CT$2*(LN(Underlying/$H37)+(RiskFreeRate-DividendYield+0.5*CS37^2)*TimeToExpiration)/(CS37*TimeToExpiration^0.5), 0, 1, TRUE) - 
       $H37*EXP(-RiskFreeRate*TimeToExpiration)*_xlfn.NORM.DIST(CT$2*(LN(Underlying/$H37)+(RiskFreeRate-DividendYield-0.5*CS37^2)*TimeToExpiration)/(CS37*TimeToExpiration^0.5), 0, 1, TRUE)
)</f>
        <v>35.57508775</v>
      </c>
      <c r="CU37" s="40">
        <f t="shared" si="48"/>
        <v>0.3517131348</v>
      </c>
      <c r="CV37" s="40">
        <f t="shared" si="49"/>
        <v>0.351804657</v>
      </c>
      <c r="CW37" s="7">
        <f>CW$2*(Underlying*EXP(-DividendYield*TimeToExpiration)*_xlfn.NORM.DIST(CW$2*(LN(Underlying/$H37)+(RiskFreeRate-DividendYield+0.5*CU37^2)*TimeToExpiration)/(CU37*TimeToExpiration^0.5), 0, 1, TRUE) - 
       $H37*EXP(-RiskFreeRate*TimeToExpiration)*_xlfn.NORM.DIST(CW$2*(LN(Underlying/$H37)+(RiskFreeRate-DividendYield-0.5*CU37^2)*TimeToExpiration)/(CU37*TimeToExpiration^0.5), 0, 1, TRUE)
)</f>
        <v>35.57483698</v>
      </c>
      <c r="CX37" s="7">
        <f>CX$2*(Underlying*EXP(-DividendYield*TimeToExpiration)*_xlfn.NORM.DIST(CX$2*(LN(Underlying/$H37)+(RiskFreeRate-DividendYield+0.5*CV37^2)*TimeToExpiration)/(CV37*TimeToExpiration^0.5), 0, 1, TRUE) - 
       $H37*EXP(-RiskFreeRate*TimeToExpiration)*_xlfn.NORM.DIST(CX$2*(LN(Underlying/$H37)+(RiskFreeRate-DividendYield-0.5*CV37^2)*TimeToExpiration)/(CV37*TimeToExpiration^0.5), 0, 1, TRUE)
)</f>
        <v>35.57508775</v>
      </c>
      <c r="CY37" s="40">
        <f t="shared" si="50"/>
        <v>0.3517588959</v>
      </c>
      <c r="CZ37" s="8">
        <f>CZ$2*(Underlying*EXP(-DividendYield*TimeToExpiration)*_xlfn.NORM.DIST(CZ$2*(LN(Underlying/$H37)+(RiskFreeRate-DividendYield+0.5*CY37^2)*TimeToExpiration)/(CY37*TimeToExpiration^0.5), 0, 1, TRUE) - 
       $H37*EXP(-RiskFreeRate*TimeToExpiration)*_xlfn.NORM.DIST(CZ$2*(LN(Underlying/$H37)+(RiskFreeRate-DividendYield-0.5*CY37^2)*TimeToExpiration)/(CY37*TimeToExpiration^0.5), 0, 1, TRUE)
)</f>
        <v>35.57496234</v>
      </c>
      <c r="DA37" s="40">
        <f t="shared" si="51"/>
        <v>0.3517588959</v>
      </c>
      <c r="DB37" s="40">
        <f t="shared" si="52"/>
        <v>0.351804657</v>
      </c>
      <c r="DC37" s="7">
        <f>DC$2*(Underlying*EXP(-DividendYield*TimeToExpiration)*_xlfn.NORM.DIST(DC$2*(LN(Underlying/$H37)+(RiskFreeRate-DividendYield+0.5*DA37^2)*TimeToExpiration)/(DA37*TimeToExpiration^0.5), 0, 1, TRUE) - 
       $H37*EXP(-RiskFreeRate*TimeToExpiration)*_xlfn.NORM.DIST(DC$2*(LN(Underlying/$H37)+(RiskFreeRate-DividendYield-0.5*DA37^2)*TimeToExpiration)/(DA37*TimeToExpiration^0.5), 0, 1, TRUE)
)</f>
        <v>35.57496234</v>
      </c>
      <c r="DD37" s="7">
        <f>DD$2*(Underlying*EXP(-DividendYield*TimeToExpiration)*_xlfn.NORM.DIST(DD$2*(LN(Underlying/$H37)+(RiskFreeRate-DividendYield+0.5*DB37^2)*TimeToExpiration)/(DB37*TimeToExpiration^0.5), 0, 1, TRUE) - 
       $H37*EXP(-RiskFreeRate*TimeToExpiration)*_xlfn.NORM.DIST(DD$2*(LN(Underlying/$H37)+(RiskFreeRate-DividendYield-0.5*DB37^2)*TimeToExpiration)/(DB37*TimeToExpiration^0.5), 0, 1, TRUE)
)</f>
        <v>35.57508775</v>
      </c>
      <c r="DE37" s="40">
        <f t="shared" si="53"/>
        <v>0.3517817764</v>
      </c>
      <c r="DF37" s="8">
        <f>DF$2*(Underlying*EXP(-DividendYield*TimeToExpiration)*_xlfn.NORM.DIST(DF$2*(LN(Underlying/$H37)+(RiskFreeRate-DividendYield+0.5*DE37^2)*TimeToExpiration)/(DE37*TimeToExpiration^0.5), 0, 1, TRUE) - 
       $H37*EXP(-RiskFreeRate*TimeToExpiration)*_xlfn.NORM.DIST(DF$2*(LN(Underlying/$H37)+(RiskFreeRate-DividendYield-0.5*DE37^2)*TimeToExpiration)/(DE37*TimeToExpiration^0.5), 0, 1, TRUE)
)</f>
        <v>35.57502504</v>
      </c>
    </row>
    <row r="38">
      <c r="A38" s="20">
        <f>'Option Mkt Data'!A38</f>
        <v>377.5</v>
      </c>
      <c r="B38" s="35">
        <f t="shared" ref="B38:C38" si="85">DE38</f>
        <v>0.4400549545</v>
      </c>
      <c r="C38" s="7">
        <f t="shared" si="85"/>
        <v>38.32509101</v>
      </c>
      <c r="D38" s="7">
        <f t="shared" si="3"/>
        <v>0.0000864343135</v>
      </c>
      <c r="E38" s="9">
        <f t="shared" si="4"/>
        <v>0.000002255298191</v>
      </c>
      <c r="F38" s="36">
        <f>D38/'Option Mkt Data'!M38</f>
        <v>0.00006402585184</v>
      </c>
      <c r="G38" s="5">
        <f>'Option Mkt Data'!K38</f>
        <v>38.32500458</v>
      </c>
      <c r="H38" s="33">
        <f>'Option Mkt Data'!A38</f>
        <v>377.5</v>
      </c>
      <c r="I38" s="37">
        <f>MinSolverVola</f>
        <v>0.001</v>
      </c>
      <c r="J38" s="38">
        <f>MaxSolverVola</f>
        <v>3</v>
      </c>
      <c r="K38" s="39">
        <f>K$2*(Underlying*EXP(-DividendYield*TimeToExpiration)*_xlfn.NORM.DIST(K$2*(LN(Underlying/$H38)+(RiskFreeRate-DividendYield+0.5*I38^2)*TimeToExpiration)/(I38*TimeToExpiration^0.5), 0, 1, TRUE) - 
       $H38*EXP(-RiskFreeRate*TimeToExpiration)*_xlfn.NORM.DIST(K$2*(LN(Underlying/$H38)+(RiskFreeRate-DividendYield-0.5*I38^2)*TimeToExpiration)/(I38*TimeToExpiration^0.5), 0, 1, TRUE)
)</f>
        <v>37.92084435</v>
      </c>
      <c r="L38" s="7">
        <f>L$2*(Underlying*EXP(-DividendYield*TimeToExpiration)*_xlfn.NORM.DIST(L$2*(LN(Underlying/$H38)+(RiskFreeRate-DividendYield+0.5*J38^2)*TimeToExpiration)/(J38*TimeToExpiration^0.5), 0, 1, TRUE) - 
       $H38*EXP(-RiskFreeRate*TimeToExpiration)*_xlfn.NORM.DIST(L$2*(LN(Underlying/$H38)+(RiskFreeRate-DividendYield-0.5*J38^2)*TimeToExpiration)/(J38*TimeToExpiration^0.5), 0, 1, TRUE)
)</f>
        <v>80.97271659</v>
      </c>
      <c r="M38" s="40">
        <f t="shared" si="5"/>
        <v>1.5005</v>
      </c>
      <c r="N38" s="8">
        <f>N$2*(Underlying*EXP(-DividendYield*TimeToExpiration)*_xlfn.NORM.DIST(N$2*(LN(Underlying/$H38)+(RiskFreeRate-DividendYield+0.5*M38^2)*TimeToExpiration)/(M38*TimeToExpiration^0.5), 0, 1, TRUE) - 
       $H38*EXP(-RiskFreeRate*TimeToExpiration)*_xlfn.NORM.DIST(N$2*(LN(Underlying/$H38)+(RiskFreeRate-DividendYield-0.5*M38^2)*TimeToExpiration)/(M38*TimeToExpiration^0.5), 0, 1, TRUE)
)</f>
        <v>52.9060972</v>
      </c>
      <c r="O38" s="41">
        <f t="shared" si="6"/>
        <v>0.001</v>
      </c>
      <c r="P38" s="40">
        <f t="shared" si="7"/>
        <v>1.5005</v>
      </c>
      <c r="Q38" s="7">
        <f>Q$2*(Underlying*EXP(-DividendYield*TimeToExpiration)*_xlfn.NORM.DIST(Q$2*(LN(Underlying/$H38)+(RiskFreeRate-DividendYield+0.5*O38^2)*TimeToExpiration)/(O38*TimeToExpiration^0.5), 0, 1, TRUE) - 
       $H38*EXP(-RiskFreeRate*TimeToExpiration)*_xlfn.NORM.DIST(Q$2*(LN(Underlying/$H38)+(RiskFreeRate-DividendYield-0.5*O38^2)*TimeToExpiration)/(O38*TimeToExpiration^0.5), 0, 1, TRUE)
)</f>
        <v>37.92084435</v>
      </c>
      <c r="R38" s="7">
        <f>R$2*(Underlying*EXP(-DividendYield*TimeToExpiration)*_xlfn.NORM.DIST(R$2*(LN(Underlying/$H38)+(RiskFreeRate-DividendYield+0.5*P38^2)*TimeToExpiration)/(P38*TimeToExpiration^0.5), 0, 1, TRUE) - 
       $H38*EXP(-RiskFreeRate*TimeToExpiration)*_xlfn.NORM.DIST(R$2*(LN(Underlying/$H38)+(RiskFreeRate-DividendYield-0.5*P38^2)*TimeToExpiration)/(P38*TimeToExpiration^0.5), 0, 1, TRUE)
)</f>
        <v>52.9060972</v>
      </c>
      <c r="S38" s="40">
        <f t="shared" si="8"/>
        <v>0.75075</v>
      </c>
      <c r="T38" s="8">
        <f>T$2*(Underlying*EXP(-DividendYield*TimeToExpiration)*_xlfn.NORM.DIST(T$2*(LN(Underlying/$H38)+(RiskFreeRate-DividendYield+0.5*S38^2)*TimeToExpiration)/(S38*TimeToExpiration^0.5), 0, 1, TRUE) - 
       $H38*EXP(-RiskFreeRate*TimeToExpiration)*_xlfn.NORM.DIST(T$2*(LN(Underlying/$H38)+(RiskFreeRate-DividendYield-0.5*S38^2)*TimeToExpiration)/(S38*TimeToExpiration^0.5), 0, 1, TRUE)
)</f>
        <v>41.09377125</v>
      </c>
      <c r="U38" s="41">
        <f t="shared" si="9"/>
        <v>0.001</v>
      </c>
      <c r="V38" s="40">
        <f t="shared" si="10"/>
        <v>0.75075</v>
      </c>
      <c r="W38" s="7">
        <f>W$2*(Underlying*EXP(-DividendYield*TimeToExpiration)*_xlfn.NORM.DIST(W$2*(LN(Underlying/$H38)+(RiskFreeRate-DividendYield+0.5*U38^2)*TimeToExpiration)/(U38*TimeToExpiration^0.5), 0, 1, TRUE) - 
       $H38*EXP(-RiskFreeRate*TimeToExpiration)*_xlfn.NORM.DIST(W$2*(LN(Underlying/$H38)+(RiskFreeRate-DividendYield-0.5*U38^2)*TimeToExpiration)/(U38*TimeToExpiration^0.5), 0, 1, TRUE)
)</f>
        <v>37.92084435</v>
      </c>
      <c r="X38" s="7">
        <f>X$2*(Underlying*EXP(-DividendYield*TimeToExpiration)*_xlfn.NORM.DIST(X$2*(LN(Underlying/$H38)+(RiskFreeRate-DividendYield+0.5*V38^2)*TimeToExpiration)/(V38*TimeToExpiration^0.5), 0, 1, TRUE) - 
       $H38*EXP(-RiskFreeRate*TimeToExpiration)*_xlfn.NORM.DIST(X$2*(LN(Underlying/$H38)+(RiskFreeRate-DividendYield-0.5*V38^2)*TimeToExpiration)/(V38*TimeToExpiration^0.5), 0, 1, TRUE)
)</f>
        <v>41.09377125</v>
      </c>
      <c r="Y38" s="40">
        <f t="shared" si="11"/>
        <v>0.375875</v>
      </c>
      <c r="Z38" s="8">
        <f>Z$2*(Underlying*EXP(-DividendYield*TimeToExpiration)*_xlfn.NORM.DIST(Z$2*(LN(Underlying/$H38)+(RiskFreeRate-DividendYield+0.5*Y38^2)*TimeToExpiration)/(Y38*TimeToExpiration^0.5), 0, 1, TRUE) - 
       $H38*EXP(-RiskFreeRate*TimeToExpiration)*_xlfn.NORM.DIST(Z$2*(LN(Underlying/$H38)+(RiskFreeRate-DividendYield-0.5*Y38^2)*TimeToExpiration)/(Y38*TimeToExpiration^0.5), 0, 1, TRUE)
)</f>
        <v>38.08508771</v>
      </c>
      <c r="AA38" s="40">
        <f t="shared" si="12"/>
        <v>0.375875</v>
      </c>
      <c r="AB38" s="40">
        <f t="shared" si="13"/>
        <v>0.75075</v>
      </c>
      <c r="AC38" s="7">
        <f>AC$2*(Underlying*EXP(-DividendYield*TimeToExpiration)*_xlfn.NORM.DIST(AC$2*(LN(Underlying/$H38)+(RiskFreeRate-DividendYield+0.5*AA38^2)*TimeToExpiration)/(AA38*TimeToExpiration^0.5), 0, 1, TRUE) - 
       $H38*EXP(-RiskFreeRate*TimeToExpiration)*_xlfn.NORM.DIST(AC$2*(LN(Underlying/$H38)+(RiskFreeRate-DividendYield-0.5*AA38^2)*TimeToExpiration)/(AA38*TimeToExpiration^0.5), 0, 1, TRUE)
)</f>
        <v>38.08508771</v>
      </c>
      <c r="AD38" s="7">
        <f>AD$2*(Underlying*EXP(-DividendYield*TimeToExpiration)*_xlfn.NORM.DIST(AD$2*(LN(Underlying/$H38)+(RiskFreeRate-DividendYield+0.5*AB38^2)*TimeToExpiration)/(AB38*TimeToExpiration^0.5), 0, 1, TRUE) - 
       $H38*EXP(-RiskFreeRate*TimeToExpiration)*_xlfn.NORM.DIST(AD$2*(LN(Underlying/$H38)+(RiskFreeRate-DividendYield-0.5*AB38^2)*TimeToExpiration)/(AB38*TimeToExpiration^0.5), 0, 1, TRUE)
)</f>
        <v>41.09377125</v>
      </c>
      <c r="AE38" s="40">
        <f t="shared" si="14"/>
        <v>0.5633125</v>
      </c>
      <c r="AF38" s="8">
        <f>AF$2*(Underlying*EXP(-DividendYield*TimeToExpiration)*_xlfn.NORM.DIST(AF$2*(LN(Underlying/$H38)+(RiskFreeRate-DividendYield+0.5*AE38^2)*TimeToExpiration)/(AE38*TimeToExpiration^0.5), 0, 1, TRUE) - 
       $H38*EXP(-RiskFreeRate*TimeToExpiration)*_xlfn.NORM.DIST(AF$2*(LN(Underlying/$H38)+(RiskFreeRate-DividendYield-0.5*AE38^2)*TimeToExpiration)/(AE38*TimeToExpiration^0.5), 0, 1, TRUE)
)</f>
        <v>39.13651496</v>
      </c>
      <c r="AG38" s="40">
        <f t="shared" si="15"/>
        <v>0.375875</v>
      </c>
      <c r="AH38" s="40">
        <f t="shared" si="16"/>
        <v>0.5633125</v>
      </c>
      <c r="AI38" s="7">
        <f>AI$2*(Underlying*EXP(-DividendYield*TimeToExpiration)*_xlfn.NORM.DIST(AI$2*(LN(Underlying/$H38)+(RiskFreeRate-DividendYield+0.5*AG38^2)*TimeToExpiration)/(AG38*TimeToExpiration^0.5), 0, 1, TRUE) - 
       $H38*EXP(-RiskFreeRate*TimeToExpiration)*_xlfn.NORM.DIST(AI$2*(LN(Underlying/$H38)+(RiskFreeRate-DividendYield-0.5*AG38^2)*TimeToExpiration)/(AG38*TimeToExpiration^0.5), 0, 1, TRUE)
)</f>
        <v>38.08508771</v>
      </c>
      <c r="AJ38" s="7">
        <f>AJ$2*(Underlying*EXP(-DividendYield*TimeToExpiration)*_xlfn.NORM.DIST(AJ$2*(LN(Underlying/$H38)+(RiskFreeRate-DividendYield+0.5*AH38^2)*TimeToExpiration)/(AH38*TimeToExpiration^0.5), 0, 1, TRUE) - 
       $H38*EXP(-RiskFreeRate*TimeToExpiration)*_xlfn.NORM.DIST(AJ$2*(LN(Underlying/$H38)+(RiskFreeRate-DividendYield-0.5*AH38^2)*TimeToExpiration)/(AH38*TimeToExpiration^0.5), 0, 1, TRUE)
)</f>
        <v>39.13651496</v>
      </c>
      <c r="AK38" s="40">
        <f t="shared" si="17"/>
        <v>0.46959375</v>
      </c>
      <c r="AL38" s="8">
        <f>AL$2*(Underlying*EXP(-DividendYield*TimeToExpiration)*_xlfn.NORM.DIST(AL$2*(LN(Underlying/$H38)+(RiskFreeRate-DividendYield+0.5*AK38^2)*TimeToExpiration)/(AK38*TimeToExpiration^0.5), 0, 1, TRUE) - 
       $H38*EXP(-RiskFreeRate*TimeToExpiration)*_xlfn.NORM.DIST(AL$2*(LN(Underlying/$H38)+(RiskFreeRate-DividendYield-0.5*AK38^2)*TimeToExpiration)/(AK38*TimeToExpiration^0.5), 0, 1, TRUE)
)</f>
        <v>38.47844521</v>
      </c>
      <c r="AM38" s="40">
        <f t="shared" si="18"/>
        <v>0.375875</v>
      </c>
      <c r="AN38" s="40">
        <f t="shared" si="19"/>
        <v>0.46959375</v>
      </c>
      <c r="AO38" s="7">
        <f>AO$2*(Underlying*EXP(-DividendYield*TimeToExpiration)*_xlfn.NORM.DIST(AO$2*(LN(Underlying/$H38)+(RiskFreeRate-DividendYield+0.5*AM38^2)*TimeToExpiration)/(AM38*TimeToExpiration^0.5), 0, 1, TRUE) - 
       $H38*EXP(-RiskFreeRate*TimeToExpiration)*_xlfn.NORM.DIST(AO$2*(LN(Underlying/$H38)+(RiskFreeRate-DividendYield-0.5*AM38^2)*TimeToExpiration)/(AM38*TimeToExpiration^0.5), 0, 1, TRUE)
)</f>
        <v>38.08508771</v>
      </c>
      <c r="AP38" s="7">
        <f>AP$2*(Underlying*EXP(-DividendYield*TimeToExpiration)*_xlfn.NORM.DIST(AP$2*(LN(Underlying/$H38)+(RiskFreeRate-DividendYield+0.5*AN38^2)*TimeToExpiration)/(AN38*TimeToExpiration^0.5), 0, 1, TRUE) - 
       $H38*EXP(-RiskFreeRate*TimeToExpiration)*_xlfn.NORM.DIST(AP$2*(LN(Underlying/$H38)+(RiskFreeRate-DividendYield-0.5*AN38^2)*TimeToExpiration)/(AN38*TimeToExpiration^0.5), 0, 1, TRUE)
)</f>
        <v>38.47844521</v>
      </c>
      <c r="AQ38" s="40">
        <f t="shared" si="20"/>
        <v>0.422734375</v>
      </c>
      <c r="AR38" s="8">
        <f>AR$2*(Underlying*EXP(-DividendYield*TimeToExpiration)*_xlfn.NORM.DIST(AR$2*(LN(Underlying/$H38)+(RiskFreeRate-DividendYield+0.5*AQ38^2)*TimeToExpiration)/(AQ38*TimeToExpiration^0.5), 0, 1, TRUE) - 
       $H38*EXP(-RiskFreeRate*TimeToExpiration)*_xlfn.NORM.DIST(AR$2*(LN(Underlying/$H38)+(RiskFreeRate-DividendYield-0.5*AQ38^2)*TimeToExpiration)/(AQ38*TimeToExpiration^0.5), 0, 1, TRUE)
)</f>
        <v>38.2477885</v>
      </c>
      <c r="AS38" s="40">
        <f t="shared" si="21"/>
        <v>0.422734375</v>
      </c>
      <c r="AT38" s="40">
        <f t="shared" si="22"/>
        <v>0.46959375</v>
      </c>
      <c r="AU38" s="7">
        <f>AU$2*(Underlying*EXP(-DividendYield*TimeToExpiration)*_xlfn.NORM.DIST(AU$2*(LN(Underlying/$H38)+(RiskFreeRate-DividendYield+0.5*AS38^2)*TimeToExpiration)/(AS38*TimeToExpiration^0.5), 0, 1, TRUE) - 
       $H38*EXP(-RiskFreeRate*TimeToExpiration)*_xlfn.NORM.DIST(AU$2*(LN(Underlying/$H38)+(RiskFreeRate-DividendYield-0.5*AS38^2)*TimeToExpiration)/(AS38*TimeToExpiration^0.5), 0, 1, TRUE)
)</f>
        <v>38.2477885</v>
      </c>
      <c r="AV38" s="7">
        <f>AV$2*(Underlying*EXP(-DividendYield*TimeToExpiration)*_xlfn.NORM.DIST(AV$2*(LN(Underlying/$H38)+(RiskFreeRate-DividendYield+0.5*AT38^2)*TimeToExpiration)/(AT38*TimeToExpiration^0.5), 0, 1, TRUE) - 
       $H38*EXP(-RiskFreeRate*TimeToExpiration)*_xlfn.NORM.DIST(AV$2*(LN(Underlying/$H38)+(RiskFreeRate-DividendYield-0.5*AT38^2)*TimeToExpiration)/(AT38*TimeToExpiration^0.5), 0, 1, TRUE)
)</f>
        <v>38.47844521</v>
      </c>
      <c r="AW38" s="40">
        <f t="shared" si="23"/>
        <v>0.4461640625</v>
      </c>
      <c r="AX38" s="8">
        <f>AX$2*(Underlying*EXP(-DividendYield*TimeToExpiration)*_xlfn.NORM.DIST(AX$2*(LN(Underlying/$H38)+(RiskFreeRate-DividendYield+0.5*AW38^2)*TimeToExpiration)/(AW38*TimeToExpiration^0.5), 0, 1, TRUE) - 
       $H38*EXP(-RiskFreeRate*TimeToExpiration)*_xlfn.NORM.DIST(AX$2*(LN(Underlying/$H38)+(RiskFreeRate-DividendYield-0.5*AW38^2)*TimeToExpiration)/(AW38*TimeToExpiration^0.5), 0, 1, TRUE)
)</f>
        <v>38.3545879</v>
      </c>
      <c r="AY38" s="40">
        <f t="shared" si="24"/>
        <v>0.422734375</v>
      </c>
      <c r="AZ38" s="40">
        <f t="shared" si="25"/>
        <v>0.4461640625</v>
      </c>
      <c r="BA38" s="7">
        <f>BA$2*(Underlying*EXP(-DividendYield*TimeToExpiration)*_xlfn.NORM.DIST(BA$2*(LN(Underlying/$H38)+(RiskFreeRate-DividendYield+0.5*AY38^2)*TimeToExpiration)/(AY38*TimeToExpiration^0.5), 0, 1, TRUE) - 
       $H38*EXP(-RiskFreeRate*TimeToExpiration)*_xlfn.NORM.DIST(BA$2*(LN(Underlying/$H38)+(RiskFreeRate-DividendYield-0.5*AY38^2)*TimeToExpiration)/(AY38*TimeToExpiration^0.5), 0, 1, TRUE)
)</f>
        <v>38.2477885</v>
      </c>
      <c r="BB38" s="7">
        <f>BB$2*(Underlying*EXP(-DividendYield*TimeToExpiration)*_xlfn.NORM.DIST(BB$2*(LN(Underlying/$H38)+(RiskFreeRate-DividendYield+0.5*AZ38^2)*TimeToExpiration)/(AZ38*TimeToExpiration^0.5), 0, 1, TRUE) - 
       $H38*EXP(-RiskFreeRate*TimeToExpiration)*_xlfn.NORM.DIST(BB$2*(LN(Underlying/$H38)+(RiskFreeRate-DividendYield-0.5*AZ38^2)*TimeToExpiration)/(AZ38*TimeToExpiration^0.5), 0, 1, TRUE)
)</f>
        <v>38.3545879</v>
      </c>
      <c r="BC38" s="40">
        <f t="shared" si="26"/>
        <v>0.4344492188</v>
      </c>
      <c r="BD38" s="8">
        <f>BD$2*(Underlying*EXP(-DividendYield*TimeToExpiration)*_xlfn.NORM.DIST(BD$2*(LN(Underlying/$H38)+(RiskFreeRate-DividendYield+0.5*BC38^2)*TimeToExpiration)/(BC38*TimeToExpiration^0.5), 0, 1, TRUE) - 
       $H38*EXP(-RiskFreeRate*TimeToExpiration)*_xlfn.NORM.DIST(BD$2*(LN(Underlying/$H38)+(RiskFreeRate-DividendYield-0.5*BC38^2)*TimeToExpiration)/(BC38*TimeToExpiration^0.5), 0, 1, TRUE)
)</f>
        <v>38.29904806</v>
      </c>
      <c r="BE38" s="40">
        <f t="shared" si="27"/>
        <v>0.4344492188</v>
      </c>
      <c r="BF38" s="40">
        <f t="shared" si="28"/>
        <v>0.4461640625</v>
      </c>
      <c r="BG38" s="7">
        <f>BG$2*(Underlying*EXP(-DividendYield*TimeToExpiration)*_xlfn.NORM.DIST(BG$2*(LN(Underlying/$H38)+(RiskFreeRate-DividendYield+0.5*BE38^2)*TimeToExpiration)/(BE38*TimeToExpiration^0.5), 0, 1, TRUE) - 
       $H38*EXP(-RiskFreeRate*TimeToExpiration)*_xlfn.NORM.DIST(BG$2*(LN(Underlying/$H38)+(RiskFreeRate-DividendYield-0.5*BE38^2)*TimeToExpiration)/(BE38*TimeToExpiration^0.5), 0, 1, TRUE)
)</f>
        <v>38.29904806</v>
      </c>
      <c r="BH38" s="7">
        <f>BH$2*(Underlying*EXP(-DividendYield*TimeToExpiration)*_xlfn.NORM.DIST(BH$2*(LN(Underlying/$H38)+(RiskFreeRate-DividendYield+0.5*BF38^2)*TimeToExpiration)/(BF38*TimeToExpiration^0.5), 0, 1, TRUE) - 
       $H38*EXP(-RiskFreeRate*TimeToExpiration)*_xlfn.NORM.DIST(BH$2*(LN(Underlying/$H38)+(RiskFreeRate-DividendYield-0.5*BF38^2)*TimeToExpiration)/(BF38*TimeToExpiration^0.5), 0, 1, TRUE)
)</f>
        <v>38.3545879</v>
      </c>
      <c r="BI38" s="40">
        <f t="shared" si="29"/>
        <v>0.4403066406</v>
      </c>
      <c r="BJ38" s="8">
        <f>BJ$2*(Underlying*EXP(-DividendYield*TimeToExpiration)*_xlfn.NORM.DIST(BJ$2*(LN(Underlying/$H38)+(RiskFreeRate-DividendYield+0.5*BI38^2)*TimeToExpiration)/(BI38*TimeToExpiration^0.5), 0, 1, TRUE) - 
       $H38*EXP(-RiskFreeRate*TimeToExpiration)*_xlfn.NORM.DIST(BJ$2*(LN(Underlying/$H38)+(RiskFreeRate-DividendYield-0.5*BI38^2)*TimeToExpiration)/(BI38*TimeToExpiration^0.5), 0, 1, TRUE)
)</f>
        <v>38.32628328</v>
      </c>
      <c r="BK38" s="40">
        <f t="shared" si="30"/>
        <v>0.4344492188</v>
      </c>
      <c r="BL38" s="40">
        <f t="shared" si="31"/>
        <v>0.4403066406</v>
      </c>
      <c r="BM38" s="7">
        <f>BM$2*(Underlying*EXP(-DividendYield*TimeToExpiration)*_xlfn.NORM.DIST(BM$2*(LN(Underlying/$H38)+(RiskFreeRate-DividendYield+0.5*BK38^2)*TimeToExpiration)/(BK38*TimeToExpiration^0.5), 0, 1, TRUE) - 
       $H38*EXP(-RiskFreeRate*TimeToExpiration)*_xlfn.NORM.DIST(BM$2*(LN(Underlying/$H38)+(RiskFreeRate-DividendYield-0.5*BK38^2)*TimeToExpiration)/(BK38*TimeToExpiration^0.5), 0, 1, TRUE)
)</f>
        <v>38.29904806</v>
      </c>
      <c r="BN38" s="7">
        <f>BN$2*(Underlying*EXP(-DividendYield*TimeToExpiration)*_xlfn.NORM.DIST(BN$2*(LN(Underlying/$H38)+(RiskFreeRate-DividendYield+0.5*BL38^2)*TimeToExpiration)/(BL38*TimeToExpiration^0.5), 0, 1, TRUE) - 
       $H38*EXP(-RiskFreeRate*TimeToExpiration)*_xlfn.NORM.DIST(BN$2*(LN(Underlying/$H38)+(RiskFreeRate-DividendYield-0.5*BL38^2)*TimeToExpiration)/(BL38*TimeToExpiration^0.5), 0, 1, TRUE)
)</f>
        <v>38.32628328</v>
      </c>
      <c r="BO38" s="40">
        <f t="shared" si="32"/>
        <v>0.4373779297</v>
      </c>
      <c r="BP38" s="8">
        <f>BP$2*(Underlying*EXP(-DividendYield*TimeToExpiration)*_xlfn.NORM.DIST(BP$2*(LN(Underlying/$H38)+(RiskFreeRate-DividendYield+0.5*BO38^2)*TimeToExpiration)/(BO38*TimeToExpiration^0.5), 0, 1, TRUE) - 
       $H38*EXP(-RiskFreeRate*TimeToExpiration)*_xlfn.NORM.DIST(BP$2*(LN(Underlying/$H38)+(RiskFreeRate-DividendYield-0.5*BO38^2)*TimeToExpiration)/(BO38*TimeToExpiration^0.5), 0, 1, TRUE)
)</f>
        <v>38.31253191</v>
      </c>
      <c r="BQ38" s="40">
        <f t="shared" si="33"/>
        <v>0.4373779297</v>
      </c>
      <c r="BR38" s="40">
        <f t="shared" si="34"/>
        <v>0.4403066406</v>
      </c>
      <c r="BS38" s="7">
        <f>BS$2*(Underlying*EXP(-DividendYield*TimeToExpiration)*_xlfn.NORM.DIST(BS$2*(LN(Underlying/$H38)+(RiskFreeRate-DividendYield+0.5*BQ38^2)*TimeToExpiration)/(BQ38*TimeToExpiration^0.5), 0, 1, TRUE) - 
       $H38*EXP(-RiskFreeRate*TimeToExpiration)*_xlfn.NORM.DIST(BS$2*(LN(Underlying/$H38)+(RiskFreeRate-DividendYield-0.5*BQ38^2)*TimeToExpiration)/(BQ38*TimeToExpiration^0.5), 0, 1, TRUE)
)</f>
        <v>38.31253191</v>
      </c>
      <c r="BT38" s="7">
        <f>BT$2*(Underlying*EXP(-DividendYield*TimeToExpiration)*_xlfn.NORM.DIST(BT$2*(LN(Underlying/$H38)+(RiskFreeRate-DividendYield+0.5*BR38^2)*TimeToExpiration)/(BR38*TimeToExpiration^0.5), 0, 1, TRUE) - 
       $H38*EXP(-RiskFreeRate*TimeToExpiration)*_xlfn.NORM.DIST(BT$2*(LN(Underlying/$H38)+(RiskFreeRate-DividendYield-0.5*BR38^2)*TimeToExpiration)/(BR38*TimeToExpiration^0.5), 0, 1, TRUE)
)</f>
        <v>38.32628328</v>
      </c>
      <c r="BU38" s="40">
        <f t="shared" si="35"/>
        <v>0.4388422852</v>
      </c>
      <c r="BV38" s="8">
        <f>BV$2*(Underlying*EXP(-DividendYield*TimeToExpiration)*_xlfn.NORM.DIST(BV$2*(LN(Underlying/$H38)+(RiskFreeRate-DividendYield+0.5*BU38^2)*TimeToExpiration)/(BU38*TimeToExpiration^0.5), 0, 1, TRUE) - 
       $H38*EXP(-RiskFreeRate*TimeToExpiration)*_xlfn.NORM.DIST(BV$2*(LN(Underlying/$H38)+(RiskFreeRate-DividendYield-0.5*BU38^2)*TimeToExpiration)/(BU38*TimeToExpiration^0.5), 0, 1, TRUE)
)</f>
        <v>38.31937416</v>
      </c>
      <c r="BW38" s="40">
        <f t="shared" si="36"/>
        <v>0.4388422852</v>
      </c>
      <c r="BX38" s="40">
        <f t="shared" si="37"/>
        <v>0.4403066406</v>
      </c>
      <c r="BY38" s="7">
        <f>BY$2*(Underlying*EXP(-DividendYield*TimeToExpiration)*_xlfn.NORM.DIST(BY$2*(LN(Underlying/$H38)+(RiskFreeRate-DividendYield+0.5*BW38^2)*TimeToExpiration)/(BW38*TimeToExpiration^0.5), 0, 1, TRUE) - 
       $H38*EXP(-RiskFreeRate*TimeToExpiration)*_xlfn.NORM.DIST(BY$2*(LN(Underlying/$H38)+(RiskFreeRate-DividendYield-0.5*BW38^2)*TimeToExpiration)/(BW38*TimeToExpiration^0.5), 0, 1, TRUE)
)</f>
        <v>38.31937416</v>
      </c>
      <c r="BZ38" s="7">
        <f>BZ$2*(Underlying*EXP(-DividendYield*TimeToExpiration)*_xlfn.NORM.DIST(BZ$2*(LN(Underlying/$H38)+(RiskFreeRate-DividendYield+0.5*BX38^2)*TimeToExpiration)/(BX38*TimeToExpiration^0.5), 0, 1, TRUE) - 
       $H38*EXP(-RiskFreeRate*TimeToExpiration)*_xlfn.NORM.DIST(BZ$2*(LN(Underlying/$H38)+(RiskFreeRate-DividendYield-0.5*BX38^2)*TimeToExpiration)/(BX38*TimeToExpiration^0.5), 0, 1, TRUE)
)</f>
        <v>38.32628328</v>
      </c>
      <c r="CA38" s="40">
        <f t="shared" si="38"/>
        <v>0.4395744629</v>
      </c>
      <c r="CB38" s="8">
        <f>CB$2*(Underlying*EXP(-DividendYield*TimeToExpiration)*_xlfn.NORM.DIST(CB$2*(LN(Underlying/$H38)+(RiskFreeRate-DividendYield+0.5*CA38^2)*TimeToExpiration)/(CA38*TimeToExpiration^0.5), 0, 1, TRUE) - 
       $H38*EXP(-RiskFreeRate*TimeToExpiration)*_xlfn.NORM.DIST(CB$2*(LN(Underlying/$H38)+(RiskFreeRate-DividendYield-0.5*CA38^2)*TimeToExpiration)/(CA38*TimeToExpiration^0.5), 0, 1, TRUE)
)</f>
        <v>38.32282036</v>
      </c>
      <c r="CC38" s="40">
        <f t="shared" si="39"/>
        <v>0.4395744629</v>
      </c>
      <c r="CD38" s="40">
        <f t="shared" si="40"/>
        <v>0.4403066406</v>
      </c>
      <c r="CE38" s="7">
        <f>CE$2*(Underlying*EXP(-DividendYield*TimeToExpiration)*_xlfn.NORM.DIST(CE$2*(LN(Underlying/$H38)+(RiskFreeRate-DividendYield+0.5*CC38^2)*TimeToExpiration)/(CC38*TimeToExpiration^0.5), 0, 1, TRUE) - 
       $H38*EXP(-RiskFreeRate*TimeToExpiration)*_xlfn.NORM.DIST(CE$2*(LN(Underlying/$H38)+(RiskFreeRate-DividendYield-0.5*CC38^2)*TimeToExpiration)/(CC38*TimeToExpiration^0.5), 0, 1, TRUE)
)</f>
        <v>38.32282036</v>
      </c>
      <c r="CF38" s="7">
        <f>CF$2*(Underlying*EXP(-DividendYield*TimeToExpiration)*_xlfn.NORM.DIST(CF$2*(LN(Underlying/$H38)+(RiskFreeRate-DividendYield+0.5*CD38^2)*TimeToExpiration)/(CD38*TimeToExpiration^0.5), 0, 1, TRUE) - 
       $H38*EXP(-RiskFreeRate*TimeToExpiration)*_xlfn.NORM.DIST(CF$2*(LN(Underlying/$H38)+(RiskFreeRate-DividendYield-0.5*CD38^2)*TimeToExpiration)/(CD38*TimeToExpiration^0.5), 0, 1, TRUE)
)</f>
        <v>38.32628328</v>
      </c>
      <c r="CG38" s="40">
        <f t="shared" si="41"/>
        <v>0.4399405518</v>
      </c>
      <c r="CH38" s="8">
        <f>CH$2*(Underlying*EXP(-DividendYield*TimeToExpiration)*_xlfn.NORM.DIST(CH$2*(LN(Underlying/$H38)+(RiskFreeRate-DividendYield+0.5*CG38^2)*TimeToExpiration)/(CG38*TimeToExpiration^0.5), 0, 1, TRUE) - 
       $H38*EXP(-RiskFreeRate*TimeToExpiration)*_xlfn.NORM.DIST(CH$2*(LN(Underlying/$H38)+(RiskFreeRate-DividendYield-0.5*CG38^2)*TimeToExpiration)/(CG38*TimeToExpiration^0.5), 0, 1, TRUE)
)</f>
        <v>38.32454973</v>
      </c>
      <c r="CI38" s="40">
        <f t="shared" si="42"/>
        <v>0.4399405518</v>
      </c>
      <c r="CJ38" s="40">
        <f t="shared" si="43"/>
        <v>0.4403066406</v>
      </c>
      <c r="CK38" s="7">
        <f>CK$2*(Underlying*EXP(-DividendYield*TimeToExpiration)*_xlfn.NORM.DIST(CK$2*(LN(Underlying/$H38)+(RiskFreeRate-DividendYield+0.5*CI38^2)*TimeToExpiration)/(CI38*TimeToExpiration^0.5), 0, 1, TRUE) - 
       $H38*EXP(-RiskFreeRate*TimeToExpiration)*_xlfn.NORM.DIST(CK$2*(LN(Underlying/$H38)+(RiskFreeRate-DividendYield-0.5*CI38^2)*TimeToExpiration)/(CI38*TimeToExpiration^0.5), 0, 1, TRUE)
)</f>
        <v>38.32454973</v>
      </c>
      <c r="CL38" s="7">
        <f>CL$2*(Underlying*EXP(-DividendYield*TimeToExpiration)*_xlfn.NORM.DIST(CL$2*(LN(Underlying/$H38)+(RiskFreeRate-DividendYield+0.5*CJ38^2)*TimeToExpiration)/(CJ38*TimeToExpiration^0.5), 0, 1, TRUE) - 
       $H38*EXP(-RiskFreeRate*TimeToExpiration)*_xlfn.NORM.DIST(CL$2*(LN(Underlying/$H38)+(RiskFreeRate-DividendYield-0.5*CJ38^2)*TimeToExpiration)/(CJ38*TimeToExpiration^0.5), 0, 1, TRUE)
)</f>
        <v>38.32628328</v>
      </c>
      <c r="CM38" s="40">
        <f t="shared" si="44"/>
        <v>0.4401235962</v>
      </c>
      <c r="CN38" s="8">
        <f>CN$2*(Underlying*EXP(-DividendYield*TimeToExpiration)*_xlfn.NORM.DIST(CN$2*(LN(Underlying/$H38)+(RiskFreeRate-DividendYield+0.5*CM38^2)*TimeToExpiration)/(CM38*TimeToExpiration^0.5), 0, 1, TRUE) - 
       $H38*EXP(-RiskFreeRate*TimeToExpiration)*_xlfn.NORM.DIST(CN$2*(LN(Underlying/$H38)+(RiskFreeRate-DividendYield-0.5*CM38^2)*TimeToExpiration)/(CM38*TimeToExpiration^0.5), 0, 1, TRUE)
)</f>
        <v>38.32541598</v>
      </c>
      <c r="CO38" s="40">
        <f t="shared" si="45"/>
        <v>0.4399405518</v>
      </c>
      <c r="CP38" s="40">
        <f t="shared" si="46"/>
        <v>0.4401235962</v>
      </c>
      <c r="CQ38" s="7">
        <f>CQ$2*(Underlying*EXP(-DividendYield*TimeToExpiration)*_xlfn.NORM.DIST(CQ$2*(LN(Underlying/$H38)+(RiskFreeRate-DividendYield+0.5*CO38^2)*TimeToExpiration)/(CO38*TimeToExpiration^0.5), 0, 1, TRUE) - 
       $H38*EXP(-RiskFreeRate*TimeToExpiration)*_xlfn.NORM.DIST(CQ$2*(LN(Underlying/$H38)+(RiskFreeRate-DividendYield-0.5*CO38^2)*TimeToExpiration)/(CO38*TimeToExpiration^0.5), 0, 1, TRUE)
)</f>
        <v>38.32454973</v>
      </c>
      <c r="CR38" s="7">
        <f>CR$2*(Underlying*EXP(-DividendYield*TimeToExpiration)*_xlfn.NORM.DIST(CR$2*(LN(Underlying/$H38)+(RiskFreeRate-DividendYield+0.5*CP38^2)*TimeToExpiration)/(CP38*TimeToExpiration^0.5), 0, 1, TRUE) - 
       $H38*EXP(-RiskFreeRate*TimeToExpiration)*_xlfn.NORM.DIST(CR$2*(LN(Underlying/$H38)+(RiskFreeRate-DividendYield-0.5*CP38^2)*TimeToExpiration)/(CP38*TimeToExpiration^0.5), 0, 1, TRUE)
)</f>
        <v>38.32541598</v>
      </c>
      <c r="CS38" s="40">
        <f t="shared" si="47"/>
        <v>0.440032074</v>
      </c>
      <c r="CT38" s="8">
        <f>CT$2*(Underlying*EXP(-DividendYield*TimeToExpiration)*_xlfn.NORM.DIST(CT$2*(LN(Underlying/$H38)+(RiskFreeRate-DividendYield+0.5*CS38^2)*TimeToExpiration)/(CS38*TimeToExpiration^0.5), 0, 1, TRUE) - 
       $H38*EXP(-RiskFreeRate*TimeToExpiration)*_xlfn.NORM.DIST(CT$2*(LN(Underlying/$H38)+(RiskFreeRate-DividendYield-0.5*CS38^2)*TimeToExpiration)/(CS38*TimeToExpiration^0.5), 0, 1, TRUE)
)</f>
        <v>38.32498272</v>
      </c>
      <c r="CU38" s="40">
        <f t="shared" si="48"/>
        <v>0.440032074</v>
      </c>
      <c r="CV38" s="40">
        <f t="shared" si="49"/>
        <v>0.4401235962</v>
      </c>
      <c r="CW38" s="7">
        <f>CW$2*(Underlying*EXP(-DividendYield*TimeToExpiration)*_xlfn.NORM.DIST(CW$2*(LN(Underlying/$H38)+(RiskFreeRate-DividendYield+0.5*CU38^2)*TimeToExpiration)/(CU38*TimeToExpiration^0.5), 0, 1, TRUE) - 
       $H38*EXP(-RiskFreeRate*TimeToExpiration)*_xlfn.NORM.DIST(CW$2*(LN(Underlying/$H38)+(RiskFreeRate-DividendYield-0.5*CU38^2)*TimeToExpiration)/(CU38*TimeToExpiration^0.5), 0, 1, TRUE)
)</f>
        <v>38.32498272</v>
      </c>
      <c r="CX38" s="7">
        <f>CX$2*(Underlying*EXP(-DividendYield*TimeToExpiration)*_xlfn.NORM.DIST(CX$2*(LN(Underlying/$H38)+(RiskFreeRate-DividendYield+0.5*CV38^2)*TimeToExpiration)/(CV38*TimeToExpiration^0.5), 0, 1, TRUE) - 
       $H38*EXP(-RiskFreeRate*TimeToExpiration)*_xlfn.NORM.DIST(CX$2*(LN(Underlying/$H38)+(RiskFreeRate-DividendYield-0.5*CV38^2)*TimeToExpiration)/(CV38*TimeToExpiration^0.5), 0, 1, TRUE)
)</f>
        <v>38.32541598</v>
      </c>
      <c r="CY38" s="40">
        <f t="shared" si="50"/>
        <v>0.4400778351</v>
      </c>
      <c r="CZ38" s="8">
        <f>CZ$2*(Underlying*EXP(-DividendYield*TimeToExpiration)*_xlfn.NORM.DIST(CZ$2*(LN(Underlying/$H38)+(RiskFreeRate-DividendYield+0.5*CY38^2)*TimeToExpiration)/(CY38*TimeToExpiration^0.5), 0, 1, TRUE) - 
       $H38*EXP(-RiskFreeRate*TimeToExpiration)*_xlfn.NORM.DIST(CZ$2*(LN(Underlying/$H38)+(RiskFreeRate-DividendYield-0.5*CY38^2)*TimeToExpiration)/(CY38*TimeToExpiration^0.5), 0, 1, TRUE)
)</f>
        <v>38.32519932</v>
      </c>
      <c r="DA38" s="40">
        <f t="shared" si="51"/>
        <v>0.440032074</v>
      </c>
      <c r="DB38" s="40">
        <f t="shared" si="52"/>
        <v>0.4400778351</v>
      </c>
      <c r="DC38" s="7">
        <f>DC$2*(Underlying*EXP(-DividendYield*TimeToExpiration)*_xlfn.NORM.DIST(DC$2*(LN(Underlying/$H38)+(RiskFreeRate-DividendYield+0.5*DA38^2)*TimeToExpiration)/(DA38*TimeToExpiration^0.5), 0, 1, TRUE) - 
       $H38*EXP(-RiskFreeRate*TimeToExpiration)*_xlfn.NORM.DIST(DC$2*(LN(Underlying/$H38)+(RiskFreeRate-DividendYield-0.5*DA38^2)*TimeToExpiration)/(DA38*TimeToExpiration^0.5), 0, 1, TRUE)
)</f>
        <v>38.32498272</v>
      </c>
      <c r="DD38" s="7">
        <f>DD$2*(Underlying*EXP(-DividendYield*TimeToExpiration)*_xlfn.NORM.DIST(DD$2*(LN(Underlying/$H38)+(RiskFreeRate-DividendYield+0.5*DB38^2)*TimeToExpiration)/(DB38*TimeToExpiration^0.5), 0, 1, TRUE) - 
       $H38*EXP(-RiskFreeRate*TimeToExpiration)*_xlfn.NORM.DIST(DD$2*(LN(Underlying/$H38)+(RiskFreeRate-DividendYield-0.5*DB38^2)*TimeToExpiration)/(DB38*TimeToExpiration^0.5), 0, 1, TRUE)
)</f>
        <v>38.32519932</v>
      </c>
      <c r="DE38" s="40">
        <f t="shared" si="53"/>
        <v>0.4400549545</v>
      </c>
      <c r="DF38" s="8">
        <f>DF$2*(Underlying*EXP(-DividendYield*TimeToExpiration)*_xlfn.NORM.DIST(DF$2*(LN(Underlying/$H38)+(RiskFreeRate-DividendYield+0.5*DE38^2)*TimeToExpiration)/(DE38*TimeToExpiration^0.5), 0, 1, TRUE) - 
       $H38*EXP(-RiskFreeRate*TimeToExpiration)*_xlfn.NORM.DIST(DF$2*(LN(Underlying/$H38)+(RiskFreeRate-DividendYield-0.5*DE38^2)*TimeToExpiration)/(DE38*TimeToExpiration^0.5), 0, 1, TRUE)
)</f>
        <v>38.32509101</v>
      </c>
    </row>
    <row r="39">
      <c r="A39" s="20">
        <f>'Option Mkt Data'!A39</f>
        <v>380</v>
      </c>
      <c r="B39" s="35">
        <f t="shared" ref="B39:C39" si="86">DE39</f>
        <v>0.4251825943</v>
      </c>
      <c r="C39" s="7">
        <f t="shared" si="86"/>
        <v>40.6749903</v>
      </c>
      <c r="D39" s="7">
        <f t="shared" si="3"/>
        <v>0.00001274584078</v>
      </c>
      <c r="E39" s="9">
        <f t="shared" si="4"/>
        <v>0.000000313358078</v>
      </c>
      <c r="F39" s="36">
        <f>D39/'Option Mkt Data'!M39</f>
        <v>0.00001960916984</v>
      </c>
      <c r="G39" s="5">
        <f>'Option Mkt Data'!K39</f>
        <v>40.67500305</v>
      </c>
      <c r="H39" s="33">
        <f>'Option Mkt Data'!A39</f>
        <v>380</v>
      </c>
      <c r="I39" s="37">
        <f>MinSolverVola</f>
        <v>0.001</v>
      </c>
      <c r="J39" s="38">
        <f>MaxSolverVola</f>
        <v>3</v>
      </c>
      <c r="K39" s="39">
        <f>K$2*(Underlying*EXP(-DividendYield*TimeToExpiration)*_xlfn.NORM.DIST(K$2*(LN(Underlying/$H39)+(RiskFreeRate-DividendYield+0.5*I39^2)*TimeToExpiration)/(I39*TimeToExpiration^0.5), 0, 1, TRUE) - 
       $H39*EXP(-RiskFreeRate*TimeToExpiration)*_xlfn.NORM.DIST(K$2*(LN(Underlying/$H39)+(RiskFreeRate-DividendYield-0.5*I39^2)*TimeToExpiration)/(I39*TimeToExpiration^0.5), 0, 1, TRUE)
)</f>
        <v>40.41866451</v>
      </c>
      <c r="L39" s="7">
        <f>L$2*(Underlying*EXP(-DividendYield*TimeToExpiration)*_xlfn.NORM.DIST(L$2*(LN(Underlying/$H39)+(RiskFreeRate-DividendYield+0.5*J39^2)*TimeToExpiration)/(J39*TimeToExpiration^0.5), 0, 1, TRUE) - 
       $H39*EXP(-RiskFreeRate*TimeToExpiration)*_xlfn.NORM.DIST(L$2*(LN(Underlying/$H39)+(RiskFreeRate-DividendYield-0.5*J39^2)*TimeToExpiration)/(J39*TimeToExpiration^0.5), 0, 1, TRUE)
)</f>
        <v>82.67299372</v>
      </c>
      <c r="M39" s="40">
        <f t="shared" si="5"/>
        <v>1.5005</v>
      </c>
      <c r="N39" s="8">
        <f>N$2*(Underlying*EXP(-DividendYield*TimeToExpiration)*_xlfn.NORM.DIST(N$2*(LN(Underlying/$H39)+(RiskFreeRate-DividendYield+0.5*M39^2)*TimeToExpiration)/(M39*TimeToExpiration^0.5), 0, 1, TRUE) - 
       $H39*EXP(-RiskFreeRate*TimeToExpiration)*_xlfn.NORM.DIST(N$2*(LN(Underlying/$H39)+(RiskFreeRate-DividendYield-0.5*M39^2)*TimeToExpiration)/(M39*TimeToExpiration^0.5), 0, 1, TRUE)
)</f>
        <v>54.73625397</v>
      </c>
      <c r="O39" s="41">
        <f t="shared" si="6"/>
        <v>0.001</v>
      </c>
      <c r="P39" s="40">
        <f t="shared" si="7"/>
        <v>1.5005</v>
      </c>
      <c r="Q39" s="7">
        <f>Q$2*(Underlying*EXP(-DividendYield*TimeToExpiration)*_xlfn.NORM.DIST(Q$2*(LN(Underlying/$H39)+(RiskFreeRate-DividendYield+0.5*O39^2)*TimeToExpiration)/(O39*TimeToExpiration^0.5), 0, 1, TRUE) - 
       $H39*EXP(-RiskFreeRate*TimeToExpiration)*_xlfn.NORM.DIST(Q$2*(LN(Underlying/$H39)+(RiskFreeRate-DividendYield-0.5*O39^2)*TimeToExpiration)/(O39*TimeToExpiration^0.5), 0, 1, TRUE)
)</f>
        <v>40.41866451</v>
      </c>
      <c r="R39" s="7">
        <f>R$2*(Underlying*EXP(-DividendYield*TimeToExpiration)*_xlfn.NORM.DIST(R$2*(LN(Underlying/$H39)+(RiskFreeRate-DividendYield+0.5*P39^2)*TimeToExpiration)/(P39*TimeToExpiration^0.5), 0, 1, TRUE) - 
       $H39*EXP(-RiskFreeRate*TimeToExpiration)*_xlfn.NORM.DIST(R$2*(LN(Underlying/$H39)+(RiskFreeRate-DividendYield-0.5*P39^2)*TimeToExpiration)/(P39*TimeToExpiration^0.5), 0, 1, TRUE)
)</f>
        <v>54.73625397</v>
      </c>
      <c r="S39" s="40">
        <f t="shared" si="8"/>
        <v>0.75075</v>
      </c>
      <c r="T39" s="8">
        <f>T$2*(Underlying*EXP(-DividendYield*TimeToExpiration)*_xlfn.NORM.DIST(T$2*(LN(Underlying/$H39)+(RiskFreeRate-DividendYield+0.5*S39^2)*TimeToExpiration)/(S39*TimeToExpiration^0.5), 0, 1, TRUE) - 
       $H39*EXP(-RiskFreeRate*TimeToExpiration)*_xlfn.NORM.DIST(T$2*(LN(Underlying/$H39)+(RiskFreeRate-DividendYield-0.5*S39^2)*TimeToExpiration)/(S39*TimeToExpiration^0.5), 0, 1, TRUE)
)</f>
        <v>43.24287968</v>
      </c>
      <c r="U39" s="41">
        <f t="shared" si="9"/>
        <v>0.001</v>
      </c>
      <c r="V39" s="40">
        <f t="shared" si="10"/>
        <v>0.75075</v>
      </c>
      <c r="W39" s="7">
        <f>W$2*(Underlying*EXP(-DividendYield*TimeToExpiration)*_xlfn.NORM.DIST(W$2*(LN(Underlying/$H39)+(RiskFreeRate-DividendYield+0.5*U39^2)*TimeToExpiration)/(U39*TimeToExpiration^0.5), 0, 1, TRUE) - 
       $H39*EXP(-RiskFreeRate*TimeToExpiration)*_xlfn.NORM.DIST(W$2*(LN(Underlying/$H39)+(RiskFreeRate-DividendYield-0.5*U39^2)*TimeToExpiration)/(U39*TimeToExpiration^0.5), 0, 1, TRUE)
)</f>
        <v>40.41866451</v>
      </c>
      <c r="X39" s="7">
        <f>X$2*(Underlying*EXP(-DividendYield*TimeToExpiration)*_xlfn.NORM.DIST(X$2*(LN(Underlying/$H39)+(RiskFreeRate-DividendYield+0.5*V39^2)*TimeToExpiration)/(V39*TimeToExpiration^0.5), 0, 1, TRUE) - 
       $H39*EXP(-RiskFreeRate*TimeToExpiration)*_xlfn.NORM.DIST(X$2*(LN(Underlying/$H39)+(RiskFreeRate-DividendYield-0.5*V39^2)*TimeToExpiration)/(V39*TimeToExpiration^0.5), 0, 1, TRUE)
)</f>
        <v>43.24287968</v>
      </c>
      <c r="Y39" s="40">
        <f t="shared" si="11"/>
        <v>0.375875</v>
      </c>
      <c r="Z39" s="8">
        <f>Z$2*(Underlying*EXP(-DividendYield*TimeToExpiration)*_xlfn.NORM.DIST(Z$2*(LN(Underlying/$H39)+(RiskFreeRate-DividendYield+0.5*Y39^2)*TimeToExpiration)/(Y39*TimeToExpiration^0.5), 0, 1, TRUE) - 
       $H39*EXP(-RiskFreeRate*TimeToExpiration)*_xlfn.NORM.DIST(Z$2*(LN(Underlying/$H39)+(RiskFreeRate-DividendYield-0.5*Y39^2)*TimeToExpiration)/(Y39*TimeToExpiration^0.5), 0, 1, TRUE)
)</f>
        <v>40.53614061</v>
      </c>
      <c r="AA39" s="40">
        <f t="shared" si="12"/>
        <v>0.375875</v>
      </c>
      <c r="AB39" s="40">
        <f t="shared" si="13"/>
        <v>0.75075</v>
      </c>
      <c r="AC39" s="7">
        <f>AC$2*(Underlying*EXP(-DividendYield*TimeToExpiration)*_xlfn.NORM.DIST(AC$2*(LN(Underlying/$H39)+(RiskFreeRate-DividendYield+0.5*AA39^2)*TimeToExpiration)/(AA39*TimeToExpiration^0.5), 0, 1, TRUE) - 
       $H39*EXP(-RiskFreeRate*TimeToExpiration)*_xlfn.NORM.DIST(AC$2*(LN(Underlying/$H39)+(RiskFreeRate-DividendYield-0.5*AA39^2)*TimeToExpiration)/(AA39*TimeToExpiration^0.5), 0, 1, TRUE)
)</f>
        <v>40.53614061</v>
      </c>
      <c r="AD39" s="7">
        <f>AD$2*(Underlying*EXP(-DividendYield*TimeToExpiration)*_xlfn.NORM.DIST(AD$2*(LN(Underlying/$H39)+(RiskFreeRate-DividendYield+0.5*AB39^2)*TimeToExpiration)/(AB39*TimeToExpiration^0.5), 0, 1, TRUE) - 
       $H39*EXP(-RiskFreeRate*TimeToExpiration)*_xlfn.NORM.DIST(AD$2*(LN(Underlying/$H39)+(RiskFreeRate-DividendYield-0.5*AB39^2)*TimeToExpiration)/(AB39*TimeToExpiration^0.5), 0, 1, TRUE)
)</f>
        <v>43.24287968</v>
      </c>
      <c r="AE39" s="40">
        <f t="shared" si="14"/>
        <v>0.5633125</v>
      </c>
      <c r="AF39" s="8">
        <f>AF$2*(Underlying*EXP(-DividendYield*TimeToExpiration)*_xlfn.NORM.DIST(AF$2*(LN(Underlying/$H39)+(RiskFreeRate-DividendYield+0.5*AE39^2)*TimeToExpiration)/(AE39*TimeToExpiration^0.5), 0, 1, TRUE) - 
       $H39*EXP(-RiskFreeRate*TimeToExpiration)*_xlfn.NORM.DIST(AF$2*(LN(Underlying/$H39)+(RiskFreeRate-DividendYield-0.5*AE39^2)*TimeToExpiration)/(AE39*TimeToExpiration^0.5), 0, 1, TRUE)
)</f>
        <v>41.43672311</v>
      </c>
      <c r="AG39" s="40">
        <f t="shared" si="15"/>
        <v>0.375875</v>
      </c>
      <c r="AH39" s="40">
        <f t="shared" si="16"/>
        <v>0.5633125</v>
      </c>
      <c r="AI39" s="7">
        <f>AI$2*(Underlying*EXP(-DividendYield*TimeToExpiration)*_xlfn.NORM.DIST(AI$2*(LN(Underlying/$H39)+(RiskFreeRate-DividendYield+0.5*AG39^2)*TimeToExpiration)/(AG39*TimeToExpiration^0.5), 0, 1, TRUE) - 
       $H39*EXP(-RiskFreeRate*TimeToExpiration)*_xlfn.NORM.DIST(AI$2*(LN(Underlying/$H39)+(RiskFreeRate-DividendYield-0.5*AG39^2)*TimeToExpiration)/(AG39*TimeToExpiration^0.5), 0, 1, TRUE)
)</f>
        <v>40.53614061</v>
      </c>
      <c r="AJ39" s="7">
        <f>AJ$2*(Underlying*EXP(-DividendYield*TimeToExpiration)*_xlfn.NORM.DIST(AJ$2*(LN(Underlying/$H39)+(RiskFreeRate-DividendYield+0.5*AH39^2)*TimeToExpiration)/(AH39*TimeToExpiration^0.5), 0, 1, TRUE) - 
       $H39*EXP(-RiskFreeRate*TimeToExpiration)*_xlfn.NORM.DIST(AJ$2*(LN(Underlying/$H39)+(RiskFreeRate-DividendYield-0.5*AH39^2)*TimeToExpiration)/(AH39*TimeToExpiration^0.5), 0, 1, TRUE)
)</f>
        <v>41.43672311</v>
      </c>
      <c r="AK39" s="40">
        <f t="shared" si="17"/>
        <v>0.46959375</v>
      </c>
      <c r="AL39" s="8">
        <f>AL$2*(Underlying*EXP(-DividendYield*TimeToExpiration)*_xlfn.NORM.DIST(AL$2*(LN(Underlying/$H39)+(RiskFreeRate-DividendYield+0.5*AK39^2)*TimeToExpiration)/(AK39*TimeToExpiration^0.5), 0, 1, TRUE) - 
       $H39*EXP(-RiskFreeRate*TimeToExpiration)*_xlfn.NORM.DIST(AL$2*(LN(Underlying/$H39)+(RiskFreeRate-DividendYield-0.5*AK39^2)*TimeToExpiration)/(AK39*TimeToExpiration^0.5), 0, 1, TRUE)
)</f>
        <v>40.85965551</v>
      </c>
      <c r="AM39" s="40">
        <f t="shared" si="18"/>
        <v>0.375875</v>
      </c>
      <c r="AN39" s="40">
        <f t="shared" si="19"/>
        <v>0.46959375</v>
      </c>
      <c r="AO39" s="7">
        <f>AO$2*(Underlying*EXP(-DividendYield*TimeToExpiration)*_xlfn.NORM.DIST(AO$2*(LN(Underlying/$H39)+(RiskFreeRate-DividendYield+0.5*AM39^2)*TimeToExpiration)/(AM39*TimeToExpiration^0.5), 0, 1, TRUE) - 
       $H39*EXP(-RiskFreeRate*TimeToExpiration)*_xlfn.NORM.DIST(AO$2*(LN(Underlying/$H39)+(RiskFreeRate-DividendYield-0.5*AM39^2)*TimeToExpiration)/(AM39*TimeToExpiration^0.5), 0, 1, TRUE)
)</f>
        <v>40.53614061</v>
      </c>
      <c r="AP39" s="7">
        <f>AP$2*(Underlying*EXP(-DividendYield*TimeToExpiration)*_xlfn.NORM.DIST(AP$2*(LN(Underlying/$H39)+(RiskFreeRate-DividendYield+0.5*AN39^2)*TimeToExpiration)/(AN39*TimeToExpiration^0.5), 0, 1, TRUE) - 
       $H39*EXP(-RiskFreeRate*TimeToExpiration)*_xlfn.NORM.DIST(AP$2*(LN(Underlying/$H39)+(RiskFreeRate-DividendYield-0.5*AN39^2)*TimeToExpiration)/(AN39*TimeToExpiration^0.5), 0, 1, TRUE)
)</f>
        <v>40.85965551</v>
      </c>
      <c r="AQ39" s="40">
        <f t="shared" si="20"/>
        <v>0.422734375</v>
      </c>
      <c r="AR39" s="8">
        <f>AR$2*(Underlying*EXP(-DividendYield*TimeToExpiration)*_xlfn.NORM.DIST(AR$2*(LN(Underlying/$H39)+(RiskFreeRate-DividendYield+0.5*AQ39^2)*TimeToExpiration)/(AQ39*TimeToExpiration^0.5), 0, 1, TRUE) - 
       $H39*EXP(-RiskFreeRate*TimeToExpiration)*_xlfn.NORM.DIST(AR$2*(LN(Underlying/$H39)+(RiskFreeRate-DividendYield-0.5*AQ39^2)*TimeToExpiration)/(AQ39*TimeToExpiration^0.5), 0, 1, TRUE)
)</f>
        <v>40.66648673</v>
      </c>
      <c r="AS39" s="40">
        <f t="shared" si="21"/>
        <v>0.422734375</v>
      </c>
      <c r="AT39" s="40">
        <f t="shared" si="22"/>
        <v>0.46959375</v>
      </c>
      <c r="AU39" s="7">
        <f>AU$2*(Underlying*EXP(-DividendYield*TimeToExpiration)*_xlfn.NORM.DIST(AU$2*(LN(Underlying/$H39)+(RiskFreeRate-DividendYield+0.5*AS39^2)*TimeToExpiration)/(AS39*TimeToExpiration^0.5), 0, 1, TRUE) - 
       $H39*EXP(-RiskFreeRate*TimeToExpiration)*_xlfn.NORM.DIST(AU$2*(LN(Underlying/$H39)+(RiskFreeRate-DividendYield-0.5*AS39^2)*TimeToExpiration)/(AS39*TimeToExpiration^0.5), 0, 1, TRUE)
)</f>
        <v>40.66648673</v>
      </c>
      <c r="AV39" s="7">
        <f>AV$2*(Underlying*EXP(-DividendYield*TimeToExpiration)*_xlfn.NORM.DIST(AV$2*(LN(Underlying/$H39)+(RiskFreeRate-DividendYield+0.5*AT39^2)*TimeToExpiration)/(AT39*TimeToExpiration^0.5), 0, 1, TRUE) - 
       $H39*EXP(-RiskFreeRate*TimeToExpiration)*_xlfn.NORM.DIST(AV$2*(LN(Underlying/$H39)+(RiskFreeRate-DividendYield-0.5*AT39^2)*TimeToExpiration)/(AT39*TimeToExpiration^0.5), 0, 1, TRUE)
)</f>
        <v>40.85965551</v>
      </c>
      <c r="AW39" s="40">
        <f t="shared" si="23"/>
        <v>0.4461640625</v>
      </c>
      <c r="AX39" s="8">
        <f>AX$2*(Underlying*EXP(-DividendYield*TimeToExpiration)*_xlfn.NORM.DIST(AX$2*(LN(Underlying/$H39)+(RiskFreeRate-DividendYield+0.5*AW39^2)*TimeToExpiration)/(AW39*TimeToExpiration^0.5), 0, 1, TRUE) - 
       $H39*EXP(-RiskFreeRate*TimeToExpiration)*_xlfn.NORM.DIST(AX$2*(LN(Underlying/$H39)+(RiskFreeRate-DividendYield-0.5*AW39^2)*TimeToExpiration)/(AW39*TimeToExpiration^0.5), 0, 1, TRUE)
)</f>
        <v>40.75501644</v>
      </c>
      <c r="AY39" s="40">
        <f t="shared" si="24"/>
        <v>0.422734375</v>
      </c>
      <c r="AZ39" s="40">
        <f t="shared" si="25"/>
        <v>0.4461640625</v>
      </c>
      <c r="BA39" s="7">
        <f>BA$2*(Underlying*EXP(-DividendYield*TimeToExpiration)*_xlfn.NORM.DIST(BA$2*(LN(Underlying/$H39)+(RiskFreeRate-DividendYield+0.5*AY39^2)*TimeToExpiration)/(AY39*TimeToExpiration^0.5), 0, 1, TRUE) - 
       $H39*EXP(-RiskFreeRate*TimeToExpiration)*_xlfn.NORM.DIST(BA$2*(LN(Underlying/$H39)+(RiskFreeRate-DividendYield-0.5*AY39^2)*TimeToExpiration)/(AY39*TimeToExpiration^0.5), 0, 1, TRUE)
)</f>
        <v>40.66648673</v>
      </c>
      <c r="BB39" s="7">
        <f>BB$2*(Underlying*EXP(-DividendYield*TimeToExpiration)*_xlfn.NORM.DIST(BB$2*(LN(Underlying/$H39)+(RiskFreeRate-DividendYield+0.5*AZ39^2)*TimeToExpiration)/(AZ39*TimeToExpiration^0.5), 0, 1, TRUE) - 
       $H39*EXP(-RiskFreeRate*TimeToExpiration)*_xlfn.NORM.DIST(BB$2*(LN(Underlying/$H39)+(RiskFreeRate-DividendYield-0.5*AZ39^2)*TimeToExpiration)/(AZ39*TimeToExpiration^0.5), 0, 1, TRUE)
)</f>
        <v>40.75501644</v>
      </c>
      <c r="BC39" s="40">
        <f t="shared" si="26"/>
        <v>0.4344492188</v>
      </c>
      <c r="BD39" s="8">
        <f>BD$2*(Underlying*EXP(-DividendYield*TimeToExpiration)*_xlfn.NORM.DIST(BD$2*(LN(Underlying/$H39)+(RiskFreeRate-DividendYield+0.5*BC39^2)*TimeToExpiration)/(BC39*TimeToExpiration^0.5), 0, 1, TRUE) - 
       $H39*EXP(-RiskFreeRate*TimeToExpiration)*_xlfn.NORM.DIST(BD$2*(LN(Underlying/$H39)+(RiskFreeRate-DividendYield-0.5*BC39^2)*TimeToExpiration)/(BC39*TimeToExpiration^0.5), 0, 1, TRUE)
)</f>
        <v>40.70875</v>
      </c>
      <c r="BE39" s="40">
        <f t="shared" si="27"/>
        <v>0.422734375</v>
      </c>
      <c r="BF39" s="40">
        <f t="shared" si="28"/>
        <v>0.4344492188</v>
      </c>
      <c r="BG39" s="7">
        <f>BG$2*(Underlying*EXP(-DividendYield*TimeToExpiration)*_xlfn.NORM.DIST(BG$2*(LN(Underlying/$H39)+(RiskFreeRate-DividendYield+0.5*BE39^2)*TimeToExpiration)/(BE39*TimeToExpiration^0.5), 0, 1, TRUE) - 
       $H39*EXP(-RiskFreeRate*TimeToExpiration)*_xlfn.NORM.DIST(BG$2*(LN(Underlying/$H39)+(RiskFreeRate-DividendYield-0.5*BE39^2)*TimeToExpiration)/(BE39*TimeToExpiration^0.5), 0, 1, TRUE)
)</f>
        <v>40.66648673</v>
      </c>
      <c r="BH39" s="7">
        <f>BH$2*(Underlying*EXP(-DividendYield*TimeToExpiration)*_xlfn.NORM.DIST(BH$2*(LN(Underlying/$H39)+(RiskFreeRate-DividendYield+0.5*BF39^2)*TimeToExpiration)/(BF39*TimeToExpiration^0.5), 0, 1, TRUE) - 
       $H39*EXP(-RiskFreeRate*TimeToExpiration)*_xlfn.NORM.DIST(BH$2*(LN(Underlying/$H39)+(RiskFreeRate-DividendYield-0.5*BF39^2)*TimeToExpiration)/(BF39*TimeToExpiration^0.5), 0, 1, TRUE)
)</f>
        <v>40.70875</v>
      </c>
      <c r="BI39" s="40">
        <f t="shared" si="29"/>
        <v>0.4285917969</v>
      </c>
      <c r="BJ39" s="8">
        <f>BJ$2*(Underlying*EXP(-DividendYield*TimeToExpiration)*_xlfn.NORM.DIST(BJ$2*(LN(Underlying/$H39)+(RiskFreeRate-DividendYield+0.5*BI39^2)*TimeToExpiration)/(BI39*TimeToExpiration^0.5), 0, 1, TRUE) - 
       $H39*EXP(-RiskFreeRate*TimeToExpiration)*_xlfn.NORM.DIST(BJ$2*(LN(Underlying/$H39)+(RiskFreeRate-DividendYield-0.5*BI39^2)*TimeToExpiration)/(BI39*TimeToExpiration^0.5), 0, 1, TRUE)
)</f>
        <v>40.68712053</v>
      </c>
      <c r="BK39" s="40">
        <f t="shared" si="30"/>
        <v>0.422734375</v>
      </c>
      <c r="BL39" s="40">
        <f t="shared" si="31"/>
        <v>0.4285917969</v>
      </c>
      <c r="BM39" s="7">
        <f>BM$2*(Underlying*EXP(-DividendYield*TimeToExpiration)*_xlfn.NORM.DIST(BM$2*(LN(Underlying/$H39)+(RiskFreeRate-DividendYield+0.5*BK39^2)*TimeToExpiration)/(BK39*TimeToExpiration^0.5), 0, 1, TRUE) - 
       $H39*EXP(-RiskFreeRate*TimeToExpiration)*_xlfn.NORM.DIST(BM$2*(LN(Underlying/$H39)+(RiskFreeRate-DividendYield-0.5*BK39^2)*TimeToExpiration)/(BK39*TimeToExpiration^0.5), 0, 1, TRUE)
)</f>
        <v>40.66648673</v>
      </c>
      <c r="BN39" s="7">
        <f>BN$2*(Underlying*EXP(-DividendYield*TimeToExpiration)*_xlfn.NORM.DIST(BN$2*(LN(Underlying/$H39)+(RiskFreeRate-DividendYield+0.5*BL39^2)*TimeToExpiration)/(BL39*TimeToExpiration^0.5), 0, 1, TRUE) - 
       $H39*EXP(-RiskFreeRate*TimeToExpiration)*_xlfn.NORM.DIST(BN$2*(LN(Underlying/$H39)+(RiskFreeRate-DividendYield-0.5*BL39^2)*TimeToExpiration)/(BL39*TimeToExpiration^0.5), 0, 1, TRUE)
)</f>
        <v>40.68712053</v>
      </c>
      <c r="BO39" s="40">
        <f t="shared" si="32"/>
        <v>0.4256630859</v>
      </c>
      <c r="BP39" s="8">
        <f>BP$2*(Underlying*EXP(-DividendYield*TimeToExpiration)*_xlfn.NORM.DIST(BP$2*(LN(Underlying/$H39)+(RiskFreeRate-DividendYield+0.5*BO39^2)*TimeToExpiration)/(BO39*TimeToExpiration^0.5), 0, 1, TRUE) - 
       $H39*EXP(-RiskFreeRate*TimeToExpiration)*_xlfn.NORM.DIST(BP$2*(LN(Underlying/$H39)+(RiskFreeRate-DividendYield-0.5*BO39^2)*TimeToExpiration)/(BO39*TimeToExpiration^0.5), 0, 1, TRUE)
)</f>
        <v>40.67667956</v>
      </c>
      <c r="BQ39" s="40">
        <f t="shared" si="33"/>
        <v>0.422734375</v>
      </c>
      <c r="BR39" s="40">
        <f t="shared" si="34"/>
        <v>0.4256630859</v>
      </c>
      <c r="BS39" s="7">
        <f>BS$2*(Underlying*EXP(-DividendYield*TimeToExpiration)*_xlfn.NORM.DIST(BS$2*(LN(Underlying/$H39)+(RiskFreeRate-DividendYield+0.5*BQ39^2)*TimeToExpiration)/(BQ39*TimeToExpiration^0.5), 0, 1, TRUE) - 
       $H39*EXP(-RiskFreeRate*TimeToExpiration)*_xlfn.NORM.DIST(BS$2*(LN(Underlying/$H39)+(RiskFreeRate-DividendYield-0.5*BQ39^2)*TimeToExpiration)/(BQ39*TimeToExpiration^0.5), 0, 1, TRUE)
)</f>
        <v>40.66648673</v>
      </c>
      <c r="BT39" s="7">
        <f>BT$2*(Underlying*EXP(-DividendYield*TimeToExpiration)*_xlfn.NORM.DIST(BT$2*(LN(Underlying/$H39)+(RiskFreeRate-DividendYield+0.5*BR39^2)*TimeToExpiration)/(BR39*TimeToExpiration^0.5), 0, 1, TRUE) - 
       $H39*EXP(-RiskFreeRate*TimeToExpiration)*_xlfn.NORM.DIST(BT$2*(LN(Underlying/$H39)+(RiskFreeRate-DividendYield-0.5*BR39^2)*TimeToExpiration)/(BR39*TimeToExpiration^0.5), 0, 1, TRUE)
)</f>
        <v>40.67667956</v>
      </c>
      <c r="BU39" s="40">
        <f t="shared" si="35"/>
        <v>0.4241987305</v>
      </c>
      <c r="BV39" s="8">
        <f>BV$2*(Underlying*EXP(-DividendYield*TimeToExpiration)*_xlfn.NORM.DIST(BV$2*(LN(Underlying/$H39)+(RiskFreeRate-DividendYield+0.5*BU39^2)*TimeToExpiration)/(BU39*TimeToExpiration^0.5), 0, 1, TRUE) - 
       $H39*EXP(-RiskFreeRate*TimeToExpiration)*_xlfn.NORM.DIST(BV$2*(LN(Underlying/$H39)+(RiskFreeRate-DividendYield-0.5*BU39^2)*TimeToExpiration)/(BU39*TimeToExpiration^0.5), 0, 1, TRUE)
)</f>
        <v>40.67155218</v>
      </c>
      <c r="BW39" s="40">
        <f t="shared" si="36"/>
        <v>0.4241987305</v>
      </c>
      <c r="BX39" s="40">
        <f t="shared" si="37"/>
        <v>0.4256630859</v>
      </c>
      <c r="BY39" s="7">
        <f>BY$2*(Underlying*EXP(-DividendYield*TimeToExpiration)*_xlfn.NORM.DIST(BY$2*(LN(Underlying/$H39)+(RiskFreeRate-DividendYield+0.5*BW39^2)*TimeToExpiration)/(BW39*TimeToExpiration^0.5), 0, 1, TRUE) - 
       $H39*EXP(-RiskFreeRate*TimeToExpiration)*_xlfn.NORM.DIST(BY$2*(LN(Underlying/$H39)+(RiskFreeRate-DividendYield-0.5*BW39^2)*TimeToExpiration)/(BW39*TimeToExpiration^0.5), 0, 1, TRUE)
)</f>
        <v>40.67155218</v>
      </c>
      <c r="BZ39" s="7">
        <f>BZ$2*(Underlying*EXP(-DividendYield*TimeToExpiration)*_xlfn.NORM.DIST(BZ$2*(LN(Underlying/$H39)+(RiskFreeRate-DividendYield+0.5*BX39^2)*TimeToExpiration)/(BX39*TimeToExpiration^0.5), 0, 1, TRUE) - 
       $H39*EXP(-RiskFreeRate*TimeToExpiration)*_xlfn.NORM.DIST(BZ$2*(LN(Underlying/$H39)+(RiskFreeRate-DividendYield-0.5*BX39^2)*TimeToExpiration)/(BX39*TimeToExpiration^0.5), 0, 1, TRUE)
)</f>
        <v>40.67667956</v>
      </c>
      <c r="CA39" s="40">
        <f t="shared" si="38"/>
        <v>0.4249309082</v>
      </c>
      <c r="CB39" s="8">
        <f>CB$2*(Underlying*EXP(-DividendYield*TimeToExpiration)*_xlfn.NORM.DIST(CB$2*(LN(Underlying/$H39)+(RiskFreeRate-DividendYield+0.5*CA39^2)*TimeToExpiration)/(CA39*TimeToExpiration^0.5), 0, 1, TRUE) - 
       $H39*EXP(-RiskFreeRate*TimeToExpiration)*_xlfn.NORM.DIST(CB$2*(LN(Underlying/$H39)+(RiskFreeRate-DividendYield-0.5*CA39^2)*TimeToExpiration)/(CA39*TimeToExpiration^0.5), 0, 1, TRUE)
)</f>
        <v>40.67410812</v>
      </c>
      <c r="CC39" s="40">
        <f t="shared" si="39"/>
        <v>0.4249309082</v>
      </c>
      <c r="CD39" s="40">
        <f t="shared" si="40"/>
        <v>0.4256630859</v>
      </c>
      <c r="CE39" s="7">
        <f>CE$2*(Underlying*EXP(-DividendYield*TimeToExpiration)*_xlfn.NORM.DIST(CE$2*(LN(Underlying/$H39)+(RiskFreeRate-DividendYield+0.5*CC39^2)*TimeToExpiration)/(CC39*TimeToExpiration^0.5), 0, 1, TRUE) - 
       $H39*EXP(-RiskFreeRate*TimeToExpiration)*_xlfn.NORM.DIST(CE$2*(LN(Underlying/$H39)+(RiskFreeRate-DividendYield-0.5*CC39^2)*TimeToExpiration)/(CC39*TimeToExpiration^0.5), 0, 1, TRUE)
)</f>
        <v>40.67410812</v>
      </c>
      <c r="CF39" s="7">
        <f>CF$2*(Underlying*EXP(-DividendYield*TimeToExpiration)*_xlfn.NORM.DIST(CF$2*(LN(Underlying/$H39)+(RiskFreeRate-DividendYield+0.5*CD39^2)*TimeToExpiration)/(CD39*TimeToExpiration^0.5), 0, 1, TRUE) - 
       $H39*EXP(-RiskFreeRate*TimeToExpiration)*_xlfn.NORM.DIST(CF$2*(LN(Underlying/$H39)+(RiskFreeRate-DividendYield-0.5*CD39^2)*TimeToExpiration)/(CD39*TimeToExpiration^0.5), 0, 1, TRUE)
)</f>
        <v>40.67667956</v>
      </c>
      <c r="CG39" s="40">
        <f t="shared" si="41"/>
        <v>0.4252969971</v>
      </c>
      <c r="CH39" s="8">
        <f>CH$2*(Underlying*EXP(-DividendYield*TimeToExpiration)*_xlfn.NORM.DIST(CH$2*(LN(Underlying/$H39)+(RiskFreeRate-DividendYield+0.5*CG39^2)*TimeToExpiration)/(CG39*TimeToExpiration^0.5), 0, 1, TRUE) - 
       $H39*EXP(-RiskFreeRate*TimeToExpiration)*_xlfn.NORM.DIST(CH$2*(LN(Underlying/$H39)+(RiskFreeRate-DividendYield-0.5*CG39^2)*TimeToExpiration)/(CG39*TimeToExpiration^0.5), 0, 1, TRUE)
)</f>
        <v>40.6753919</v>
      </c>
      <c r="CI39" s="40">
        <f t="shared" si="42"/>
        <v>0.4249309082</v>
      </c>
      <c r="CJ39" s="40">
        <f t="shared" si="43"/>
        <v>0.4252969971</v>
      </c>
      <c r="CK39" s="7">
        <f>CK$2*(Underlying*EXP(-DividendYield*TimeToExpiration)*_xlfn.NORM.DIST(CK$2*(LN(Underlying/$H39)+(RiskFreeRate-DividendYield+0.5*CI39^2)*TimeToExpiration)/(CI39*TimeToExpiration^0.5), 0, 1, TRUE) - 
       $H39*EXP(-RiskFreeRate*TimeToExpiration)*_xlfn.NORM.DIST(CK$2*(LN(Underlying/$H39)+(RiskFreeRate-DividendYield-0.5*CI39^2)*TimeToExpiration)/(CI39*TimeToExpiration^0.5), 0, 1, TRUE)
)</f>
        <v>40.67410812</v>
      </c>
      <c r="CL39" s="7">
        <f>CL$2*(Underlying*EXP(-DividendYield*TimeToExpiration)*_xlfn.NORM.DIST(CL$2*(LN(Underlying/$H39)+(RiskFreeRate-DividendYield+0.5*CJ39^2)*TimeToExpiration)/(CJ39*TimeToExpiration^0.5), 0, 1, TRUE) - 
       $H39*EXP(-RiskFreeRate*TimeToExpiration)*_xlfn.NORM.DIST(CL$2*(LN(Underlying/$H39)+(RiskFreeRate-DividendYield-0.5*CJ39^2)*TimeToExpiration)/(CJ39*TimeToExpiration^0.5), 0, 1, TRUE)
)</f>
        <v>40.6753919</v>
      </c>
      <c r="CM39" s="40">
        <f t="shared" si="44"/>
        <v>0.4251139526</v>
      </c>
      <c r="CN39" s="8">
        <f>CN$2*(Underlying*EXP(-DividendYield*TimeToExpiration)*_xlfn.NORM.DIST(CN$2*(LN(Underlying/$H39)+(RiskFreeRate-DividendYield+0.5*CM39^2)*TimeToExpiration)/(CM39*TimeToExpiration^0.5), 0, 1, TRUE) - 
       $H39*EXP(-RiskFreeRate*TimeToExpiration)*_xlfn.NORM.DIST(CN$2*(LN(Underlying/$H39)+(RiskFreeRate-DividendYield-0.5*CM39^2)*TimeToExpiration)/(CM39*TimeToExpiration^0.5), 0, 1, TRUE)
)</f>
        <v>40.67474953</v>
      </c>
      <c r="CO39" s="40">
        <f t="shared" si="45"/>
        <v>0.4251139526</v>
      </c>
      <c r="CP39" s="40">
        <f t="shared" si="46"/>
        <v>0.4252969971</v>
      </c>
      <c r="CQ39" s="7">
        <f>CQ$2*(Underlying*EXP(-DividendYield*TimeToExpiration)*_xlfn.NORM.DIST(CQ$2*(LN(Underlying/$H39)+(RiskFreeRate-DividendYield+0.5*CO39^2)*TimeToExpiration)/(CO39*TimeToExpiration^0.5), 0, 1, TRUE) - 
       $H39*EXP(-RiskFreeRate*TimeToExpiration)*_xlfn.NORM.DIST(CQ$2*(LN(Underlying/$H39)+(RiskFreeRate-DividendYield-0.5*CO39^2)*TimeToExpiration)/(CO39*TimeToExpiration^0.5), 0, 1, TRUE)
)</f>
        <v>40.67474953</v>
      </c>
      <c r="CR39" s="7">
        <f>CR$2*(Underlying*EXP(-DividendYield*TimeToExpiration)*_xlfn.NORM.DIST(CR$2*(LN(Underlying/$H39)+(RiskFreeRate-DividendYield+0.5*CP39^2)*TimeToExpiration)/(CP39*TimeToExpiration^0.5), 0, 1, TRUE) - 
       $H39*EXP(-RiskFreeRate*TimeToExpiration)*_xlfn.NORM.DIST(CR$2*(LN(Underlying/$H39)+(RiskFreeRate-DividendYield-0.5*CP39^2)*TimeToExpiration)/(CP39*TimeToExpiration^0.5), 0, 1, TRUE)
)</f>
        <v>40.6753919</v>
      </c>
      <c r="CS39" s="40">
        <f t="shared" si="47"/>
        <v>0.4252054749</v>
      </c>
      <c r="CT39" s="8">
        <f>CT$2*(Underlying*EXP(-DividendYield*TimeToExpiration)*_xlfn.NORM.DIST(CT$2*(LN(Underlying/$H39)+(RiskFreeRate-DividendYield+0.5*CS39^2)*TimeToExpiration)/(CS39*TimeToExpiration^0.5), 0, 1, TRUE) - 
       $H39*EXP(-RiskFreeRate*TimeToExpiration)*_xlfn.NORM.DIST(CT$2*(LN(Underlying/$H39)+(RiskFreeRate-DividendYield-0.5*CS39^2)*TimeToExpiration)/(CS39*TimeToExpiration^0.5), 0, 1, TRUE)
)</f>
        <v>40.67507059</v>
      </c>
      <c r="CU39" s="40">
        <f t="shared" si="48"/>
        <v>0.4251139526</v>
      </c>
      <c r="CV39" s="40">
        <f t="shared" si="49"/>
        <v>0.4252054749</v>
      </c>
      <c r="CW39" s="7">
        <f>CW$2*(Underlying*EXP(-DividendYield*TimeToExpiration)*_xlfn.NORM.DIST(CW$2*(LN(Underlying/$H39)+(RiskFreeRate-DividendYield+0.5*CU39^2)*TimeToExpiration)/(CU39*TimeToExpiration^0.5), 0, 1, TRUE) - 
       $H39*EXP(-RiskFreeRate*TimeToExpiration)*_xlfn.NORM.DIST(CW$2*(LN(Underlying/$H39)+(RiskFreeRate-DividendYield-0.5*CU39^2)*TimeToExpiration)/(CU39*TimeToExpiration^0.5), 0, 1, TRUE)
)</f>
        <v>40.67474953</v>
      </c>
      <c r="CX39" s="7">
        <f>CX$2*(Underlying*EXP(-DividendYield*TimeToExpiration)*_xlfn.NORM.DIST(CX$2*(LN(Underlying/$H39)+(RiskFreeRate-DividendYield+0.5*CV39^2)*TimeToExpiration)/(CV39*TimeToExpiration^0.5), 0, 1, TRUE) - 
       $H39*EXP(-RiskFreeRate*TimeToExpiration)*_xlfn.NORM.DIST(CX$2*(LN(Underlying/$H39)+(RiskFreeRate-DividendYield-0.5*CV39^2)*TimeToExpiration)/(CV39*TimeToExpiration^0.5), 0, 1, TRUE)
)</f>
        <v>40.67507059</v>
      </c>
      <c r="CY39" s="40">
        <f t="shared" si="50"/>
        <v>0.4251597137</v>
      </c>
      <c r="CZ39" s="8">
        <f>CZ$2*(Underlying*EXP(-DividendYield*TimeToExpiration)*_xlfn.NORM.DIST(CZ$2*(LN(Underlying/$H39)+(RiskFreeRate-DividendYield+0.5*CY39^2)*TimeToExpiration)/(CY39*TimeToExpiration^0.5), 0, 1, TRUE) - 
       $H39*EXP(-RiskFreeRate*TimeToExpiration)*_xlfn.NORM.DIST(CZ$2*(LN(Underlying/$H39)+(RiskFreeRate-DividendYield-0.5*CY39^2)*TimeToExpiration)/(CY39*TimeToExpiration^0.5), 0, 1, TRUE)
)</f>
        <v>40.67491003</v>
      </c>
      <c r="DA39" s="40">
        <f t="shared" si="51"/>
        <v>0.4251597137</v>
      </c>
      <c r="DB39" s="40">
        <f t="shared" si="52"/>
        <v>0.4252054749</v>
      </c>
      <c r="DC39" s="7">
        <f>DC$2*(Underlying*EXP(-DividendYield*TimeToExpiration)*_xlfn.NORM.DIST(DC$2*(LN(Underlying/$H39)+(RiskFreeRate-DividendYield+0.5*DA39^2)*TimeToExpiration)/(DA39*TimeToExpiration^0.5), 0, 1, TRUE) - 
       $H39*EXP(-RiskFreeRate*TimeToExpiration)*_xlfn.NORM.DIST(DC$2*(LN(Underlying/$H39)+(RiskFreeRate-DividendYield-0.5*DA39^2)*TimeToExpiration)/(DA39*TimeToExpiration^0.5), 0, 1, TRUE)
)</f>
        <v>40.67491003</v>
      </c>
      <c r="DD39" s="7">
        <f>DD$2*(Underlying*EXP(-DividendYield*TimeToExpiration)*_xlfn.NORM.DIST(DD$2*(LN(Underlying/$H39)+(RiskFreeRate-DividendYield+0.5*DB39^2)*TimeToExpiration)/(DB39*TimeToExpiration^0.5), 0, 1, TRUE) - 
       $H39*EXP(-RiskFreeRate*TimeToExpiration)*_xlfn.NORM.DIST(DD$2*(LN(Underlying/$H39)+(RiskFreeRate-DividendYield-0.5*DB39^2)*TimeToExpiration)/(DB39*TimeToExpiration^0.5), 0, 1, TRUE)
)</f>
        <v>40.67507059</v>
      </c>
      <c r="DE39" s="40">
        <f t="shared" si="53"/>
        <v>0.4251825943</v>
      </c>
      <c r="DF39" s="8">
        <f>DF$2*(Underlying*EXP(-DividendYield*TimeToExpiration)*_xlfn.NORM.DIST(DF$2*(LN(Underlying/$H39)+(RiskFreeRate-DividendYield+0.5*DE39^2)*TimeToExpiration)/(DE39*TimeToExpiration^0.5), 0, 1, TRUE) - 
       $H39*EXP(-RiskFreeRate*TimeToExpiration)*_xlfn.NORM.DIST(DF$2*(LN(Underlying/$H39)+(RiskFreeRate-DividendYield-0.5*DE39^2)*TimeToExpiration)/(DE39*TimeToExpiration^0.5), 0, 1, TRUE)
)</f>
        <v>40.6749903</v>
      </c>
    </row>
    <row r="40">
      <c r="D40" s="1"/>
      <c r="E40" s="34"/>
      <c r="H40" s="1"/>
      <c r="N40" s="1"/>
      <c r="T40" s="1"/>
      <c r="Z40" s="1"/>
      <c r="AF40" s="1"/>
      <c r="AL40" s="1"/>
      <c r="AR40" s="1"/>
      <c r="AX40" s="1"/>
      <c r="BD40" s="1"/>
      <c r="BJ40" s="1"/>
    </row>
    <row r="41">
      <c r="D41" s="1"/>
      <c r="E41" s="34"/>
      <c r="H41" s="1"/>
      <c r="N41" s="1"/>
      <c r="T41" s="1"/>
      <c r="Z41" s="1"/>
      <c r="AF41" s="1"/>
      <c r="AL41" s="1"/>
      <c r="AR41" s="1"/>
      <c r="AX41" s="1"/>
      <c r="BD41" s="1"/>
      <c r="BJ41" s="1"/>
    </row>
    <row r="42">
      <c r="D42" s="1"/>
      <c r="E42" s="34"/>
      <c r="H42" s="1"/>
      <c r="N42" s="1"/>
      <c r="T42" s="1"/>
      <c r="Z42" s="1"/>
      <c r="AF42" s="1"/>
      <c r="AL42" s="1"/>
      <c r="AR42" s="1"/>
      <c r="AX42" s="1"/>
      <c r="BD42" s="1"/>
      <c r="BJ42" s="1"/>
    </row>
    <row r="43">
      <c r="D43" s="1"/>
      <c r="E43" s="34"/>
      <c r="H43" s="1"/>
      <c r="N43" s="1"/>
      <c r="T43" s="1"/>
      <c r="Z43" s="1"/>
      <c r="AF43" s="1"/>
      <c r="AL43" s="1"/>
      <c r="AR43" s="1"/>
      <c r="AX43" s="1"/>
      <c r="BD43" s="1"/>
      <c r="BJ43" s="1"/>
    </row>
    <row r="44">
      <c r="D44" s="1"/>
      <c r="E44" s="34"/>
      <c r="H44" s="1"/>
      <c r="N44" s="1"/>
      <c r="T44" s="1"/>
      <c r="Z44" s="1"/>
      <c r="AF44" s="1"/>
      <c r="AL44" s="1"/>
      <c r="AR44" s="1"/>
      <c r="AX44" s="1"/>
      <c r="BD44" s="1"/>
      <c r="BJ44" s="1"/>
    </row>
    <row r="45">
      <c r="D45" s="1"/>
      <c r="E45" s="34"/>
      <c r="H45" s="1"/>
      <c r="N45" s="1"/>
      <c r="T45" s="1"/>
      <c r="Z45" s="1"/>
      <c r="AF45" s="1"/>
      <c r="AL45" s="1"/>
      <c r="AR45" s="1"/>
      <c r="AX45" s="1"/>
      <c r="BD45" s="1"/>
      <c r="BJ45" s="1"/>
    </row>
    <row r="46">
      <c r="D46" s="1"/>
      <c r="E46" s="34"/>
      <c r="H46" s="1"/>
      <c r="N46" s="1"/>
      <c r="T46" s="1"/>
      <c r="Z46" s="1"/>
      <c r="AF46" s="1"/>
      <c r="AL46" s="1"/>
      <c r="AR46" s="1"/>
      <c r="AX46" s="1"/>
      <c r="BD46" s="1"/>
      <c r="BJ46" s="1"/>
    </row>
    <row r="47">
      <c r="D47" s="1"/>
      <c r="E47" s="34"/>
      <c r="H47" s="1"/>
      <c r="N47" s="1"/>
      <c r="T47" s="1"/>
      <c r="Z47" s="1"/>
      <c r="AF47" s="1"/>
      <c r="AL47" s="1"/>
      <c r="AR47" s="1"/>
      <c r="AX47" s="1"/>
      <c r="BD47" s="1"/>
      <c r="BJ47" s="1"/>
    </row>
    <row r="48">
      <c r="D48" s="1"/>
      <c r="E48" s="34"/>
      <c r="H48" s="1"/>
      <c r="N48" s="1"/>
      <c r="T48" s="1"/>
      <c r="Z48" s="1"/>
      <c r="AF48" s="1"/>
      <c r="AL48" s="1"/>
      <c r="AR48" s="1"/>
      <c r="AX48" s="1"/>
      <c r="BD48" s="1"/>
      <c r="BJ48" s="1"/>
    </row>
    <row r="49">
      <c r="D49" s="1"/>
      <c r="E49" s="34"/>
      <c r="H49" s="1"/>
      <c r="N49" s="1"/>
      <c r="T49" s="1"/>
      <c r="Z49" s="1"/>
      <c r="AF49" s="1"/>
      <c r="AL49" s="1"/>
      <c r="AR49" s="1"/>
      <c r="AX49" s="1"/>
      <c r="BD49" s="1"/>
      <c r="BJ49" s="1"/>
    </row>
    <row r="50">
      <c r="D50" s="1"/>
      <c r="E50" s="34"/>
      <c r="H50" s="1"/>
      <c r="N50" s="1"/>
      <c r="T50" s="1"/>
      <c r="Z50" s="1"/>
      <c r="AF50" s="1"/>
      <c r="AL50" s="1"/>
      <c r="AR50" s="1"/>
      <c r="AX50" s="1"/>
      <c r="BD50" s="1"/>
      <c r="BJ50" s="1"/>
    </row>
  </sheetData>
  <drawing r:id="rId1"/>
</worksheet>
</file>